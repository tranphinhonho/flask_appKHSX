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8D79F197-0F87-4E6D-A3AA-5C80C35EEA7B}" xr6:coauthVersionLast="47" xr6:coauthVersionMax="47" xr10:uidLastSave="{00000000-0000-0000-0000-000000000000}"/>
  <bookViews>
    <workbookView xWindow="-120" yWindow="-120" windowWidth="19440" windowHeight="14880" tabRatio="826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BRAN!$A$162:$T$341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2" i="785" l="1"/>
  <c r="P171" i="785"/>
  <c r="P170" i="785"/>
  <c r="P169" i="785"/>
  <c r="P168" i="785"/>
  <c r="K174" i="785"/>
  <c r="L174" i="785"/>
  <c r="M174" i="785" s="1"/>
  <c r="N174" i="785" s="1"/>
  <c r="H174" i="785"/>
  <c r="I174" i="785"/>
  <c r="J174" i="785"/>
  <c r="F174" i="785"/>
  <c r="BC174" i="785"/>
  <c r="BD174" i="785"/>
  <c r="O174" i="785"/>
  <c r="R174" i="785" s="1"/>
  <c r="S174" i="785" s="1"/>
  <c r="V174" i="785"/>
  <c r="AK278" i="785"/>
  <c r="E46" i="801"/>
  <c r="P156" i="785"/>
  <c r="Q156" i="785"/>
  <c r="G154" i="785"/>
  <c r="G156" i="785"/>
  <c r="BD56" i="785"/>
  <c r="BC56" i="785"/>
  <c r="BC57" i="785"/>
  <c r="V56" i="785"/>
  <c r="O56" i="785"/>
  <c r="R56" i="785" s="1"/>
  <c r="S56" i="785" s="1"/>
  <c r="AF27" i="812"/>
  <c r="AC240" i="785"/>
  <c r="BE174" i="785" l="1"/>
  <c r="BE56" i="785"/>
  <c r="AQ333" i="785"/>
  <c r="AK262" i="630" l="1"/>
  <c r="BF156" i="630"/>
  <c r="BG156" i="630"/>
  <c r="Q156" i="630"/>
  <c r="T156" i="630" s="1"/>
  <c r="Y156" i="630"/>
  <c r="Y157" i="630"/>
  <c r="AA333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9" i="785"/>
  <c r="BD239" i="785"/>
  <c r="G280" i="785"/>
  <c r="E280" i="785"/>
  <c r="O239" i="785"/>
  <c r="R239" i="785" s="1"/>
  <c r="V239" i="785"/>
  <c r="BE239" i="785" l="1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332" i="785"/>
  <c r="BD332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8" i="785"/>
  <c r="BD238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277" i="785"/>
  <c r="BD277" i="785"/>
  <c r="BC169" i="785"/>
  <c r="BD169" i="785"/>
  <c r="BC170" i="785"/>
  <c r="BD170" i="785"/>
  <c r="BC171" i="785"/>
  <c r="BD171" i="785"/>
  <c r="BC172" i="785"/>
  <c r="BD172" i="785"/>
  <c r="BC173" i="785"/>
  <c r="BD173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94" i="785"/>
  <c r="BD194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9" i="785"/>
  <c r="E281" i="785" s="1"/>
  <c r="BF22" i="785" l="1"/>
  <c r="BF24" i="785"/>
  <c r="BE177" i="785"/>
  <c r="BE142" i="785"/>
  <c r="BE126" i="785"/>
  <c r="BE49" i="785"/>
  <c r="BE19" i="785"/>
  <c r="BE186" i="785"/>
  <c r="BE182" i="785"/>
  <c r="BE178" i="785"/>
  <c r="BE25" i="785"/>
  <c r="BE88" i="785"/>
  <c r="BE91" i="785"/>
  <c r="BE50" i="785"/>
  <c r="BE90" i="785"/>
  <c r="BE59" i="785"/>
  <c r="BE98" i="785"/>
  <c r="BE270" i="785"/>
  <c r="BE262" i="785"/>
  <c r="BE236" i="785"/>
  <c r="BE252" i="785"/>
  <c r="BE325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3" i="785"/>
  <c r="BE175" i="785"/>
  <c r="BE190" i="785"/>
  <c r="BE192" i="785"/>
  <c r="BE176" i="785"/>
  <c r="BE250" i="785"/>
  <c r="BE233" i="785"/>
  <c r="BE229" i="785"/>
  <c r="BE225" i="785"/>
  <c r="BE277" i="785"/>
  <c r="BE265" i="785"/>
  <c r="BE220" i="785"/>
  <c r="BE332" i="785"/>
  <c r="BE324" i="785"/>
  <c r="BE330" i="785"/>
  <c r="BE326" i="785"/>
  <c r="BE323" i="785"/>
  <c r="BE322" i="785"/>
  <c r="BE327" i="785"/>
  <c r="BE266" i="785"/>
  <c r="BE273" i="785"/>
  <c r="BE269" i="785"/>
  <c r="BE258" i="785"/>
  <c r="BE254" i="785"/>
  <c r="BE246" i="785"/>
  <c r="BE237" i="785"/>
  <c r="BE261" i="785"/>
  <c r="BE257" i="785"/>
  <c r="BE253" i="785"/>
  <c r="BE245" i="785"/>
  <c r="BE232" i="785"/>
  <c r="BE216" i="785"/>
  <c r="BE185" i="785"/>
  <c r="BE173" i="785"/>
  <c r="BE184" i="785"/>
  <c r="BE191" i="785"/>
  <c r="BE194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5" i="785"/>
  <c r="BE217" i="785"/>
  <c r="BE240" i="785"/>
  <c r="BE228" i="785"/>
  <c r="BE224" i="785"/>
  <c r="BE268" i="785"/>
  <c r="BE231" i="785"/>
  <c r="BE227" i="785"/>
  <c r="BE223" i="785"/>
  <c r="BE212" i="785"/>
  <c r="BE271" i="785"/>
  <c r="BE249" i="785"/>
  <c r="BE242" i="785"/>
  <c r="BE230" i="785"/>
  <c r="BE226" i="785"/>
  <c r="BE222" i="785"/>
  <c r="BE274" i="785"/>
  <c r="BE221" i="785"/>
  <c r="BE214" i="785"/>
  <c r="BE210" i="785"/>
  <c r="BE320" i="785"/>
  <c r="BE328" i="785"/>
  <c r="BE319" i="785"/>
  <c r="BE321" i="785"/>
  <c r="BE331" i="785"/>
  <c r="BE329" i="785"/>
  <c r="BE318" i="785"/>
  <c r="BE234" i="785"/>
  <c r="BE218" i="785"/>
  <c r="BE215" i="785"/>
  <c r="BE267" i="785"/>
  <c r="BE264" i="785"/>
  <c r="BE251" i="785"/>
  <c r="BE248" i="785"/>
  <c r="BE241" i="785"/>
  <c r="BE211" i="785"/>
  <c r="BE276" i="785"/>
  <c r="BE263" i="785"/>
  <c r="BE260" i="785"/>
  <c r="BE247" i="785"/>
  <c r="BE244" i="785"/>
  <c r="BE275" i="785"/>
  <c r="BE272" i="785"/>
  <c r="BE259" i="785"/>
  <c r="BE256" i="785"/>
  <c r="BE243" i="785"/>
  <c r="BE213" i="785"/>
  <c r="BE238" i="785"/>
  <c r="BE235" i="785"/>
  <c r="BE219" i="785"/>
  <c r="BE172" i="785"/>
  <c r="BE193" i="785"/>
  <c r="BE179" i="785"/>
  <c r="BE171" i="785"/>
  <c r="BE187" i="785"/>
  <c r="BE189" i="785"/>
  <c r="BE170" i="785"/>
  <c r="BE180" i="785"/>
  <c r="BE188" i="785"/>
  <c r="BE181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9" i="785"/>
  <c r="V240" i="785"/>
  <c r="V241" i="785"/>
  <c r="V242" i="785"/>
  <c r="V243" i="785"/>
  <c r="V244" i="785"/>
  <c r="V245" i="785"/>
  <c r="V246" i="785"/>
  <c r="V247" i="785"/>
  <c r="V248" i="785"/>
  <c r="V249" i="785"/>
  <c r="O240" i="785"/>
  <c r="R240" i="785" s="1"/>
  <c r="S240" i="785" s="1"/>
  <c r="O241" i="785"/>
  <c r="R241" i="785" s="1"/>
  <c r="S241" i="785" s="1"/>
  <c r="O242" i="785"/>
  <c r="R242" i="785" s="1"/>
  <c r="O243" i="785"/>
  <c r="R243" i="785" s="1"/>
  <c r="O244" i="785"/>
  <c r="R244" i="785" s="1"/>
  <c r="S244" i="785" s="1"/>
  <c r="O245" i="785"/>
  <c r="R245" i="785" s="1"/>
  <c r="O246" i="785"/>
  <c r="R246" i="785" s="1"/>
  <c r="S246" i="785" s="1"/>
  <c r="O247" i="785"/>
  <c r="O248" i="785"/>
  <c r="R248" i="785" s="1"/>
  <c r="S248" i="785" s="1"/>
  <c r="G282" i="785"/>
  <c r="AC195" i="785"/>
  <c r="R247" i="785" l="1"/>
  <c r="O257" i="785"/>
  <c r="O256" i="785" l="1"/>
  <c r="O255" i="785"/>
  <c r="R255" i="785" s="1"/>
  <c r="S255" i="785" s="1"/>
  <c r="V255" i="785"/>
  <c r="O254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D46" i="80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4" i="785"/>
  <c r="V93" i="785" l="1"/>
  <c r="O93" i="785"/>
  <c r="O94" i="785"/>
  <c r="R94" i="785" s="1"/>
  <c r="R93" i="785" l="1"/>
  <c r="V107" i="785"/>
  <c r="O107" i="785"/>
  <c r="S93" i="785" l="1"/>
  <c r="R107" i="785"/>
  <c r="P280" i="785"/>
  <c r="AV195" i="785"/>
  <c r="BG175" i="630"/>
  <c r="BF175" i="630"/>
  <c r="BC317" i="785"/>
  <c r="BC293" i="785"/>
  <c r="BC294" i="785"/>
  <c r="BC295" i="785"/>
  <c r="BC296" i="785"/>
  <c r="BC297" i="785"/>
  <c r="BC298" i="785"/>
  <c r="BC299" i="785"/>
  <c r="BC300" i="785"/>
  <c r="BC301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6" i="785"/>
  <c r="E197" i="785"/>
  <c r="AA151" i="785"/>
  <c r="N97" i="785"/>
  <c r="O97" i="785"/>
  <c r="O98" i="785"/>
  <c r="R98" i="785" s="1"/>
  <c r="V97" i="785"/>
  <c r="Y175" i="630"/>
  <c r="R97" i="785" l="1"/>
  <c r="S97" i="785" s="1"/>
  <c r="S131" i="630"/>
  <c r="E199" i="785"/>
  <c r="E155" i="785"/>
  <c r="E158" i="785" s="1"/>
  <c r="E198" i="785"/>
  <c r="O228" i="785"/>
  <c r="R228" i="785" s="1"/>
  <c r="V228" i="785"/>
  <c r="V324" i="785"/>
  <c r="V325" i="785"/>
  <c r="O324" i="785"/>
  <c r="R324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2" i="785"/>
  <c r="AJ151" i="785"/>
  <c r="O270" i="785"/>
  <c r="R270" i="785" s="1"/>
  <c r="V270" i="785"/>
  <c r="O271" i="785"/>
  <c r="R271" i="785" s="1"/>
  <c r="V271" i="785"/>
  <c r="BF261" i="630" l="1"/>
  <c r="AZ27" i="812"/>
  <c r="AX333" i="785" l="1"/>
  <c r="AX302" i="785"/>
  <c r="AX278" i="785"/>
  <c r="AX195" i="785"/>
  <c r="AX335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5" i="785"/>
  <c r="V250" i="785"/>
  <c r="O250" i="785"/>
  <c r="R250" i="785" s="1"/>
  <c r="S250" i="785" s="1"/>
  <c r="H20" i="800" l="1"/>
  <c r="H21" i="800"/>
  <c r="H19" i="800"/>
  <c r="BC47" i="812"/>
  <c r="BC48" i="812"/>
  <c r="V48" i="812"/>
  <c r="O48" i="812"/>
  <c r="R48" i="812" s="1"/>
  <c r="O50" i="812"/>
  <c r="R50" i="812" s="1"/>
  <c r="O323" i="785"/>
  <c r="R323" i="785" s="1"/>
  <c r="V323" i="785"/>
  <c r="V71" i="785" l="1"/>
  <c r="O71" i="785"/>
  <c r="V215" i="785"/>
  <c r="O215" i="785"/>
  <c r="R215" i="785" s="1"/>
  <c r="S215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7" i="785"/>
  <c r="R217" i="785" s="1"/>
  <c r="V217" i="785"/>
  <c r="AU195" i="785" l="1"/>
  <c r="BD15" i="785"/>
  <c r="BD14" i="785"/>
  <c r="AN195" i="785"/>
  <c r="AM195" i="785"/>
  <c r="AI27" i="812"/>
  <c r="AJ27" i="812"/>
  <c r="V237" i="785"/>
  <c r="G196" i="785"/>
  <c r="V175" i="785"/>
  <c r="O175" i="785"/>
  <c r="R175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20" i="785"/>
  <c r="O320" i="785"/>
  <c r="R320" i="785" s="1"/>
  <c r="O95" i="785"/>
  <c r="R95" i="785" s="1"/>
  <c r="O90" i="785"/>
  <c r="R90" i="785" s="1"/>
  <c r="O78" i="785"/>
  <c r="R78" i="785" s="1"/>
  <c r="O36" i="785"/>
  <c r="R36" i="785" s="1"/>
  <c r="R152" i="785" s="1"/>
  <c r="V238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7" i="785"/>
  <c r="V50" i="785"/>
  <c r="O50" i="785"/>
  <c r="R50" i="785" s="1"/>
  <c r="S50" i="785" s="1"/>
  <c r="N50" i="785"/>
  <c r="E265" i="630"/>
  <c r="AY195" i="785"/>
  <c r="O322" i="785"/>
  <c r="R322" i="785" s="1"/>
  <c r="AR195" i="785"/>
  <c r="V214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8" i="785"/>
  <c r="E269" i="630"/>
  <c r="V216" i="785"/>
  <c r="BD168" i="785"/>
  <c r="BD167" i="785"/>
  <c r="V222" i="785"/>
  <c r="V221" i="785"/>
  <c r="BA195" i="785"/>
  <c r="BD293" i="785"/>
  <c r="BD294" i="785"/>
  <c r="BD295" i="785"/>
  <c r="BD296" i="785"/>
  <c r="BD297" i="785"/>
  <c r="BD298" i="785"/>
  <c r="BD299" i="785"/>
  <c r="BD300" i="785"/>
  <c r="BD301" i="785"/>
  <c r="BD317" i="785"/>
  <c r="BD316" i="785"/>
  <c r="BD292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6" i="785"/>
  <c r="R296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3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5" i="785"/>
  <c r="V231" i="785"/>
  <c r="O181" i="785"/>
  <c r="R181" i="785" s="1"/>
  <c r="S181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2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8" i="785"/>
  <c r="AR302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6" i="785"/>
  <c r="V229" i="785"/>
  <c r="V115" i="785"/>
  <c r="N20" i="800"/>
  <c r="O20" i="800" s="1"/>
  <c r="V220" i="785"/>
  <c r="U279" i="785"/>
  <c r="U283" i="785" s="1"/>
  <c r="J20" i="800"/>
  <c r="X302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6" i="785"/>
  <c r="V176" i="785"/>
  <c r="V177" i="785"/>
  <c r="O178" i="785"/>
  <c r="R178" i="785" s="1"/>
  <c r="V178" i="785"/>
  <c r="O179" i="785"/>
  <c r="R179" i="785" s="1"/>
  <c r="V179" i="785"/>
  <c r="O180" i="785"/>
  <c r="V180" i="785"/>
  <c r="V181" i="785"/>
  <c r="O182" i="785"/>
  <c r="R182" i="785" s="1"/>
  <c r="V182" i="785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O188" i="785"/>
  <c r="R188" i="785" s="1"/>
  <c r="V188" i="785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S192" i="785" s="1"/>
  <c r="V192" i="785"/>
  <c r="O193" i="785"/>
  <c r="R193" i="785" s="1"/>
  <c r="V193" i="785"/>
  <c r="O194" i="785"/>
  <c r="R194" i="785" s="1"/>
  <c r="V194" i="785"/>
  <c r="V195" i="785"/>
  <c r="X195" i="785"/>
  <c r="Y195" i="785"/>
  <c r="Z195" i="785"/>
  <c r="AA195" i="785"/>
  <c r="AD195" i="785"/>
  <c r="AE195" i="785"/>
  <c r="AF195" i="785"/>
  <c r="AG195" i="785"/>
  <c r="AH195" i="785"/>
  <c r="AK195" i="785"/>
  <c r="AL195" i="785"/>
  <c r="AO195" i="785"/>
  <c r="AP195" i="785"/>
  <c r="AQ195" i="785"/>
  <c r="AS195" i="785"/>
  <c r="AT195" i="785"/>
  <c r="AW195" i="785"/>
  <c r="AZ195" i="785"/>
  <c r="BB195" i="785"/>
  <c r="U196" i="785"/>
  <c r="V196" i="785"/>
  <c r="G197" i="785"/>
  <c r="P197" i="785"/>
  <c r="U197" i="785"/>
  <c r="V197" i="785"/>
  <c r="U198" i="785"/>
  <c r="V198" i="785"/>
  <c r="V199" i="785"/>
  <c r="V200" i="785"/>
  <c r="V201" i="785"/>
  <c r="V202" i="785"/>
  <c r="V203" i="785"/>
  <c r="V204" i="785"/>
  <c r="V206" i="785"/>
  <c r="V207" i="785"/>
  <c r="V208" i="785"/>
  <c r="V209" i="785"/>
  <c r="V210" i="785"/>
  <c r="N211" i="785"/>
  <c r="V211" i="785"/>
  <c r="N212" i="785"/>
  <c r="V212" i="785"/>
  <c r="V213" i="785"/>
  <c r="V218" i="785"/>
  <c r="V219" i="785"/>
  <c r="V223" i="785"/>
  <c r="V224" i="785"/>
  <c r="V225" i="785"/>
  <c r="V230" i="785"/>
  <c r="V234" i="785"/>
  <c r="V235" i="785"/>
  <c r="V236" i="785"/>
  <c r="V251" i="785"/>
  <c r="V252" i="785"/>
  <c r="V253" i="785"/>
  <c r="V254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69" i="785"/>
  <c r="V272" i="785"/>
  <c r="V273" i="785"/>
  <c r="V274" i="785"/>
  <c r="V275" i="785"/>
  <c r="V276" i="785"/>
  <c r="V277" i="785"/>
  <c r="V278" i="785"/>
  <c r="X278" i="785"/>
  <c r="Y278" i="785"/>
  <c r="Z278" i="785"/>
  <c r="AA278" i="785"/>
  <c r="AB278" i="785"/>
  <c r="AD278" i="785"/>
  <c r="AE278" i="785"/>
  <c r="AF278" i="785"/>
  <c r="AG278" i="785"/>
  <c r="AH278" i="785"/>
  <c r="AI278" i="785"/>
  <c r="AJ278" i="785"/>
  <c r="AL278" i="785"/>
  <c r="AM278" i="785"/>
  <c r="AN278" i="785"/>
  <c r="AO278" i="785"/>
  <c r="AP278" i="785"/>
  <c r="AQ278" i="785"/>
  <c r="AR278" i="785"/>
  <c r="AS278" i="785"/>
  <c r="AV278" i="785"/>
  <c r="AW278" i="785"/>
  <c r="AY278" i="785"/>
  <c r="AZ278" i="785"/>
  <c r="BA278" i="785"/>
  <c r="BB278" i="785"/>
  <c r="V279" i="785"/>
  <c r="U280" i="785"/>
  <c r="V280" i="785"/>
  <c r="U281" i="785"/>
  <c r="V281" i="785"/>
  <c r="V283" i="785"/>
  <c r="V284" i="785"/>
  <c r="V285" i="785"/>
  <c r="V286" i="785"/>
  <c r="V287" i="785"/>
  <c r="V288" i="785"/>
  <c r="V290" i="785"/>
  <c r="V291" i="785"/>
  <c r="O292" i="785"/>
  <c r="R292" i="785" s="1"/>
  <c r="S292" i="785" s="1"/>
  <c r="V292" i="785"/>
  <c r="BC292" i="785"/>
  <c r="O293" i="785"/>
  <c r="R293" i="785" s="1"/>
  <c r="S293" i="785" s="1"/>
  <c r="V293" i="785"/>
  <c r="O294" i="785"/>
  <c r="R294" i="785" s="1"/>
  <c r="S294" i="785" s="1"/>
  <c r="V294" i="785"/>
  <c r="O295" i="785"/>
  <c r="R295" i="785" s="1"/>
  <c r="S295" i="785" s="1"/>
  <c r="V295" i="785"/>
  <c r="V296" i="785"/>
  <c r="O297" i="785"/>
  <c r="V297" i="785"/>
  <c r="O298" i="785"/>
  <c r="R298" i="785" s="1"/>
  <c r="V298" i="785"/>
  <c r="O299" i="785"/>
  <c r="R299" i="785" s="1"/>
  <c r="S299" i="785" s="1"/>
  <c r="V299" i="785"/>
  <c r="O300" i="785"/>
  <c r="R300" i="785" s="1"/>
  <c r="V300" i="785"/>
  <c r="O301" i="785"/>
  <c r="R301" i="785" s="1"/>
  <c r="V301" i="785"/>
  <c r="V302" i="785"/>
  <c r="Y302" i="785"/>
  <c r="Z302" i="785"/>
  <c r="AA302" i="785"/>
  <c r="AB302" i="785"/>
  <c r="AC302" i="785"/>
  <c r="AD302" i="785"/>
  <c r="AE302" i="785"/>
  <c r="AF302" i="785"/>
  <c r="AG302" i="785"/>
  <c r="AH302" i="785"/>
  <c r="AI302" i="785"/>
  <c r="AK302" i="785"/>
  <c r="AL302" i="785"/>
  <c r="AM302" i="785"/>
  <c r="AN302" i="785"/>
  <c r="AO302" i="785"/>
  <c r="AP302" i="785"/>
  <c r="AQ302" i="785"/>
  <c r="AS302" i="785"/>
  <c r="AT302" i="785"/>
  <c r="AU302" i="785"/>
  <c r="AV302" i="785"/>
  <c r="AW302" i="785"/>
  <c r="AY302" i="785"/>
  <c r="AZ302" i="785"/>
  <c r="BA302" i="785"/>
  <c r="BB302" i="785"/>
  <c r="E303" i="785"/>
  <c r="E307" i="785" s="1"/>
  <c r="G303" i="785"/>
  <c r="G305" i="785" s="1"/>
  <c r="U303" i="785"/>
  <c r="U307" i="785" s="1"/>
  <c r="V303" i="785"/>
  <c r="V304" i="785"/>
  <c r="U305" i="785"/>
  <c r="V305" i="785"/>
  <c r="G306" i="785"/>
  <c r="M306" i="785"/>
  <c r="N306" i="785"/>
  <c r="V307" i="785"/>
  <c r="V308" i="785"/>
  <c r="V309" i="785"/>
  <c r="V310" i="785"/>
  <c r="V311" i="785"/>
  <c r="V312" i="785"/>
  <c r="V314" i="785"/>
  <c r="V315" i="785"/>
  <c r="N316" i="785"/>
  <c r="O316" i="785"/>
  <c r="R316" i="785" s="1"/>
  <c r="S316" i="785" s="1"/>
  <c r="V316" i="785"/>
  <c r="BC316" i="785"/>
  <c r="O317" i="785"/>
  <c r="R317" i="785" s="1"/>
  <c r="S317" i="785" s="1"/>
  <c r="V317" i="785"/>
  <c r="V318" i="785"/>
  <c r="O319" i="785"/>
  <c r="R319" i="785" s="1"/>
  <c r="V319" i="785"/>
  <c r="O321" i="785"/>
  <c r="Q321" i="785" s="1"/>
  <c r="V321" i="785"/>
  <c r="V322" i="785"/>
  <c r="O325" i="785"/>
  <c r="R325" i="785" s="1"/>
  <c r="O326" i="785"/>
  <c r="R326" i="785" s="1"/>
  <c r="V326" i="785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O332" i="785"/>
  <c r="R332" i="785" s="1"/>
  <c r="V332" i="785"/>
  <c r="X333" i="785"/>
  <c r="Y333" i="785"/>
  <c r="Z333" i="785"/>
  <c r="AB333" i="785"/>
  <c r="AC333" i="785"/>
  <c r="AD333" i="785"/>
  <c r="AE333" i="785"/>
  <c r="AF333" i="785"/>
  <c r="AG333" i="785"/>
  <c r="AH333" i="785"/>
  <c r="AI333" i="785"/>
  <c r="AJ333" i="785"/>
  <c r="AK333" i="785"/>
  <c r="AL333" i="785"/>
  <c r="AM333" i="785"/>
  <c r="AN333" i="785"/>
  <c r="AO333" i="785"/>
  <c r="AP333" i="785"/>
  <c r="AR333" i="785"/>
  <c r="AS333" i="785"/>
  <c r="AT333" i="785"/>
  <c r="AU333" i="785"/>
  <c r="AV333" i="785"/>
  <c r="AW333" i="785"/>
  <c r="AY333" i="785"/>
  <c r="AZ333" i="785"/>
  <c r="BA333" i="785"/>
  <c r="BB333" i="785"/>
  <c r="E334" i="785"/>
  <c r="E337" i="785" s="1"/>
  <c r="G334" i="785"/>
  <c r="G338" i="785" s="1"/>
  <c r="U334" i="785"/>
  <c r="U338" i="785" s="1"/>
  <c r="G336" i="785"/>
  <c r="U337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10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9" i="785"/>
  <c r="R189" i="785" s="1"/>
  <c r="S189" i="785" s="1"/>
  <c r="O183" i="785"/>
  <c r="R183" i="785" s="1"/>
  <c r="O177" i="785"/>
  <c r="R177" i="785" s="1"/>
  <c r="S177" i="785" s="1"/>
  <c r="AB195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7" i="785"/>
  <c r="R327" i="785" s="1"/>
  <c r="O318" i="785"/>
  <c r="Q325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20" i="785"/>
  <c r="R220" i="785" s="1"/>
  <c r="S220" i="785" s="1"/>
  <c r="O262" i="785"/>
  <c r="R262" i="785" s="1"/>
  <c r="O258" i="785"/>
  <c r="O226" i="785"/>
  <c r="R226" i="785" s="1"/>
  <c r="S226" i="785" s="1"/>
  <c r="O261" i="785"/>
  <c r="R261" i="785" s="1"/>
  <c r="S261" i="785" s="1"/>
  <c r="O253" i="785"/>
  <c r="R253" i="785" s="1"/>
  <c r="O275" i="785"/>
  <c r="R275" i="785" s="1"/>
  <c r="O232" i="785"/>
  <c r="R232" i="785" s="1"/>
  <c r="O274" i="785"/>
  <c r="R274" i="785" s="1"/>
  <c r="S274" i="785" s="1"/>
  <c r="O224" i="785"/>
  <c r="R224" i="785" s="1"/>
  <c r="S224" i="785" s="1"/>
  <c r="O229" i="785"/>
  <c r="O225" i="785"/>
  <c r="O249" i="785"/>
  <c r="R249" i="785" s="1"/>
  <c r="S249" i="785" s="1"/>
  <c r="O267" i="785"/>
  <c r="R267" i="785" s="1"/>
  <c r="BD208" i="785"/>
  <c r="BC208" i="785"/>
  <c r="O208" i="785"/>
  <c r="AU278" i="785"/>
  <c r="O223" i="785"/>
  <c r="R223" i="785" s="1"/>
  <c r="O264" i="785"/>
  <c r="R264" i="785" s="1"/>
  <c r="O269" i="785"/>
  <c r="R269" i="785" s="1"/>
  <c r="O234" i="785"/>
  <c r="R234" i="785" s="1"/>
  <c r="S234" i="785" s="1"/>
  <c r="O266" i="785"/>
  <c r="R266" i="785" s="1"/>
  <c r="O265" i="785"/>
  <c r="R265" i="785" s="1"/>
  <c r="S265" i="785" s="1"/>
  <c r="O222" i="785"/>
  <c r="R222" i="785" s="1"/>
  <c r="O272" i="785"/>
  <c r="R272" i="785" s="1"/>
  <c r="O251" i="785"/>
  <c r="R251" i="785" s="1"/>
  <c r="O227" i="785"/>
  <c r="R227" i="785" s="1"/>
  <c r="O252" i="785"/>
  <c r="R252" i="785" s="1"/>
  <c r="O214" i="785"/>
  <c r="R214" i="785" s="1"/>
  <c r="S214" i="785" s="1"/>
  <c r="R257" i="785"/>
  <c r="O211" i="785"/>
  <c r="R211" i="785" s="1"/>
  <c r="S211" i="785" s="1"/>
  <c r="O236" i="785"/>
  <c r="R236" i="785" s="1"/>
  <c r="O259" i="785"/>
  <c r="R259" i="785" s="1"/>
  <c r="S259" i="785" s="1"/>
  <c r="O276" i="785"/>
  <c r="R276" i="785" s="1"/>
  <c r="S276" i="785" s="1"/>
  <c r="O216" i="785"/>
  <c r="O230" i="785"/>
  <c r="R230" i="785" s="1"/>
  <c r="R254" i="785"/>
  <c r="S254" i="785" s="1"/>
  <c r="O273" i="785"/>
  <c r="R273" i="785" s="1"/>
  <c r="R256" i="785"/>
  <c r="O221" i="785"/>
  <c r="R221" i="785" s="1"/>
  <c r="S221" i="785" s="1"/>
  <c r="O210" i="785"/>
  <c r="R210" i="785" s="1"/>
  <c r="S210" i="785" s="1"/>
  <c r="O233" i="785"/>
  <c r="R233" i="785" s="1"/>
  <c r="S233" i="785" s="1"/>
  <c r="O213" i="785"/>
  <c r="R213" i="785" s="1"/>
  <c r="O268" i="785"/>
  <c r="R268" i="785" s="1"/>
  <c r="O238" i="785"/>
  <c r="R238" i="785" s="1"/>
  <c r="O231" i="785"/>
  <c r="BD209" i="785"/>
  <c r="O209" i="785"/>
  <c r="BC209" i="785"/>
  <c r="BF33" i="785" s="1"/>
  <c r="O235" i="785"/>
  <c r="O212" i="785"/>
  <c r="R212" i="785" s="1"/>
  <c r="S212" i="785" s="1"/>
  <c r="O263" i="785"/>
  <c r="R263" i="785" s="1"/>
  <c r="S263" i="785" s="1"/>
  <c r="O219" i="785"/>
  <c r="O237" i="785"/>
  <c r="R237" i="785" s="1"/>
  <c r="O260" i="785"/>
  <c r="R260" i="785" s="1"/>
  <c r="O277" i="785"/>
  <c r="O218" i="785"/>
  <c r="R218" i="785" s="1"/>
  <c r="S218" i="785" s="1"/>
  <c r="R63" i="785" l="1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8" i="785"/>
  <c r="Q235" i="785"/>
  <c r="S95" i="785"/>
  <c r="Q234" i="785"/>
  <c r="Q218" i="785"/>
  <c r="P23" i="800"/>
  <c r="P24" i="800"/>
  <c r="N24" i="800"/>
  <c r="N23" i="800"/>
  <c r="BF25" i="785"/>
  <c r="BI35" i="785" s="1"/>
  <c r="F239" i="785"/>
  <c r="O280" i="785"/>
  <c r="F245" i="785"/>
  <c r="F243" i="785"/>
  <c r="F246" i="785"/>
  <c r="F247" i="785"/>
  <c r="R225" i="785"/>
  <c r="R235" i="785"/>
  <c r="R258" i="785"/>
  <c r="R208" i="785"/>
  <c r="S208" i="785" s="1"/>
  <c r="R219" i="785"/>
  <c r="F107" i="785"/>
  <c r="F242" i="785"/>
  <c r="R277" i="785"/>
  <c r="R280" i="785" s="1"/>
  <c r="S280" i="785" s="1"/>
  <c r="F260" i="785"/>
  <c r="F120" i="785"/>
  <c r="F175" i="630"/>
  <c r="X108" i="630"/>
  <c r="BF27" i="785"/>
  <c r="F228" i="785"/>
  <c r="BF18" i="785"/>
  <c r="S135" i="785"/>
  <c r="S119" i="785"/>
  <c r="F49" i="812"/>
  <c r="F324" i="785"/>
  <c r="AX263" i="630"/>
  <c r="F270" i="785"/>
  <c r="F271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80" i="785"/>
  <c r="Q171" i="785"/>
  <c r="R16" i="785"/>
  <c r="S16" i="785" s="1"/>
  <c r="R229" i="785"/>
  <c r="S229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9" i="785"/>
  <c r="S113" i="785"/>
  <c r="F13" i="812"/>
  <c r="F66" i="785"/>
  <c r="F250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3" i="785"/>
  <c r="BH90" i="630"/>
  <c r="BH152" i="630"/>
  <c r="BH215" i="630"/>
  <c r="BH256" i="630"/>
  <c r="BH183" i="630"/>
  <c r="G199" i="785"/>
  <c r="G63" i="812"/>
  <c r="G34" i="812"/>
  <c r="AR335" i="785"/>
  <c r="BE16" i="785"/>
  <c r="BF20" i="785"/>
  <c r="G337" i="785"/>
  <c r="BE294" i="785"/>
  <c r="G198" i="785"/>
  <c r="G307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5" i="785"/>
  <c r="AV335" i="785"/>
  <c r="AO335" i="785"/>
  <c r="AG335" i="785"/>
  <c r="AC335" i="785"/>
  <c r="BE298" i="785"/>
  <c r="G155" i="785"/>
  <c r="G157" i="785" s="1"/>
  <c r="AO263" i="630"/>
  <c r="BC302" i="785"/>
  <c r="G281" i="785"/>
  <c r="BH95" i="630"/>
  <c r="BH79" i="630"/>
  <c r="BH75" i="630"/>
  <c r="BH171" i="630"/>
  <c r="BH119" i="630"/>
  <c r="BH170" i="630"/>
  <c r="BH149" i="630"/>
  <c r="BE317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5" i="785"/>
  <c r="AK335" i="785"/>
  <c r="AQ335" i="785"/>
  <c r="AA335" i="785"/>
  <c r="AE263" i="630"/>
  <c r="AD335" i="785"/>
  <c r="AA263" i="630"/>
  <c r="AS335" i="785"/>
  <c r="AT263" i="630"/>
  <c r="BE295" i="785"/>
  <c r="AG263" i="630"/>
  <c r="BE300" i="785"/>
  <c r="BB263" i="630"/>
  <c r="X335" i="785"/>
  <c r="BE316" i="785"/>
  <c r="AY263" i="630"/>
  <c r="Y335" i="785"/>
  <c r="R321" i="785"/>
  <c r="AC263" i="630"/>
  <c r="AN263" i="630"/>
  <c r="AF335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7" i="785"/>
  <c r="R176" i="785"/>
  <c r="S176" i="785" s="1"/>
  <c r="BE263" i="630"/>
  <c r="BE14" i="785"/>
  <c r="BE15" i="785"/>
  <c r="BE13" i="785"/>
  <c r="E107" i="630"/>
  <c r="E267" i="630" s="1"/>
  <c r="E283" i="785"/>
  <c r="O59" i="812"/>
  <c r="O30" i="812"/>
  <c r="O32" i="812"/>
  <c r="BF26" i="785"/>
  <c r="M315" i="630" s="1"/>
  <c r="BA335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7" i="785"/>
  <c r="E270" i="630"/>
  <c r="E271" i="630"/>
  <c r="E62" i="812"/>
  <c r="E266" i="630"/>
  <c r="R32" i="812"/>
  <c r="S108" i="785"/>
  <c r="R59" i="812"/>
  <c r="R33" i="812"/>
  <c r="R62" i="812"/>
  <c r="R231" i="785"/>
  <c r="BE208" i="785"/>
  <c r="O306" i="785"/>
  <c r="R318" i="785"/>
  <c r="S318" i="785" s="1"/>
  <c r="AF263" i="630"/>
  <c r="AP335" i="785"/>
  <c r="AL335" i="785"/>
  <c r="Z335" i="785"/>
  <c r="U199" i="785"/>
  <c r="AW335" i="785"/>
  <c r="AS263" i="630"/>
  <c r="AJ335" i="785"/>
  <c r="S106" i="785"/>
  <c r="S103" i="785"/>
  <c r="BF21" i="785"/>
  <c r="G283" i="785"/>
  <c r="Q326" i="785"/>
  <c r="BF23" i="785"/>
  <c r="AR263" i="630"/>
  <c r="BE296" i="785"/>
  <c r="BB335" i="785"/>
  <c r="AT335" i="785"/>
  <c r="BE292" i="785"/>
  <c r="O334" i="785"/>
  <c r="P304" i="630" s="1"/>
  <c r="BE209" i="785"/>
  <c r="O152" i="785"/>
  <c r="S34" i="785"/>
  <c r="O196" i="785"/>
  <c r="AH335" i="785"/>
  <c r="Q327" i="785"/>
  <c r="AQ263" i="630"/>
  <c r="AM263" i="630"/>
  <c r="S142" i="785"/>
  <c r="BE168" i="785"/>
  <c r="R30" i="812"/>
  <c r="O33" i="812"/>
  <c r="O62" i="812"/>
  <c r="O337" i="785"/>
  <c r="BC333" i="785"/>
  <c r="Q298" i="785"/>
  <c r="Q299" i="785"/>
  <c r="BE293" i="785"/>
  <c r="O307" i="785"/>
  <c r="BE301" i="785"/>
  <c r="O303" i="785"/>
  <c r="P302" i="630" s="1"/>
  <c r="BE297" i="785"/>
  <c r="O282" i="785"/>
  <c r="BC263" i="630"/>
  <c r="Q169" i="785"/>
  <c r="BE167" i="785"/>
  <c r="AZ335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8" i="785"/>
  <c r="F144" i="785"/>
  <c r="F276" i="785"/>
  <c r="F144" i="630"/>
  <c r="F125" i="630"/>
  <c r="F43" i="630"/>
  <c r="F54" i="785"/>
  <c r="F81" i="785"/>
  <c r="F173" i="785"/>
  <c r="F12" i="812"/>
  <c r="F159" i="630"/>
  <c r="F321" i="785"/>
  <c r="F194" i="785"/>
  <c r="F320" i="785"/>
  <c r="F51" i="812"/>
  <c r="F166" i="630"/>
  <c r="F20" i="630"/>
  <c r="F262" i="785"/>
  <c r="F132" i="630"/>
  <c r="F69" i="785"/>
  <c r="F142" i="630"/>
  <c r="F175" i="785"/>
  <c r="F223" i="785"/>
  <c r="F298" i="785"/>
  <c r="F37" i="785"/>
  <c r="F191" i="630"/>
  <c r="F60" i="785"/>
  <c r="F26" i="785"/>
  <c r="F136" i="630"/>
  <c r="F141" i="630"/>
  <c r="F100" i="785"/>
  <c r="F82" i="785"/>
  <c r="F177" i="785"/>
  <c r="F150" i="785"/>
  <c r="F189" i="785"/>
  <c r="F16" i="630"/>
  <c r="F104" i="785"/>
  <c r="F53" i="630"/>
  <c r="F138" i="785"/>
  <c r="F58" i="785"/>
  <c r="F171" i="785"/>
  <c r="F134" i="630"/>
  <c r="F179" i="630"/>
  <c r="F23" i="630"/>
  <c r="F251" i="785"/>
  <c r="F127" i="630"/>
  <c r="F180" i="785"/>
  <c r="F47" i="812"/>
  <c r="F128" i="630"/>
  <c r="F318" i="785"/>
  <c r="F19" i="630"/>
  <c r="F28" i="630"/>
  <c r="F301" i="785"/>
  <c r="F266" i="785"/>
  <c r="F11" i="630"/>
  <c r="F101" i="785"/>
  <c r="F27" i="630"/>
  <c r="F12" i="630"/>
  <c r="F62" i="785"/>
  <c r="F319" i="785"/>
  <c r="F17" i="785"/>
  <c r="F332" i="785"/>
  <c r="F51" i="630"/>
  <c r="F36" i="630"/>
  <c r="F155" i="630"/>
  <c r="F23" i="785"/>
  <c r="F49" i="630"/>
  <c r="F18" i="630"/>
  <c r="F73" i="785"/>
  <c r="F168" i="630"/>
  <c r="F179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30" i="785"/>
  <c r="F133" i="630"/>
  <c r="F178" i="630"/>
  <c r="F60" i="630"/>
  <c r="F57" i="785"/>
  <c r="F131" i="630"/>
  <c r="F275" i="785"/>
  <c r="F32" i="785"/>
  <c r="F256" i="785"/>
  <c r="F174" i="630"/>
  <c r="F138" i="630"/>
  <c r="F79" i="785"/>
  <c r="F148" i="630"/>
  <c r="F13" i="785"/>
  <c r="F44" i="630"/>
  <c r="F316" i="785"/>
  <c r="F190" i="630"/>
  <c r="F45" i="785"/>
  <c r="F277" i="785"/>
  <c r="F87" i="785"/>
  <c r="F208" i="785"/>
  <c r="F30" i="630"/>
  <c r="F185" i="785"/>
  <c r="F193" i="630"/>
  <c r="F23" i="812"/>
  <c r="F132" i="785"/>
  <c r="F15" i="630"/>
  <c r="F184" i="785"/>
  <c r="F75" i="785"/>
  <c r="F33" i="630"/>
  <c r="F43" i="785"/>
  <c r="F54" i="630"/>
  <c r="F295" i="785"/>
  <c r="F47" i="785"/>
  <c r="F114" i="785"/>
  <c r="F36" i="785"/>
  <c r="F152" i="785" s="1"/>
  <c r="F234" i="785"/>
  <c r="F80" i="785"/>
  <c r="F164" i="630"/>
  <c r="F24" i="785"/>
  <c r="F157" i="630"/>
  <c r="F57" i="812"/>
  <c r="F140" i="630"/>
  <c r="F72" i="785"/>
  <c r="F37" i="630"/>
  <c r="F127" i="785"/>
  <c r="F192" i="785"/>
  <c r="F188" i="785"/>
  <c r="F195" i="630"/>
  <c r="F44" i="785"/>
  <c r="F18" i="785"/>
  <c r="F322" i="785"/>
  <c r="F88" i="785"/>
  <c r="F55" i="630"/>
  <c r="F231" i="785"/>
  <c r="F237" i="785"/>
  <c r="F145" i="630"/>
  <c r="F181" i="785"/>
  <c r="F25" i="785"/>
  <c r="F45" i="812"/>
  <c r="F137" i="630"/>
  <c r="F44" i="812"/>
  <c r="F167" i="630"/>
  <c r="F325" i="785"/>
  <c r="F119" i="630"/>
  <c r="F178" i="785"/>
  <c r="F170" i="630"/>
  <c r="F257" i="785"/>
  <c r="F94" i="785"/>
  <c r="F296" i="785"/>
  <c r="F194" i="630"/>
  <c r="F10" i="630"/>
  <c r="F154" i="630"/>
  <c r="F264" i="785"/>
  <c r="F64" i="785"/>
  <c r="F16" i="785"/>
  <c r="F216" i="785"/>
  <c r="F254" i="785"/>
  <c r="F15" i="812"/>
  <c r="F35" i="630"/>
  <c r="F14" i="785"/>
  <c r="F328" i="785"/>
  <c r="F130" i="785"/>
  <c r="F43" i="812"/>
  <c r="F139" i="630"/>
  <c r="F20" i="785"/>
  <c r="F170" i="785"/>
  <c r="F176" i="785"/>
  <c r="F219" i="785"/>
  <c r="F16" i="812"/>
  <c r="F39" i="630"/>
  <c r="F42" i="785"/>
  <c r="F153" i="630"/>
  <c r="F40" i="785"/>
  <c r="F134" i="785"/>
  <c r="F160" i="630"/>
  <c r="F96" i="785"/>
  <c r="F42" i="630"/>
  <c r="F98" i="785"/>
  <c r="F187" i="785"/>
  <c r="F76" i="785"/>
  <c r="F91" i="785"/>
  <c r="F40" i="630"/>
  <c r="F149" i="785"/>
  <c r="F22" i="630"/>
  <c r="F330" i="785"/>
  <c r="F149" i="630"/>
  <c r="F176" i="630"/>
  <c r="F135" i="630"/>
  <c r="F188" i="630"/>
  <c r="F51" i="785"/>
  <c r="F225" i="785"/>
  <c r="F34" i="630"/>
  <c r="F129" i="630"/>
  <c r="F26" i="812"/>
  <c r="F190" i="785"/>
  <c r="F18" i="812"/>
  <c r="F161" i="630"/>
  <c r="F38" i="630"/>
  <c r="F59" i="630"/>
  <c r="F41" i="812"/>
  <c r="F21" i="630"/>
  <c r="F15" i="785"/>
  <c r="F252" i="785"/>
  <c r="F300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9" i="785"/>
  <c r="F173" i="630"/>
  <c r="F150" i="630"/>
  <c r="F192" i="630"/>
  <c r="F183" i="785"/>
  <c r="F29" i="785"/>
  <c r="F124" i="630"/>
  <c r="F84" i="785"/>
  <c r="F117" i="785"/>
  <c r="F326" i="785"/>
  <c r="F163" i="630"/>
  <c r="F189" i="630"/>
  <c r="F39" i="785"/>
  <c r="F26" i="630"/>
  <c r="F227" i="785"/>
  <c r="F61" i="785"/>
  <c r="F236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3" i="785"/>
  <c r="F145" i="785"/>
  <c r="F19" i="812"/>
  <c r="F105" i="785"/>
  <c r="F184" i="630"/>
  <c r="F165" i="630"/>
  <c r="F89" i="785"/>
  <c r="F267" i="785"/>
  <c r="F169" i="785"/>
  <c r="F232" i="785"/>
  <c r="F92" i="785"/>
  <c r="F22" i="812"/>
  <c r="F327" i="785"/>
  <c r="F187" i="630"/>
  <c r="F52" i="812"/>
  <c r="F47" i="630"/>
  <c r="F329" i="785"/>
  <c r="F118" i="785"/>
  <c r="F121" i="630"/>
  <c r="F130" i="630"/>
  <c r="F55" i="785"/>
  <c r="F122" i="785"/>
  <c r="F56" i="812"/>
  <c r="F53" i="812"/>
  <c r="F182" i="785"/>
  <c r="F112" i="785"/>
  <c r="F171" i="630"/>
  <c r="F183" i="630"/>
  <c r="F48" i="785"/>
  <c r="F186" i="785"/>
  <c r="F141" i="785"/>
  <c r="F191" i="785"/>
  <c r="F78" i="785"/>
  <c r="F27" i="785"/>
  <c r="F222" i="785"/>
  <c r="F38" i="785"/>
  <c r="F49" i="785"/>
  <c r="F158" i="630"/>
  <c r="F181" i="630"/>
  <c r="F22" i="785"/>
  <c r="F48" i="630"/>
  <c r="F193" i="785"/>
  <c r="F45" i="630"/>
  <c r="F147" i="785"/>
  <c r="F29" i="630"/>
  <c r="F152" i="630"/>
  <c r="F186" i="630"/>
  <c r="F126" i="630"/>
  <c r="F123" i="630"/>
  <c r="F133" i="785"/>
  <c r="F297" i="785"/>
  <c r="F120" i="630"/>
  <c r="F331" i="785"/>
  <c r="F25" i="812"/>
  <c r="F299" i="785"/>
  <c r="F58" i="630"/>
  <c r="F122" i="630"/>
  <c r="F235" i="785"/>
  <c r="E34" i="812"/>
  <c r="E338" i="785"/>
  <c r="BF17" i="785"/>
  <c r="S15" i="785"/>
  <c r="R216" i="785"/>
  <c r="BF34" i="785"/>
  <c r="R100" i="785"/>
  <c r="R19" i="785"/>
  <c r="O157" i="785"/>
  <c r="O153" i="785"/>
  <c r="S27" i="785"/>
  <c r="O283" i="785"/>
  <c r="O279" i="785"/>
  <c r="R209" i="785"/>
  <c r="BC278" i="785"/>
  <c r="AU335" i="785"/>
  <c r="BF16" i="785"/>
  <c r="O198" i="785"/>
  <c r="R167" i="785"/>
  <c r="Q168" i="785"/>
  <c r="Q13" i="785"/>
  <c r="T261" i="630"/>
  <c r="BC58" i="812"/>
  <c r="AY335" i="785"/>
  <c r="Q300" i="785"/>
  <c r="R297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5" i="785"/>
  <c r="AB335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5" i="785"/>
  <c r="AE335" i="785"/>
  <c r="BC195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J56" i="785" l="1"/>
  <c r="F56" i="785" s="1"/>
  <c r="O155" i="785"/>
  <c r="R156" i="785"/>
  <c r="S63" i="785"/>
  <c r="R154" i="785"/>
  <c r="H35" i="785"/>
  <c r="H37" i="785"/>
  <c r="H38" i="785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7" i="785"/>
  <c r="Q279" i="785" s="1"/>
  <c r="Q281" i="785" s="1"/>
  <c r="O23" i="800"/>
  <c r="O24" i="800"/>
  <c r="N315" i="630"/>
  <c r="F280" i="785"/>
  <c r="I239" i="785"/>
  <c r="M239" i="785" s="1"/>
  <c r="N239" i="785" s="1"/>
  <c r="J239" i="785"/>
  <c r="S277" i="785"/>
  <c r="BC334" i="785"/>
  <c r="BF264" i="630" s="1"/>
  <c r="BC335" i="785"/>
  <c r="BJ37" i="785"/>
  <c r="BI25" i="785"/>
  <c r="J246" i="785"/>
  <c r="I243" i="785"/>
  <c r="M243" i="785" s="1"/>
  <c r="N243" i="785" s="1"/>
  <c r="S243" i="785" s="1"/>
  <c r="J243" i="785"/>
  <c r="I244" i="785"/>
  <c r="J244" i="785"/>
  <c r="I245" i="785"/>
  <c r="M245" i="785" s="1"/>
  <c r="N245" i="785" s="1"/>
  <c r="S245" i="785" s="1"/>
  <c r="J245" i="785"/>
  <c r="I246" i="785"/>
  <c r="I255" i="785"/>
  <c r="J255" i="785"/>
  <c r="F255" i="785" s="1"/>
  <c r="I240" i="785"/>
  <c r="J240" i="785"/>
  <c r="F253" i="630"/>
  <c r="J95" i="785"/>
  <c r="F95" i="785" s="1"/>
  <c r="J93" i="785"/>
  <c r="I93" i="785"/>
  <c r="J94" i="785"/>
  <c r="I107" i="785"/>
  <c r="J107" i="785"/>
  <c r="I241" i="785"/>
  <c r="J241" i="785"/>
  <c r="L107" i="785"/>
  <c r="L242" i="785"/>
  <c r="H242" i="785"/>
  <c r="I242" i="785"/>
  <c r="J242" i="785"/>
  <c r="E274" i="630"/>
  <c r="BI263" i="630"/>
  <c r="S144" i="630"/>
  <c r="S263" i="630" s="1"/>
  <c r="H97" i="785"/>
  <c r="J97" i="785"/>
  <c r="I97" i="785"/>
  <c r="K97" i="785"/>
  <c r="L97" i="785"/>
  <c r="M175" i="630"/>
  <c r="N175" i="630"/>
  <c r="I175" i="630"/>
  <c r="L175" i="630"/>
  <c r="H34" i="785"/>
  <c r="L228" i="785"/>
  <c r="K228" i="785"/>
  <c r="H228" i="785"/>
  <c r="I228" i="785"/>
  <c r="J228" i="785"/>
  <c r="L324" i="785"/>
  <c r="K324" i="785"/>
  <c r="J324" i="785"/>
  <c r="I324" i="785"/>
  <c r="K49" i="812"/>
  <c r="I49" i="812"/>
  <c r="J49" i="812"/>
  <c r="L49" i="812"/>
  <c r="F262" i="630"/>
  <c r="F261" i="630"/>
  <c r="F263" i="630"/>
  <c r="H41" i="785"/>
  <c r="K323" i="785"/>
  <c r="L270" i="785"/>
  <c r="L323" i="785"/>
  <c r="L328" i="785"/>
  <c r="L326" i="785"/>
  <c r="L327" i="785"/>
  <c r="L325" i="785"/>
  <c r="L329" i="785"/>
  <c r="I269" i="785"/>
  <c r="J270" i="785"/>
  <c r="J269" i="785"/>
  <c r="F269" i="785" s="1"/>
  <c r="M269" i="785" s="1"/>
  <c r="S269" i="785" s="1"/>
  <c r="I270" i="785"/>
  <c r="K327" i="785"/>
  <c r="K325" i="785"/>
  <c r="K326" i="785"/>
  <c r="K322" i="785"/>
  <c r="K321" i="785"/>
  <c r="K328" i="785"/>
  <c r="K329" i="785"/>
  <c r="K270" i="785"/>
  <c r="K271" i="785"/>
  <c r="H271" i="785"/>
  <c r="H270" i="785"/>
  <c r="L271" i="785"/>
  <c r="I271" i="785"/>
  <c r="J271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7" i="785"/>
  <c r="L247" i="785"/>
  <c r="L250" i="785"/>
  <c r="L248" i="785"/>
  <c r="L249" i="785"/>
  <c r="H21" i="785"/>
  <c r="H23" i="785"/>
  <c r="H22" i="785"/>
  <c r="H17" i="785"/>
  <c r="H18" i="785"/>
  <c r="H19" i="785"/>
  <c r="H20" i="785"/>
  <c r="K250" i="785"/>
  <c r="H250" i="785"/>
  <c r="J250" i="785"/>
  <c r="I250" i="785"/>
  <c r="J317" i="785"/>
  <c r="I251" i="785"/>
  <c r="I252" i="785"/>
  <c r="I253" i="785"/>
  <c r="I254" i="785"/>
  <c r="I256" i="785"/>
  <c r="J323" i="785"/>
  <c r="I323" i="785"/>
  <c r="K50" i="812"/>
  <c r="K48" i="812"/>
  <c r="L50" i="812"/>
  <c r="J50" i="812"/>
  <c r="I48" i="812"/>
  <c r="I50" i="812"/>
  <c r="J48" i="812"/>
  <c r="N306" i="630"/>
  <c r="L48" i="812"/>
  <c r="J71" i="785"/>
  <c r="L215" i="785"/>
  <c r="BK19" i="630"/>
  <c r="Q322" i="785"/>
  <c r="Q334" i="785" s="1"/>
  <c r="J215" i="785"/>
  <c r="Q303" i="785"/>
  <c r="O305" i="785"/>
  <c r="G272" i="630"/>
  <c r="G158" i="785"/>
  <c r="G274" i="630" s="1"/>
  <c r="R337" i="785"/>
  <c r="R197" i="785"/>
  <c r="S197" i="785" s="1"/>
  <c r="T264" i="630"/>
  <c r="R334" i="785"/>
  <c r="BK20" i="630"/>
  <c r="Q265" i="630"/>
  <c r="T265" i="630" s="1"/>
  <c r="P298" i="630"/>
  <c r="P315" i="630"/>
  <c r="T262" i="630"/>
  <c r="O315" i="630"/>
  <c r="Q315" i="630"/>
  <c r="I217" i="785"/>
  <c r="J217" i="785"/>
  <c r="O281" i="785"/>
  <c r="S156" i="785"/>
  <c r="BI22" i="785"/>
  <c r="BI34" i="785" s="1"/>
  <c r="H184" i="785"/>
  <c r="BI20" i="785"/>
  <c r="BI33" i="785" s="1"/>
  <c r="U315" i="630"/>
  <c r="BI147" i="630"/>
  <c r="F303" i="785"/>
  <c r="D302" i="630" s="1"/>
  <c r="F196" i="785"/>
  <c r="F59" i="812"/>
  <c r="F63" i="812" s="1"/>
  <c r="F103" i="630"/>
  <c r="F153" i="785"/>
  <c r="B296" i="630" s="1"/>
  <c r="F105" i="630"/>
  <c r="F306" i="630" s="1"/>
  <c r="F104" i="630"/>
  <c r="F197" i="785"/>
  <c r="N193" i="630"/>
  <c r="L231" i="785"/>
  <c r="N10" i="630"/>
  <c r="N143" i="630"/>
  <c r="L317" i="785"/>
  <c r="N20" i="630"/>
  <c r="N179" i="630"/>
  <c r="L86" i="785"/>
  <c r="N127" i="630"/>
  <c r="N140" i="630"/>
  <c r="N32" i="630"/>
  <c r="L184" i="785"/>
  <c r="N214" i="630"/>
  <c r="N189" i="630"/>
  <c r="L23" i="812"/>
  <c r="L85" i="785"/>
  <c r="L15" i="812"/>
  <c r="L190" i="785"/>
  <c r="N226" i="630"/>
  <c r="L88" i="785"/>
  <c r="N27" i="630"/>
  <c r="L58" i="785"/>
  <c r="L80" i="785"/>
  <c r="N24" i="630"/>
  <c r="L296" i="785"/>
  <c r="N174" i="630"/>
  <c r="L266" i="785"/>
  <c r="L87" i="785"/>
  <c r="N34" i="630"/>
  <c r="L180" i="785"/>
  <c r="N128" i="630"/>
  <c r="N142" i="630"/>
  <c r="L176" i="785"/>
  <c r="L172" i="785"/>
  <c r="N217" i="630"/>
  <c r="N225" i="630"/>
  <c r="L119" i="785"/>
  <c r="N197" i="630"/>
  <c r="L26" i="812"/>
  <c r="N59" i="630"/>
  <c r="N153" i="630"/>
  <c r="N94" i="630"/>
  <c r="L319" i="785"/>
  <c r="L186" i="785"/>
  <c r="L210" i="785"/>
  <c r="N17" i="630"/>
  <c r="L54" i="785"/>
  <c r="N173" i="630"/>
  <c r="L72" i="785"/>
  <c r="N56" i="630"/>
  <c r="L183" i="785"/>
  <c r="N195" i="630"/>
  <c r="N47" i="630"/>
  <c r="L261" i="785"/>
  <c r="L212" i="785"/>
  <c r="L13" i="785"/>
  <c r="N209" i="630"/>
  <c r="N196" i="630"/>
  <c r="N131" i="630"/>
  <c r="N102" i="630"/>
  <c r="L147" i="785"/>
  <c r="L128" i="785"/>
  <c r="L43" i="812"/>
  <c r="L222" i="785"/>
  <c r="L167" i="785"/>
  <c r="L256" i="785"/>
  <c r="L12" i="812"/>
  <c r="L65" i="785"/>
  <c r="N227" i="630"/>
  <c r="L117" i="785"/>
  <c r="N219" i="630"/>
  <c r="L26" i="785"/>
  <c r="N101" i="630"/>
  <c r="L67" i="785"/>
  <c r="N212" i="630"/>
  <c r="L318" i="785"/>
  <c r="N192" i="630"/>
  <c r="L138" i="785"/>
  <c r="N126" i="630"/>
  <c r="N21" i="630"/>
  <c r="L59" i="785"/>
  <c r="N141" i="630"/>
  <c r="L13" i="812"/>
  <c r="N165" i="630"/>
  <c r="L298" i="785"/>
  <c r="N164" i="630"/>
  <c r="L225" i="785"/>
  <c r="L126" i="785"/>
  <c r="L230" i="785"/>
  <c r="N36" i="630"/>
  <c r="N44" i="630"/>
  <c r="N235" i="630"/>
  <c r="N58" i="630"/>
  <c r="N191" i="630"/>
  <c r="N151" i="630"/>
  <c r="L142" i="785"/>
  <c r="L79" i="785"/>
  <c r="L276" i="785"/>
  <c r="N188" i="630"/>
  <c r="L331" i="785"/>
  <c r="L44" i="785"/>
  <c r="N194" i="630"/>
  <c r="N169" i="630"/>
  <c r="L220" i="785"/>
  <c r="N55" i="630"/>
  <c r="N122" i="630"/>
  <c r="L320" i="785"/>
  <c r="L14" i="812"/>
  <c r="N49" i="630"/>
  <c r="N231" i="630"/>
  <c r="L105" i="785"/>
  <c r="L61" i="785"/>
  <c r="N12" i="630"/>
  <c r="L208" i="785"/>
  <c r="L189" i="785"/>
  <c r="L27" i="785"/>
  <c r="L43" i="785"/>
  <c r="L219" i="785"/>
  <c r="L14" i="785"/>
  <c r="L53" i="812"/>
  <c r="N168" i="630"/>
  <c r="L118" i="785"/>
  <c r="L141" i="785"/>
  <c r="L113" i="785"/>
  <c r="N213" i="630"/>
  <c r="L254" i="785"/>
  <c r="N97" i="630"/>
  <c r="N253" i="630"/>
  <c r="L57" i="812"/>
  <c r="L110" i="785"/>
  <c r="L106" i="785"/>
  <c r="L35" i="785"/>
  <c r="N183" i="630"/>
  <c r="L133" i="785"/>
  <c r="L292" i="785"/>
  <c r="N199" i="630"/>
  <c r="L18" i="812"/>
  <c r="L216" i="785"/>
  <c r="N148" i="630"/>
  <c r="N149" i="630"/>
  <c r="L269" i="785"/>
  <c r="L46" i="812"/>
  <c r="L171" i="785"/>
  <c r="N230" i="630"/>
  <c r="N134" i="630"/>
  <c r="L145" i="785"/>
  <c r="L262" i="785"/>
  <c r="L81" i="785"/>
  <c r="L66" i="785"/>
  <c r="L120" i="785"/>
  <c r="L185" i="785"/>
  <c r="L94" i="785"/>
  <c r="N137" i="630"/>
  <c r="N177" i="630"/>
  <c r="L90" i="785"/>
  <c r="N51" i="630"/>
  <c r="L144" i="785"/>
  <c r="L191" i="785"/>
  <c r="L181" i="785"/>
  <c r="L259" i="785"/>
  <c r="L295" i="785"/>
  <c r="N255" i="630"/>
  <c r="N147" i="630"/>
  <c r="L112" i="785"/>
  <c r="L213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8" i="785"/>
  <c r="N16" i="630"/>
  <c r="L263" i="785"/>
  <c r="N92" i="630"/>
  <c r="N176" i="630"/>
  <c r="L16" i="785"/>
  <c r="L38" i="785"/>
  <c r="L182" i="785"/>
  <c r="L68" i="785"/>
  <c r="L89" i="785"/>
  <c r="L300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3" i="785"/>
  <c r="L20" i="785"/>
  <c r="N98" i="630"/>
  <c r="N14" i="630"/>
  <c r="N223" i="630"/>
  <c r="L69" i="785"/>
  <c r="L64" i="785"/>
  <c r="L297" i="785"/>
  <c r="L42" i="785"/>
  <c r="L268" i="785"/>
  <c r="L175" i="785"/>
  <c r="N234" i="630"/>
  <c r="L25" i="785"/>
  <c r="L149" i="785"/>
  <c r="N93" i="630"/>
  <c r="N31" i="630"/>
  <c r="N160" i="630"/>
  <c r="L252" i="785"/>
  <c r="N201" i="630"/>
  <c r="L134" i="785"/>
  <c r="N244" i="630"/>
  <c r="N40" i="630"/>
  <c r="L218" i="785"/>
  <c r="L37" i="785"/>
  <c r="N155" i="630"/>
  <c r="N184" i="630"/>
  <c r="N203" i="630"/>
  <c r="N35" i="630"/>
  <c r="N119" i="630"/>
  <c r="L236" i="785"/>
  <c r="N43" i="630"/>
  <c r="L84" i="785"/>
  <c r="L274" i="785"/>
  <c r="L47" i="812"/>
  <c r="L47" i="785"/>
  <c r="N171" i="630"/>
  <c r="N30" i="630"/>
  <c r="N157" i="630"/>
  <c r="L19" i="785"/>
  <c r="L122" i="785"/>
  <c r="N186" i="630"/>
  <c r="L272" i="785"/>
  <c r="L55" i="812"/>
  <c r="L17" i="785"/>
  <c r="L150" i="785"/>
  <c r="N19" i="630"/>
  <c r="L246" i="785"/>
  <c r="L24" i="785"/>
  <c r="N208" i="630"/>
  <c r="N18" i="630"/>
  <c r="N138" i="630"/>
  <c r="N29" i="630"/>
  <c r="N240" i="630"/>
  <c r="N146" i="630"/>
  <c r="L293" i="785"/>
  <c r="N25" i="630"/>
  <c r="L192" i="785"/>
  <c r="L179" i="785"/>
  <c r="N224" i="630"/>
  <c r="N180" i="630"/>
  <c r="N15" i="630"/>
  <c r="L177" i="785"/>
  <c r="L44" i="812"/>
  <c r="L211" i="785"/>
  <c r="N238" i="630"/>
  <c r="L24" i="812"/>
  <c r="L265" i="785"/>
  <c r="L251" i="785"/>
  <c r="L235" i="785"/>
  <c r="L178" i="785"/>
  <c r="L258" i="785"/>
  <c r="N178" i="630"/>
  <c r="L22" i="785"/>
  <c r="N11" i="630"/>
  <c r="L45" i="785"/>
  <c r="L52" i="785"/>
  <c r="L264" i="785"/>
  <c r="L104" i="785"/>
  <c r="L103" i="785"/>
  <c r="L48" i="785"/>
  <c r="N222" i="630"/>
  <c r="N152" i="630"/>
  <c r="L73" i="785"/>
  <c r="L52" i="812"/>
  <c r="N129" i="630"/>
  <c r="N200" i="630"/>
  <c r="N120" i="630"/>
  <c r="L232" i="785"/>
  <c r="L21" i="812"/>
  <c r="L277" i="785"/>
  <c r="N250" i="630"/>
  <c r="L267" i="785"/>
  <c r="N145" i="630"/>
  <c r="L21" i="785"/>
  <c r="N45" i="630"/>
  <c r="L78" i="785"/>
  <c r="L275" i="785"/>
  <c r="N210" i="630"/>
  <c r="N159" i="630"/>
  <c r="N130" i="630"/>
  <c r="L18" i="785"/>
  <c r="N28" i="630"/>
  <c r="L83" i="785"/>
  <c r="L16" i="812"/>
  <c r="L238" i="785"/>
  <c r="L214" i="785"/>
  <c r="L41" i="812"/>
  <c r="L132" i="785"/>
  <c r="L330" i="785"/>
  <c r="L32" i="785"/>
  <c r="L146" i="785"/>
  <c r="L41" i="785"/>
  <c r="N172" i="630"/>
  <c r="N60" i="630"/>
  <c r="N170" i="630"/>
  <c r="L74" i="785"/>
  <c r="L194" i="785"/>
  <c r="L124" i="785"/>
  <c r="L237" i="785"/>
  <c r="L123" i="785"/>
  <c r="L51" i="785"/>
  <c r="N198" i="630"/>
  <c r="L76" i="785"/>
  <c r="L82" i="785"/>
  <c r="L101" i="785"/>
  <c r="N118" i="630"/>
  <c r="L322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7" i="785"/>
  <c r="L169" i="785"/>
  <c r="N257" i="630"/>
  <c r="L273" i="785"/>
  <c r="L109" i="785"/>
  <c r="N53" i="630"/>
  <c r="N41" i="630"/>
  <c r="N95" i="630"/>
  <c r="L17" i="812"/>
  <c r="N187" i="630"/>
  <c r="L193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6" i="785"/>
  <c r="N91" i="630"/>
  <c r="L57" i="785"/>
  <c r="L257" i="785"/>
  <c r="L299" i="785"/>
  <c r="N90" i="630"/>
  <c r="N150" i="630"/>
  <c r="L130" i="785"/>
  <c r="L148" i="785"/>
  <c r="N190" i="630"/>
  <c r="L92" i="785"/>
  <c r="L301" i="785"/>
  <c r="L45" i="812"/>
  <c r="L332" i="785"/>
  <c r="L253" i="785"/>
  <c r="N50" i="630"/>
  <c r="N22" i="630"/>
  <c r="N185" i="630"/>
  <c r="N161" i="630"/>
  <c r="L321" i="785"/>
  <c r="N166" i="630"/>
  <c r="N54" i="630"/>
  <c r="L234" i="785"/>
  <c r="L91" i="785"/>
  <c r="N132" i="630"/>
  <c r="N144" i="630"/>
  <c r="L100" i="785"/>
  <c r="L75" i="785"/>
  <c r="N215" i="630"/>
  <c r="L170" i="785"/>
  <c r="N135" i="630"/>
  <c r="L260" i="785"/>
  <c r="N99" i="630"/>
  <c r="N251" i="630"/>
  <c r="L77" i="785"/>
  <c r="L33" i="785"/>
  <c r="L62" i="785"/>
  <c r="N124" i="630"/>
  <c r="L102" i="785"/>
  <c r="L98" i="785"/>
  <c r="L40" i="785"/>
  <c r="L187" i="785"/>
  <c r="Q25" i="785"/>
  <c r="BF263" i="630"/>
  <c r="Q172" i="785"/>
  <c r="Q196" i="785" s="1"/>
  <c r="AA315" i="630"/>
  <c r="T263" i="630"/>
  <c r="M165" i="630"/>
  <c r="K89" i="785"/>
  <c r="M11" i="630"/>
  <c r="M149" i="630"/>
  <c r="K188" i="785"/>
  <c r="K173" i="785"/>
  <c r="K27" i="785"/>
  <c r="K70" i="785"/>
  <c r="K36" i="785"/>
  <c r="K152" i="785" s="1"/>
  <c r="K225" i="785"/>
  <c r="K232" i="785"/>
  <c r="K265" i="785"/>
  <c r="K319" i="785"/>
  <c r="M10" i="630"/>
  <c r="M123" i="630"/>
  <c r="K267" i="785"/>
  <c r="M34" i="630"/>
  <c r="K296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8" i="785"/>
  <c r="M144" i="630"/>
  <c r="K53" i="812"/>
  <c r="M91" i="630"/>
  <c r="K170" i="785"/>
  <c r="M248" i="630"/>
  <c r="K234" i="785"/>
  <c r="M31" i="630"/>
  <c r="K300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4" i="785"/>
  <c r="M128" i="630"/>
  <c r="M100" i="630"/>
  <c r="M57" i="630"/>
  <c r="M166" i="630"/>
  <c r="K134" i="785"/>
  <c r="K146" i="785"/>
  <c r="M157" i="630"/>
  <c r="K332" i="785"/>
  <c r="K43" i="812"/>
  <c r="M138" i="630"/>
  <c r="M193" i="630"/>
  <c r="M235" i="630"/>
  <c r="M134" i="630"/>
  <c r="K120" i="785"/>
  <c r="K133" i="785"/>
  <c r="K253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6" i="785"/>
  <c r="M14" i="630"/>
  <c r="K49" i="785"/>
  <c r="K220" i="785"/>
  <c r="K318" i="785"/>
  <c r="M95" i="630"/>
  <c r="K50" i="785"/>
  <c r="M256" i="630"/>
  <c r="K211" i="785"/>
  <c r="M217" i="630"/>
  <c r="K130" i="785"/>
  <c r="M142" i="630"/>
  <c r="M46" i="630"/>
  <c r="K222" i="785"/>
  <c r="M159" i="630"/>
  <c r="M25" i="630"/>
  <c r="M216" i="630"/>
  <c r="K213" i="785"/>
  <c r="M121" i="630"/>
  <c r="K330" i="785"/>
  <c r="M236" i="630"/>
  <c r="K30" i="785"/>
  <c r="K69" i="785"/>
  <c r="M52" i="630"/>
  <c r="K132" i="785"/>
  <c r="K102" i="785"/>
  <c r="K227" i="785"/>
  <c r="M227" i="630"/>
  <c r="M51" i="630"/>
  <c r="K145" i="785"/>
  <c r="K169" i="785"/>
  <c r="M250" i="630"/>
  <c r="M242" i="630"/>
  <c r="K22" i="785"/>
  <c r="K20" i="785"/>
  <c r="K110" i="785"/>
  <c r="K231" i="785"/>
  <c r="M118" i="630"/>
  <c r="K135" i="785"/>
  <c r="K106" i="785"/>
  <c r="K247" i="785"/>
  <c r="K40" i="785"/>
  <c r="K261" i="785"/>
  <c r="M194" i="630"/>
  <c r="K150" i="785"/>
  <c r="M40" i="630"/>
  <c r="M189" i="630"/>
  <c r="K183" i="785"/>
  <c r="K75" i="785"/>
  <c r="K129" i="785"/>
  <c r="M249" i="630"/>
  <c r="K182" i="785"/>
  <c r="K194" i="785"/>
  <c r="K94" i="785"/>
  <c r="K257" i="785"/>
  <c r="K65" i="785"/>
  <c r="K252" i="785"/>
  <c r="M201" i="630"/>
  <c r="K137" i="785"/>
  <c r="M37" i="630"/>
  <c r="M186" i="630"/>
  <c r="K54" i="812"/>
  <c r="M219" i="630"/>
  <c r="M209" i="630"/>
  <c r="K249" i="785"/>
  <c r="M48" i="630"/>
  <c r="K176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2" i="785"/>
  <c r="K57" i="812"/>
  <c r="K263" i="785"/>
  <c r="M60" i="630"/>
  <c r="M200" i="630"/>
  <c r="K77" i="785"/>
  <c r="M173" i="630"/>
  <c r="K299" i="785"/>
  <c r="M150" i="630"/>
  <c r="K14" i="812"/>
  <c r="M158" i="630"/>
  <c r="M119" i="630"/>
  <c r="M36" i="630"/>
  <c r="M177" i="630"/>
  <c r="M202" i="630"/>
  <c r="K259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3" i="785"/>
  <c r="K317" i="785"/>
  <c r="K124" i="785"/>
  <c r="M143" i="630"/>
  <c r="K52" i="812"/>
  <c r="M223" i="630"/>
  <c r="M169" i="630"/>
  <c r="M218" i="630"/>
  <c r="M33" i="630"/>
  <c r="M161" i="630"/>
  <c r="K320" i="785"/>
  <c r="M94" i="630"/>
  <c r="K61" i="785"/>
  <c r="M22" i="630"/>
  <c r="K23" i="785"/>
  <c r="M183" i="630"/>
  <c r="M140" i="630"/>
  <c r="M238" i="630"/>
  <c r="M197" i="630"/>
  <c r="K45" i="812"/>
  <c r="K260" i="785"/>
  <c r="K113" i="785"/>
  <c r="M252" i="630"/>
  <c r="K331" i="785"/>
  <c r="K25" i="812"/>
  <c r="M17" i="630"/>
  <c r="M97" i="630"/>
  <c r="K73" i="785"/>
  <c r="K42" i="785"/>
  <c r="K125" i="785"/>
  <c r="K82" i="785"/>
  <c r="K175" i="785"/>
  <c r="M18" i="630"/>
  <c r="M148" i="630"/>
  <c r="K187" i="785"/>
  <c r="K60" i="785"/>
  <c r="K191" i="785"/>
  <c r="K15" i="812"/>
  <c r="K37" i="785"/>
  <c r="M137" i="630"/>
  <c r="K24" i="812"/>
  <c r="K32" i="812" s="1"/>
  <c r="M16" i="630"/>
  <c r="K58" i="785"/>
  <c r="M54" i="630"/>
  <c r="M127" i="630"/>
  <c r="K258" i="785"/>
  <c r="M253" i="630"/>
  <c r="K292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3" i="785"/>
  <c r="M15" i="630"/>
  <c r="K105" i="785"/>
  <c r="M234" i="630"/>
  <c r="K219" i="785"/>
  <c r="K92" i="785"/>
  <c r="K186" i="785"/>
  <c r="M224" i="630"/>
  <c r="K128" i="785"/>
  <c r="K103" i="785"/>
  <c r="K18" i="785"/>
  <c r="M153" i="630"/>
  <c r="K16" i="812"/>
  <c r="K55" i="812"/>
  <c r="K86" i="785"/>
  <c r="K67" i="785"/>
  <c r="M184" i="630"/>
  <c r="K23" i="812"/>
  <c r="M90" i="630"/>
  <c r="M42" i="630"/>
  <c r="K19" i="785"/>
  <c r="M41" i="630"/>
  <c r="M162" i="630"/>
  <c r="M155" i="630"/>
  <c r="M12" i="630"/>
  <c r="K216" i="785"/>
  <c r="K256" i="785"/>
  <c r="K51" i="785"/>
  <c r="M49" i="630"/>
  <c r="M178" i="630"/>
  <c r="K251" i="785"/>
  <c r="K29" i="785"/>
  <c r="K142" i="785"/>
  <c r="K269" i="785"/>
  <c r="M181" i="630"/>
  <c r="M257" i="630"/>
  <c r="M241" i="630"/>
  <c r="K147" i="785"/>
  <c r="K26" i="812"/>
  <c r="K54" i="785"/>
  <c r="K226" i="785"/>
  <c r="M19" i="630"/>
  <c r="K218" i="785"/>
  <c r="M59" i="630"/>
  <c r="K190" i="785"/>
  <c r="M132" i="630"/>
  <c r="M32" i="630"/>
  <c r="K35" i="785"/>
  <c r="K51" i="812"/>
  <c r="K66" i="785"/>
  <c r="M101" i="630"/>
  <c r="K16" i="785"/>
  <c r="M152" i="630"/>
  <c r="K64" i="785"/>
  <c r="K266" i="785"/>
  <c r="K17" i="812"/>
  <c r="M129" i="630"/>
  <c r="K47" i="785"/>
  <c r="K181" i="785"/>
  <c r="M53" i="630"/>
  <c r="M122" i="630"/>
  <c r="K101" i="785"/>
  <c r="K104" i="785"/>
  <c r="M167" i="630"/>
  <c r="M47" i="630"/>
  <c r="K254" i="785"/>
  <c r="K24" i="785"/>
  <c r="K192" i="785"/>
  <c r="K185" i="785"/>
  <c r="K229" i="785"/>
  <c r="K276" i="785"/>
  <c r="K72" i="785"/>
  <c r="K273" i="785"/>
  <c r="M237" i="630"/>
  <c r="K298" i="785"/>
  <c r="M228" i="630"/>
  <c r="M222" i="630"/>
  <c r="K177" i="785"/>
  <c r="M136" i="630"/>
  <c r="K214" i="785"/>
  <c r="M44" i="630"/>
  <c r="M130" i="630"/>
  <c r="K34" i="785"/>
  <c r="M171" i="630"/>
  <c r="M21" i="630"/>
  <c r="M163" i="630"/>
  <c r="K236" i="785"/>
  <c r="K96" i="785"/>
  <c r="K149" i="785"/>
  <c r="K148" i="785"/>
  <c r="M146" i="630"/>
  <c r="K223" i="785"/>
  <c r="K81" i="785"/>
  <c r="K47" i="812"/>
  <c r="M207" i="630"/>
  <c r="M195" i="630"/>
  <c r="K297" i="785"/>
  <c r="K17" i="785"/>
  <c r="K108" i="785"/>
  <c r="M141" i="630"/>
  <c r="M226" i="630"/>
  <c r="K46" i="812"/>
  <c r="K87" i="785"/>
  <c r="K19" i="812"/>
  <c r="K180" i="785"/>
  <c r="K295" i="785"/>
  <c r="K246" i="785"/>
  <c r="M196" i="630"/>
  <c r="K74" i="785"/>
  <c r="M120" i="630"/>
  <c r="K189" i="785"/>
  <c r="K272" i="785"/>
  <c r="K171" i="785"/>
  <c r="K235" i="785"/>
  <c r="K301" i="785"/>
  <c r="K277" i="785"/>
  <c r="K280" i="785" s="1"/>
  <c r="K178" i="785"/>
  <c r="M58" i="630"/>
  <c r="K100" i="785"/>
  <c r="M225" i="630"/>
  <c r="K26" i="785"/>
  <c r="M190" i="630"/>
  <c r="M198" i="630"/>
  <c r="K95" i="785"/>
  <c r="M26" i="630"/>
  <c r="K275" i="785"/>
  <c r="K117" i="785"/>
  <c r="K184" i="785"/>
  <c r="K141" i="785"/>
  <c r="M133" i="630"/>
  <c r="M56" i="630"/>
  <c r="M30" i="630"/>
  <c r="M125" i="630"/>
  <c r="K123" i="785"/>
  <c r="M230" i="630"/>
  <c r="M210" i="630"/>
  <c r="K138" i="785"/>
  <c r="K230" i="785"/>
  <c r="K208" i="785"/>
  <c r="K262" i="785"/>
  <c r="K39" i="785"/>
  <c r="K90" i="785"/>
  <c r="H65" i="785"/>
  <c r="H141" i="630"/>
  <c r="H80" i="785"/>
  <c r="H58" i="630"/>
  <c r="H48" i="630"/>
  <c r="H16" i="785"/>
  <c r="H299" i="785"/>
  <c r="H219" i="785"/>
  <c r="H92" i="785"/>
  <c r="H138" i="630"/>
  <c r="H42" i="785"/>
  <c r="H177" i="785"/>
  <c r="H87" i="785"/>
  <c r="H200" i="630"/>
  <c r="H24" i="630"/>
  <c r="H100" i="785"/>
  <c r="H274" i="785"/>
  <c r="H112" i="785"/>
  <c r="H180" i="630"/>
  <c r="H273" i="785"/>
  <c r="H92" i="630"/>
  <c r="H108" i="785"/>
  <c r="H60" i="630"/>
  <c r="H55" i="630"/>
  <c r="H131" i="630"/>
  <c r="H18" i="812"/>
  <c r="H180" i="785"/>
  <c r="H22" i="630"/>
  <c r="H148" i="630"/>
  <c r="H157" i="630"/>
  <c r="H167" i="785"/>
  <c r="H255" i="630"/>
  <c r="H127" i="630"/>
  <c r="H223" i="785"/>
  <c r="H171" i="630"/>
  <c r="H161" i="630"/>
  <c r="H190" i="785"/>
  <c r="H82" i="785"/>
  <c r="H191" i="630"/>
  <c r="H78" i="785"/>
  <c r="H188" i="630"/>
  <c r="H35" i="630"/>
  <c r="H16" i="812"/>
  <c r="H251" i="785"/>
  <c r="H195" i="630"/>
  <c r="H275" i="785"/>
  <c r="H236" i="630"/>
  <c r="H214" i="630"/>
  <c r="H170" i="630"/>
  <c r="H19" i="812"/>
  <c r="H134" i="785"/>
  <c r="H122" i="630"/>
  <c r="H150" i="785"/>
  <c r="H237" i="785"/>
  <c r="H141" i="785"/>
  <c r="H244" i="630"/>
  <c r="H231" i="785"/>
  <c r="H164" i="630"/>
  <c r="H227" i="785"/>
  <c r="H81" i="785"/>
  <c r="H33" i="630"/>
  <c r="H25" i="785"/>
  <c r="H97" i="630"/>
  <c r="H118" i="785"/>
  <c r="H330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3" i="785"/>
  <c r="H153" i="630"/>
  <c r="H216" i="630"/>
  <c r="H50" i="630"/>
  <c r="H43" i="630"/>
  <c r="H296" i="785"/>
  <c r="H172" i="785"/>
  <c r="H22" i="812"/>
  <c r="H179" i="785"/>
  <c r="H20" i="630"/>
  <c r="H191" i="785"/>
  <c r="H11" i="630"/>
  <c r="H236" i="785"/>
  <c r="H194" i="630"/>
  <c r="H95" i="630"/>
  <c r="H257" i="785"/>
  <c r="H145" i="785"/>
  <c r="H207" i="630"/>
  <c r="H28" i="630"/>
  <c r="H12" i="630"/>
  <c r="H48" i="785"/>
  <c r="H17" i="630"/>
  <c r="H98" i="785"/>
  <c r="H130" i="785"/>
  <c r="H91" i="630"/>
  <c r="H29" i="785"/>
  <c r="H234" i="785"/>
  <c r="H30" i="630"/>
  <c r="H45" i="630"/>
  <c r="H91" i="785"/>
  <c r="H213" i="630"/>
  <c r="H321" i="785"/>
  <c r="H129" i="785"/>
  <c r="H36" i="630"/>
  <c r="H31" i="785"/>
  <c r="H18" i="630"/>
  <c r="H173" i="630"/>
  <c r="H95" i="785"/>
  <c r="H292" i="785"/>
  <c r="H155" i="630"/>
  <c r="H230" i="785"/>
  <c r="H300" i="785"/>
  <c r="H76" i="785"/>
  <c r="H262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2" i="785"/>
  <c r="H263" i="785"/>
  <c r="H63" i="785"/>
  <c r="H178" i="785"/>
  <c r="H193" i="630"/>
  <c r="H15" i="785"/>
  <c r="H253" i="785"/>
  <c r="H193" i="785"/>
  <c r="H85" i="785"/>
  <c r="H129" i="630"/>
  <c r="H27" i="630"/>
  <c r="H75" i="785"/>
  <c r="H256" i="785"/>
  <c r="H94" i="630"/>
  <c r="H208" i="785"/>
  <c r="H328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9" i="785"/>
  <c r="H137" i="785"/>
  <c r="H137" i="630"/>
  <c r="H241" i="630"/>
  <c r="H147" i="630"/>
  <c r="H179" i="630"/>
  <c r="H99" i="630"/>
  <c r="H131" i="785"/>
  <c r="H67" i="785"/>
  <c r="H277" i="785"/>
  <c r="H149" i="630"/>
  <c r="H103" i="785"/>
  <c r="H169" i="630"/>
  <c r="H73" i="785"/>
  <c r="H133" i="785"/>
  <c r="H258" i="785"/>
  <c r="H72" i="785"/>
  <c r="H173" i="785"/>
  <c r="H124" i="785"/>
  <c r="H60" i="785"/>
  <c r="H149" i="785"/>
  <c r="H265" i="785"/>
  <c r="H40" i="630"/>
  <c r="H181" i="785"/>
  <c r="H132" i="630"/>
  <c r="H203" i="630"/>
  <c r="H61" i="785"/>
  <c r="H172" i="630"/>
  <c r="H58" i="785"/>
  <c r="H140" i="630"/>
  <c r="H192" i="785"/>
  <c r="H54" i="630"/>
  <c r="H41" i="630"/>
  <c r="H254" i="785"/>
  <c r="H327" i="785"/>
  <c r="H32" i="630"/>
  <c r="H10" i="630"/>
  <c r="H44" i="630"/>
  <c r="H93" i="630"/>
  <c r="H109" i="785"/>
  <c r="H234" i="630"/>
  <c r="H25" i="812"/>
  <c r="H42" i="630"/>
  <c r="H126" i="785"/>
  <c r="H212" i="785"/>
  <c r="H319" i="785"/>
  <c r="H111" i="785"/>
  <c r="H132" i="785"/>
  <c r="H88" i="785"/>
  <c r="H42" i="812"/>
  <c r="H59" i="812" s="1"/>
  <c r="H188" i="785"/>
  <c r="H33" i="785"/>
  <c r="H212" i="630"/>
  <c r="H177" i="630"/>
  <c r="H143" i="630"/>
  <c r="H62" i="785"/>
  <c r="H235" i="785"/>
  <c r="H146" i="630"/>
  <c r="H34" i="630"/>
  <c r="H59" i="785"/>
  <c r="H23" i="630"/>
  <c r="H16" i="630"/>
  <c r="H318" i="785"/>
  <c r="H96" i="630"/>
  <c r="H69" i="785"/>
  <c r="H135" i="630"/>
  <c r="H159" i="630"/>
  <c r="H49" i="785"/>
  <c r="H90" i="785"/>
  <c r="H184" i="630"/>
  <c r="H51" i="785"/>
  <c r="H316" i="785"/>
  <c r="H37" i="630"/>
  <c r="H190" i="630"/>
  <c r="H269" i="785"/>
  <c r="H104" i="785"/>
  <c r="H125" i="785"/>
  <c r="H23" i="812"/>
  <c r="H49" i="630"/>
  <c r="H261" i="785"/>
  <c r="H17" i="812"/>
  <c r="H150" i="630"/>
  <c r="H225" i="785"/>
  <c r="H181" i="630"/>
  <c r="H320" i="785"/>
  <c r="H317" i="785"/>
  <c r="H54" i="785"/>
  <c r="H55" i="785"/>
  <c r="H186" i="785"/>
  <c r="H253" i="630"/>
  <c r="H70" i="785"/>
  <c r="H267" i="785"/>
  <c r="H256" i="630"/>
  <c r="H151" i="630"/>
  <c r="H325" i="785"/>
  <c r="H117" i="785"/>
  <c r="H38" i="630"/>
  <c r="H110" i="785"/>
  <c r="H53" i="630"/>
  <c r="H166" i="630"/>
  <c r="H192" i="630"/>
  <c r="H223" i="630"/>
  <c r="H257" i="630"/>
  <c r="H176" i="785"/>
  <c r="H94" i="785"/>
  <c r="H182" i="785"/>
  <c r="H297" i="785"/>
  <c r="H194" i="785"/>
  <c r="H121" i="630"/>
  <c r="H152" i="630"/>
  <c r="H202" i="630"/>
  <c r="H329" i="785"/>
  <c r="H113" i="785"/>
  <c r="H331" i="785"/>
  <c r="H83" i="785"/>
  <c r="H51" i="630"/>
  <c r="H170" i="785"/>
  <c r="H218" i="785"/>
  <c r="H260" i="630"/>
  <c r="H264" i="785"/>
  <c r="H123" i="630"/>
  <c r="H185" i="785"/>
  <c r="H322" i="785"/>
  <c r="H295" i="785"/>
  <c r="H326" i="785"/>
  <c r="H66" i="785"/>
  <c r="H175" i="785"/>
  <c r="H187" i="785"/>
  <c r="H174" i="630"/>
  <c r="H186" i="630"/>
  <c r="H169" i="785"/>
  <c r="H217" i="630"/>
  <c r="H121" i="785"/>
  <c r="H14" i="785"/>
  <c r="H84" i="785"/>
  <c r="H24" i="785"/>
  <c r="H115" i="785"/>
  <c r="H298" i="785"/>
  <c r="H232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8" i="785"/>
  <c r="H47" i="630"/>
  <c r="H47" i="785"/>
  <c r="H158" i="630"/>
  <c r="H199" i="630"/>
  <c r="H247" i="785"/>
  <c r="H79" i="785"/>
  <c r="H125" i="630"/>
  <c r="H25" i="630"/>
  <c r="H126" i="630"/>
  <c r="H39" i="630"/>
  <c r="H189" i="785"/>
  <c r="H15" i="812"/>
  <c r="H249" i="785"/>
  <c r="H168" i="630"/>
  <c r="H120" i="630"/>
  <c r="H332" i="785"/>
  <c r="H14" i="630"/>
  <c r="H96" i="785"/>
  <c r="H21" i="630"/>
  <c r="H26" i="785"/>
  <c r="H165" i="630"/>
  <c r="H293" i="785"/>
  <c r="H138" i="785"/>
  <c r="H102" i="785"/>
  <c r="H100" i="630"/>
  <c r="H268" i="785"/>
  <c r="H27" i="785"/>
  <c r="H144" i="785"/>
  <c r="H276" i="785"/>
  <c r="H24" i="812"/>
  <c r="H57" i="630"/>
  <c r="H240" i="630"/>
  <c r="H26" i="812"/>
  <c r="H183" i="785"/>
  <c r="H266" i="785"/>
  <c r="H301" i="785"/>
  <c r="H260" i="785"/>
  <c r="H128" i="785"/>
  <c r="H248" i="785"/>
  <c r="H162" i="630"/>
  <c r="H53" i="785"/>
  <c r="H250" i="630"/>
  <c r="H252" i="785"/>
  <c r="H196" i="630"/>
  <c r="H29" i="630"/>
  <c r="H77" i="785"/>
  <c r="I200" i="630"/>
  <c r="I141" i="630"/>
  <c r="I26" i="785"/>
  <c r="I48" i="785"/>
  <c r="J229" i="785"/>
  <c r="F229" i="785" s="1"/>
  <c r="I223" i="630"/>
  <c r="L180" i="630"/>
  <c r="I150" i="785"/>
  <c r="J87" i="785"/>
  <c r="I189" i="785"/>
  <c r="I133" i="785"/>
  <c r="J132" i="785"/>
  <c r="I23" i="630"/>
  <c r="I15" i="812"/>
  <c r="I83" i="785"/>
  <c r="J176" i="785"/>
  <c r="I49" i="785"/>
  <c r="F238" i="630"/>
  <c r="L200" i="630"/>
  <c r="I92" i="785"/>
  <c r="J91" i="785"/>
  <c r="I170" i="630"/>
  <c r="J264" i="785"/>
  <c r="F252" i="630"/>
  <c r="J168" i="785"/>
  <c r="L36" i="630"/>
  <c r="J183" i="785"/>
  <c r="I292" i="785"/>
  <c r="L96" i="630"/>
  <c r="F96" i="630" s="1"/>
  <c r="P96" i="630" s="1"/>
  <c r="L12" i="630"/>
  <c r="I319" i="785"/>
  <c r="L99" i="630"/>
  <c r="F99" i="630" s="1"/>
  <c r="P99" i="630" s="1"/>
  <c r="J276" i="785"/>
  <c r="I262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6" i="785"/>
  <c r="J222" i="785"/>
  <c r="J263" i="785"/>
  <c r="F263" i="785" s="1"/>
  <c r="F245" i="630"/>
  <c r="L189" i="630"/>
  <c r="I235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2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2" i="785"/>
  <c r="F272" i="785" s="1"/>
  <c r="M272" i="785" s="1"/>
  <c r="S272" i="785" s="1"/>
  <c r="I247" i="785"/>
  <c r="J232" i="785"/>
  <c r="J14" i="812"/>
  <c r="J56" i="812"/>
  <c r="J65" i="785"/>
  <c r="F65" i="785" s="1"/>
  <c r="J193" i="785"/>
  <c r="I15" i="630"/>
  <c r="L181" i="630"/>
  <c r="I62" i="785"/>
  <c r="J257" i="785"/>
  <c r="I69" i="785"/>
  <c r="J259" i="785"/>
  <c r="L223" i="630"/>
  <c r="I184" i="630"/>
  <c r="L182" i="630"/>
  <c r="L221" i="630"/>
  <c r="I170" i="785"/>
  <c r="L60" i="630"/>
  <c r="I123" i="785"/>
  <c r="I120" i="630"/>
  <c r="I190" i="785"/>
  <c r="J224" i="785"/>
  <c r="F224" i="785" s="1"/>
  <c r="I25" i="785"/>
  <c r="J145" i="785"/>
  <c r="L53" i="630"/>
  <c r="I16" i="785"/>
  <c r="J85" i="785"/>
  <c r="F85" i="785" s="1"/>
  <c r="I194" i="785"/>
  <c r="I17" i="812"/>
  <c r="F229" i="630"/>
  <c r="I193" i="630"/>
  <c r="J15" i="812"/>
  <c r="J251" i="785"/>
  <c r="I18" i="812"/>
  <c r="I15" i="785"/>
  <c r="I190" i="630"/>
  <c r="I19" i="630"/>
  <c r="J301" i="785"/>
  <c r="L130" i="630"/>
  <c r="L121" i="630"/>
  <c r="I188" i="785"/>
  <c r="L196" i="630"/>
  <c r="I38" i="785"/>
  <c r="J46" i="812"/>
  <c r="I47" i="812"/>
  <c r="L155" i="630"/>
  <c r="I238" i="630"/>
  <c r="F251" i="630"/>
  <c r="I162" i="630"/>
  <c r="L154" i="630"/>
  <c r="I318" i="785"/>
  <c r="L173" i="630"/>
  <c r="I299" i="785"/>
  <c r="F198" i="630"/>
  <c r="I34" i="785"/>
  <c r="L250" i="630"/>
  <c r="L16" i="630"/>
  <c r="I30" i="630"/>
  <c r="I300" i="785"/>
  <c r="I253" i="630"/>
  <c r="L14" i="630"/>
  <c r="I56" i="812"/>
  <c r="L153" i="630"/>
  <c r="I316" i="785"/>
  <c r="L21" i="630"/>
  <c r="I222" i="630"/>
  <c r="I45" i="812"/>
  <c r="L44" i="630"/>
  <c r="I232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60" i="785"/>
  <c r="I126" i="630"/>
  <c r="L148" i="630"/>
  <c r="L222" i="630"/>
  <c r="I60" i="630"/>
  <c r="I41" i="812"/>
  <c r="I184" i="785"/>
  <c r="F220" i="630"/>
  <c r="J142" i="785"/>
  <c r="F142" i="785" s="1"/>
  <c r="J178" i="785"/>
  <c r="I145" i="630"/>
  <c r="J328" i="785"/>
  <c r="J182" i="785"/>
  <c r="J190" i="785"/>
  <c r="J63" i="785"/>
  <c r="I181" i="785"/>
  <c r="J20" i="812"/>
  <c r="I273" i="785"/>
  <c r="I328" i="785"/>
  <c r="I159" i="630"/>
  <c r="J122" i="785"/>
  <c r="F201" i="630"/>
  <c r="I43" i="785"/>
  <c r="J117" i="785"/>
  <c r="L207" i="630"/>
  <c r="L28" i="630"/>
  <c r="J316" i="785"/>
  <c r="J125" i="785"/>
  <c r="F125" i="785" s="1"/>
  <c r="F235" i="630"/>
  <c r="I54" i="785"/>
  <c r="J88" i="785"/>
  <c r="J40" i="785"/>
  <c r="I95" i="630"/>
  <c r="L243" i="630"/>
  <c r="J238" i="785"/>
  <c r="I158" i="630"/>
  <c r="L55" i="630"/>
  <c r="I54" i="630"/>
  <c r="J213" i="785"/>
  <c r="I249" i="630"/>
  <c r="J247" i="785"/>
  <c r="J253" i="785"/>
  <c r="F253" i="785" s="1"/>
  <c r="I169" i="785"/>
  <c r="J76" i="785"/>
  <c r="I75" i="785"/>
  <c r="I317" i="785"/>
  <c r="I336" i="785" s="1"/>
  <c r="I73" i="785"/>
  <c r="I51" i="630"/>
  <c r="J299" i="785"/>
  <c r="I224" i="785"/>
  <c r="I277" i="785"/>
  <c r="I259" i="785"/>
  <c r="I160" i="630"/>
  <c r="I297" i="785"/>
  <c r="I234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6" i="785"/>
  <c r="J275" i="785"/>
  <c r="L98" i="630"/>
  <c r="F98" i="630" s="1"/>
  <c r="P98" i="630" s="1"/>
  <c r="I199" i="630"/>
  <c r="I221" i="785"/>
  <c r="I130" i="630"/>
  <c r="L37" i="630"/>
  <c r="I248" i="630"/>
  <c r="J167" i="785"/>
  <c r="J248" i="785"/>
  <c r="F248" i="785" s="1"/>
  <c r="J127" i="785"/>
  <c r="J52" i="812"/>
  <c r="I211" i="785"/>
  <c r="L139" i="630"/>
  <c r="I274" i="785"/>
  <c r="J128" i="785"/>
  <c r="F128" i="785" s="1"/>
  <c r="I139" i="630"/>
  <c r="J54" i="812"/>
  <c r="J296" i="785"/>
  <c r="I119" i="630"/>
  <c r="L239" i="630"/>
  <c r="I35" i="785"/>
  <c r="L135" i="630"/>
  <c r="L178" i="630"/>
  <c r="I87" i="785"/>
  <c r="I219" i="785"/>
  <c r="J233" i="785"/>
  <c r="F233" i="785" s="1"/>
  <c r="L213" i="630"/>
  <c r="I210" i="785"/>
  <c r="F240" i="630"/>
  <c r="I59" i="630"/>
  <c r="J32" i="785"/>
  <c r="J177" i="785"/>
  <c r="J329" i="785"/>
  <c r="I85" i="785"/>
  <c r="I197" i="630"/>
  <c r="I28" i="630"/>
  <c r="J256" i="785"/>
  <c r="J78" i="785"/>
  <c r="J51" i="785"/>
  <c r="J110" i="785"/>
  <c r="L237" i="630"/>
  <c r="J254" i="785"/>
  <c r="L46" i="630"/>
  <c r="L233" i="630"/>
  <c r="J194" i="785"/>
  <c r="I52" i="812"/>
  <c r="J191" i="785"/>
  <c r="I36" i="785"/>
  <c r="I152" i="785" s="1"/>
  <c r="L216" i="630"/>
  <c r="I65" i="785"/>
  <c r="J169" i="785"/>
  <c r="I11" i="630"/>
  <c r="I227" i="785"/>
  <c r="L244" i="630"/>
  <c r="I246" i="630"/>
  <c r="I301" i="785"/>
  <c r="I209" i="785"/>
  <c r="L211" i="630"/>
  <c r="I241" i="630"/>
  <c r="I136" i="630"/>
  <c r="L224" i="630"/>
  <c r="I332" i="785"/>
  <c r="I168" i="785"/>
  <c r="J38" i="785"/>
  <c r="J124" i="785"/>
  <c r="F124" i="785" s="1"/>
  <c r="I222" i="785"/>
  <c r="I252" i="630"/>
  <c r="I224" i="630"/>
  <c r="J129" i="785"/>
  <c r="F129" i="785" s="1"/>
  <c r="L186" i="630"/>
  <c r="I27" i="630"/>
  <c r="I59" i="785"/>
  <c r="I327" i="785"/>
  <c r="I105" i="785"/>
  <c r="I216" i="630"/>
  <c r="L127" i="630"/>
  <c r="J26" i="785"/>
  <c r="I218" i="785"/>
  <c r="I17" i="630"/>
  <c r="F260" i="630"/>
  <c r="L169" i="630"/>
  <c r="I265" i="785"/>
  <c r="J80" i="785"/>
  <c r="F232" i="630"/>
  <c r="I208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4" i="785"/>
  <c r="F274" i="785" s="1"/>
  <c r="M274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4" i="785"/>
  <c r="F294" i="785" s="1"/>
  <c r="J252" i="785"/>
  <c r="F200" i="630"/>
  <c r="I296" i="785"/>
  <c r="I57" i="630"/>
  <c r="F246" i="630"/>
  <c r="F223" i="630"/>
  <c r="L50" i="630"/>
  <c r="L232" i="630"/>
  <c r="I329" i="785"/>
  <c r="J214" i="785"/>
  <c r="I54" i="812"/>
  <c r="I322" i="785"/>
  <c r="J30" i="785"/>
  <c r="F236" i="630"/>
  <c r="J326" i="785"/>
  <c r="L160" i="630"/>
  <c r="I210" i="630"/>
  <c r="L124" i="630"/>
  <c r="L254" i="630"/>
  <c r="I188" i="630"/>
  <c r="I37" i="785"/>
  <c r="I223" i="785"/>
  <c r="J221" i="785"/>
  <c r="F221" i="785" s="1"/>
  <c r="J109" i="785"/>
  <c r="J106" i="785"/>
  <c r="F106" i="785" s="1"/>
  <c r="J55" i="812"/>
  <c r="I154" i="630"/>
  <c r="L11" i="630"/>
  <c r="J13" i="812"/>
  <c r="I22" i="812"/>
  <c r="I295" i="785"/>
  <c r="L142" i="630"/>
  <c r="J327" i="785"/>
  <c r="I84" i="785"/>
  <c r="J227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7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3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5" i="785"/>
  <c r="I35" i="630"/>
  <c r="J25" i="812"/>
  <c r="F222" i="630"/>
  <c r="F196" i="630"/>
  <c r="F256" i="630"/>
  <c r="I163" i="630"/>
  <c r="I32" i="785"/>
  <c r="J75" i="785"/>
  <c r="I185" i="630"/>
  <c r="J141" i="785"/>
  <c r="J300" i="785"/>
  <c r="J101" i="785"/>
  <c r="L31" i="630"/>
  <c r="I77" i="785"/>
  <c r="J59" i="785"/>
  <c r="I14" i="785"/>
  <c r="J175" i="785"/>
  <c r="I123" i="630"/>
  <c r="J23" i="812"/>
  <c r="J140" i="785"/>
  <c r="F140" i="785" s="1"/>
  <c r="I27" i="785"/>
  <c r="I226" i="630"/>
  <c r="L218" i="630"/>
  <c r="F250" i="630"/>
  <c r="J43" i="785"/>
  <c r="J58" i="785"/>
  <c r="J230" i="785"/>
  <c r="I61" i="785"/>
  <c r="J235" i="785"/>
  <c r="L202" i="630"/>
  <c r="I55" i="785"/>
  <c r="I142" i="785"/>
  <c r="I248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1" i="785"/>
  <c r="L51" i="630"/>
  <c r="I181" i="630"/>
  <c r="J139" i="785"/>
  <c r="I172" i="785"/>
  <c r="J180" i="785"/>
  <c r="I100" i="630"/>
  <c r="I135" i="630"/>
  <c r="L126" i="630"/>
  <c r="I266" i="785"/>
  <c r="I16" i="812"/>
  <c r="J325" i="785"/>
  <c r="I330" i="785"/>
  <c r="J60" i="785"/>
  <c r="F199" i="630"/>
  <c r="J131" i="785"/>
  <c r="F131" i="785" s="1"/>
  <c r="L29" i="630"/>
  <c r="J212" i="785"/>
  <c r="F212" i="785" s="1"/>
  <c r="I44" i="785"/>
  <c r="I231" i="785"/>
  <c r="I179" i="630"/>
  <c r="I183" i="785"/>
  <c r="I96" i="630"/>
  <c r="J72" i="785"/>
  <c r="L217" i="630"/>
  <c r="J45" i="812"/>
  <c r="L41" i="630"/>
  <c r="L230" i="630"/>
  <c r="J42" i="812"/>
  <c r="J208" i="785"/>
  <c r="J82" i="785"/>
  <c r="L47" i="630"/>
  <c r="I237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1" i="785"/>
  <c r="F261" i="785" s="1"/>
  <c r="I31" i="785"/>
  <c r="I207" i="630"/>
  <c r="I138" i="785"/>
  <c r="L52" i="630"/>
  <c r="I275" i="785"/>
  <c r="I44" i="812"/>
  <c r="L163" i="630"/>
  <c r="I149" i="630"/>
  <c r="I260" i="630"/>
  <c r="I122" i="785"/>
  <c r="I52" i="630"/>
  <c r="I45" i="630"/>
  <c r="J33" i="785"/>
  <c r="L204" i="630"/>
  <c r="J231" i="785"/>
  <c r="I139" i="785"/>
  <c r="I44" i="630"/>
  <c r="I250" i="630"/>
  <c r="J267" i="785"/>
  <c r="J209" i="785"/>
  <c r="F209" i="785" s="1"/>
  <c r="L229" i="630"/>
  <c r="I198" i="630"/>
  <c r="J57" i="785"/>
  <c r="I267" i="785"/>
  <c r="J44" i="812"/>
  <c r="I86" i="785"/>
  <c r="J21" i="785"/>
  <c r="I137" i="630"/>
  <c r="J37" i="785"/>
  <c r="J321" i="785"/>
  <c r="J115" i="785"/>
  <c r="F115" i="785" s="1"/>
  <c r="J130" i="785"/>
  <c r="I26" i="630"/>
  <c r="I185" i="785"/>
  <c r="I220" i="785"/>
  <c r="J26" i="812"/>
  <c r="J147" i="785"/>
  <c r="J192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4" i="785"/>
  <c r="I238" i="785"/>
  <c r="F255" i="630"/>
  <c r="J189" i="785"/>
  <c r="I325" i="785"/>
  <c r="I249" i="785"/>
  <c r="L176" i="630"/>
  <c r="I255" i="630"/>
  <c r="I132" i="785"/>
  <c r="I293" i="785"/>
  <c r="J96" i="785"/>
  <c r="I177" i="785"/>
  <c r="L137" i="630"/>
  <c r="J216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7" i="785"/>
  <c r="I41" i="630"/>
  <c r="I26" i="812"/>
  <c r="I131" i="630"/>
  <c r="I258" i="785"/>
  <c r="I187" i="630"/>
  <c r="L20" i="630"/>
  <c r="J184" i="785"/>
  <c r="I39" i="630"/>
  <c r="I20" i="630"/>
  <c r="I49" i="630"/>
  <c r="I89" i="785"/>
  <c r="I47" i="785"/>
  <c r="F248" i="630"/>
  <c r="F243" i="630"/>
  <c r="I18" i="630"/>
  <c r="J181" i="785"/>
  <c r="J41" i="785"/>
  <c r="L192" i="630"/>
  <c r="I128" i="630"/>
  <c r="J73" i="785"/>
  <c r="J133" i="785"/>
  <c r="I231" i="630"/>
  <c r="I272" i="785"/>
  <c r="I119" i="785"/>
  <c r="L39" i="630"/>
  <c r="J119" i="785"/>
  <c r="F119" i="785" s="1"/>
  <c r="I48" i="630"/>
  <c r="L257" i="630"/>
  <c r="J69" i="785"/>
  <c r="L246" i="630"/>
  <c r="I19" i="785"/>
  <c r="J62" i="785"/>
  <c r="J322" i="785"/>
  <c r="I80" i="785"/>
  <c r="J24" i="812"/>
  <c r="F24" i="812" s="1"/>
  <c r="L214" i="630"/>
  <c r="L122" i="630"/>
  <c r="I257" i="785"/>
  <c r="L33" i="630"/>
  <c r="J185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6" i="785"/>
  <c r="F239" i="630"/>
  <c r="I192" i="630"/>
  <c r="L185" i="630"/>
  <c r="L255" i="630"/>
  <c r="F205" i="630"/>
  <c r="I213" i="785"/>
  <c r="L158" i="630"/>
  <c r="I260" i="785"/>
  <c r="I172" i="630"/>
  <c r="F213" i="630"/>
  <c r="L177" i="630"/>
  <c r="I153" i="630"/>
  <c r="L172" i="630"/>
  <c r="I236" i="785"/>
  <c r="I191" i="785"/>
  <c r="I46" i="812"/>
  <c r="I144" i="630"/>
  <c r="J226" i="785"/>
  <c r="F226" i="785" s="1"/>
  <c r="I127" i="785"/>
  <c r="I182" i="630"/>
  <c r="J17" i="785"/>
  <c r="I82" i="785"/>
  <c r="L248" i="630"/>
  <c r="L225" i="630"/>
  <c r="I179" i="785"/>
  <c r="I111" i="785"/>
  <c r="J218" i="785"/>
  <c r="F218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8" i="785"/>
  <c r="I164" i="630"/>
  <c r="I19" i="812"/>
  <c r="F228" i="630"/>
  <c r="I37" i="630"/>
  <c r="I225" i="785"/>
  <c r="I101" i="785"/>
  <c r="I169" i="630"/>
  <c r="L120" i="630"/>
  <c r="I216" i="785"/>
  <c r="I148" i="785"/>
  <c r="I195" i="630"/>
  <c r="J35" i="785"/>
  <c r="F35" i="785" s="1"/>
  <c r="L42" i="630"/>
  <c r="J148" i="785"/>
  <c r="I93" i="630"/>
  <c r="J249" i="785"/>
  <c r="F249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1" i="785"/>
  <c r="I50" i="630"/>
  <c r="J46" i="785"/>
  <c r="F46" i="785" s="1"/>
  <c r="J79" i="785"/>
  <c r="I118" i="630"/>
  <c r="I236" i="630"/>
  <c r="I14" i="812"/>
  <c r="J210" i="785"/>
  <c r="F210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1" i="785"/>
  <c r="F211" i="785" s="1"/>
  <c r="I67" i="785"/>
  <c r="L38" i="630"/>
  <c r="J332" i="785"/>
  <c r="I150" i="630"/>
  <c r="J295" i="785"/>
  <c r="I212" i="630"/>
  <c r="I326" i="785"/>
  <c r="I276" i="785"/>
  <c r="J320" i="785"/>
  <c r="I180" i="785"/>
  <c r="L219" i="630"/>
  <c r="I55" i="812"/>
  <c r="I194" i="630"/>
  <c r="I33" i="785"/>
  <c r="I201" i="630"/>
  <c r="I294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6" i="785"/>
  <c r="I76" i="785"/>
  <c r="J223" i="785"/>
  <c r="I233" i="785"/>
  <c r="I149" i="785"/>
  <c r="F207" i="630"/>
  <c r="I209" i="630"/>
  <c r="J237" i="785"/>
  <c r="L40" i="630"/>
  <c r="F258" i="630"/>
  <c r="I40" i="785"/>
  <c r="J330" i="785"/>
  <c r="L183" i="630"/>
  <c r="I104" i="785"/>
  <c r="I66" i="785"/>
  <c r="J293" i="785"/>
  <c r="F293" i="785" s="1"/>
  <c r="F244" i="630"/>
  <c r="J331" i="785"/>
  <c r="I98" i="630"/>
  <c r="I233" i="630"/>
  <c r="J318" i="785"/>
  <c r="I178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3" i="785"/>
  <c r="J41" i="812"/>
  <c r="J20" i="785"/>
  <c r="I186" i="630"/>
  <c r="I147" i="630"/>
  <c r="J19" i="812"/>
  <c r="L32" i="630"/>
  <c r="I230" i="785"/>
  <c r="J48" i="785"/>
  <c r="J53" i="785"/>
  <c r="F53" i="785" s="1"/>
  <c r="I42" i="630"/>
  <c r="I58" i="630"/>
  <c r="F221" i="630"/>
  <c r="L171" i="630"/>
  <c r="F249" i="630"/>
  <c r="F202" i="630"/>
  <c r="J219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5" i="785"/>
  <c r="L18" i="630"/>
  <c r="L26" i="630"/>
  <c r="L164" i="630"/>
  <c r="L245" i="630"/>
  <c r="I130" i="785"/>
  <c r="L247" i="630"/>
  <c r="L146" i="630"/>
  <c r="J298" i="785"/>
  <c r="I34" i="630"/>
  <c r="I157" i="630"/>
  <c r="I97" i="630"/>
  <c r="J297" i="785"/>
  <c r="F214" i="630"/>
  <c r="I235" i="630"/>
  <c r="I217" i="630"/>
  <c r="I173" i="630"/>
  <c r="J27" i="785"/>
  <c r="I95" i="785"/>
  <c r="I102" i="785"/>
  <c r="J268" i="785"/>
  <c r="F268" i="785" s="1"/>
  <c r="M268" i="785" s="1"/>
  <c r="S268" i="785" s="1"/>
  <c r="I129" i="630"/>
  <c r="J138" i="785"/>
  <c r="I152" i="630"/>
  <c r="J17" i="812"/>
  <c r="J273" i="785"/>
  <c r="F273" i="785" s="1"/>
  <c r="M273" i="785" s="1"/>
  <c r="S273" i="785" s="1"/>
  <c r="I321" i="785"/>
  <c r="I189" i="630"/>
  <c r="L187" i="630"/>
  <c r="L253" i="630"/>
  <c r="J39" i="785"/>
  <c r="I182" i="785"/>
  <c r="L27" i="630"/>
  <c r="I212" i="785"/>
  <c r="J179" i="785"/>
  <c r="I161" i="630"/>
  <c r="F215" i="630"/>
  <c r="L35" i="630"/>
  <c r="L258" i="630"/>
  <c r="L151" i="630"/>
  <c r="J292" i="785"/>
  <c r="J47" i="785"/>
  <c r="F216" i="630"/>
  <c r="L195" i="630"/>
  <c r="J18" i="785"/>
  <c r="I192" i="785"/>
  <c r="I63" i="785"/>
  <c r="I21" i="630"/>
  <c r="I43" i="812"/>
  <c r="L159" i="630"/>
  <c r="J18" i="812"/>
  <c r="I165" i="630"/>
  <c r="J234" i="785"/>
  <c r="I98" i="785"/>
  <c r="L56" i="630"/>
  <c r="I121" i="630"/>
  <c r="I298" i="785"/>
  <c r="J135" i="785"/>
  <c r="F135" i="785" s="1"/>
  <c r="J144" i="785"/>
  <c r="L215" i="630"/>
  <c r="J319" i="785"/>
  <c r="F203" i="630"/>
  <c r="J103" i="785"/>
  <c r="F103" i="785" s="1"/>
  <c r="J258" i="785"/>
  <c r="F258" i="785" s="1"/>
  <c r="J13" i="785"/>
  <c r="I90" i="630"/>
  <c r="I23" i="812"/>
  <c r="I138" i="630"/>
  <c r="L23" i="630"/>
  <c r="I53" i="812"/>
  <c r="I268" i="785"/>
  <c r="L236" i="630"/>
  <c r="I320" i="785"/>
  <c r="I102" i="630"/>
  <c r="I240" i="630"/>
  <c r="I56" i="630"/>
  <c r="I57" i="785"/>
  <c r="I13" i="785"/>
  <c r="J265" i="785"/>
  <c r="F265" i="785" s="1"/>
  <c r="J149" i="785"/>
  <c r="L231" i="630"/>
  <c r="I186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7" i="785"/>
  <c r="I137" i="785"/>
  <c r="J220" i="785"/>
  <c r="F220" i="785" s="1"/>
  <c r="I109" i="785"/>
  <c r="L144" i="630"/>
  <c r="L97" i="630"/>
  <c r="F97" i="630" s="1"/>
  <c r="P97" i="630" s="1"/>
  <c r="I167" i="630"/>
  <c r="I129" i="785"/>
  <c r="J98" i="785"/>
  <c r="L251" i="630"/>
  <c r="K52" i="785"/>
  <c r="R305" i="785"/>
  <c r="R303" i="785"/>
  <c r="K78" i="785"/>
  <c r="Y315" i="630"/>
  <c r="R198" i="785"/>
  <c r="R196" i="785"/>
  <c r="S19" i="785"/>
  <c r="R153" i="785"/>
  <c r="Q105" i="630"/>
  <c r="T306" i="630" s="1"/>
  <c r="P306" i="630"/>
  <c r="K179" i="785"/>
  <c r="BI16" i="785"/>
  <c r="BI30" i="785" s="1"/>
  <c r="S209" i="785"/>
  <c r="R281" i="785"/>
  <c r="R279" i="785"/>
  <c r="Q23" i="785"/>
  <c r="Q154" i="785" s="1"/>
  <c r="T315" i="630"/>
  <c r="BI32" i="785"/>
  <c r="W315" i="630"/>
  <c r="L23" i="785"/>
  <c r="K268" i="785"/>
  <c r="O296" i="630"/>
  <c r="R157" i="785"/>
  <c r="L154" i="785" l="1"/>
  <c r="H156" i="785"/>
  <c r="L156" i="785"/>
  <c r="D298" i="630"/>
  <c r="H154" i="785"/>
  <c r="K154" i="785"/>
  <c r="K156" i="785"/>
  <c r="J156" i="785"/>
  <c r="I156" i="785"/>
  <c r="I154" i="785"/>
  <c r="J154" i="785"/>
  <c r="Q155" i="785"/>
  <c r="M12" i="812"/>
  <c r="M41" i="812"/>
  <c r="O128" i="630"/>
  <c r="P128" i="630" s="1"/>
  <c r="M332" i="785"/>
  <c r="N332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9" i="785"/>
  <c r="Q280" i="785"/>
  <c r="J280" i="785"/>
  <c r="H280" i="785"/>
  <c r="M213" i="785"/>
  <c r="N213" i="785" s="1"/>
  <c r="S213" i="785" s="1"/>
  <c r="L280" i="785"/>
  <c r="I280" i="785"/>
  <c r="P216" i="630"/>
  <c r="U216" i="630" s="1"/>
  <c r="H282" i="785"/>
  <c r="K279" i="785"/>
  <c r="K281" i="785" s="1"/>
  <c r="H279" i="785"/>
  <c r="M246" i="785"/>
  <c r="N246" i="785" s="1"/>
  <c r="M247" i="785"/>
  <c r="N247" i="785" s="1"/>
  <c r="J283" i="785"/>
  <c r="M248" i="785"/>
  <c r="F244" i="785"/>
  <c r="J282" i="785"/>
  <c r="I279" i="785"/>
  <c r="I282" i="785"/>
  <c r="M242" i="785"/>
  <c r="N242" i="785" s="1"/>
  <c r="P233" i="630"/>
  <c r="U233" i="630" s="1"/>
  <c r="F240" i="785"/>
  <c r="M107" i="785"/>
  <c r="P237" i="630"/>
  <c r="F93" i="785"/>
  <c r="L279" i="785"/>
  <c r="F241" i="785"/>
  <c r="P243" i="630"/>
  <c r="U243" i="630" s="1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5" i="785"/>
  <c r="F97" i="785"/>
  <c r="M228" i="785"/>
  <c r="L261" i="630"/>
  <c r="M324" i="785"/>
  <c r="N324" i="785" s="1"/>
  <c r="S324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7" i="785"/>
  <c r="I262" i="630"/>
  <c r="I263" i="630"/>
  <c r="L263" i="630"/>
  <c r="L262" i="630"/>
  <c r="I261" i="630"/>
  <c r="M222" i="785"/>
  <c r="M235" i="785"/>
  <c r="N235" i="785" s="1"/>
  <c r="M232" i="785"/>
  <c r="M234" i="785"/>
  <c r="N234" i="785" s="1"/>
  <c r="M219" i="785"/>
  <c r="N219" i="785" s="1"/>
  <c r="M227" i="785"/>
  <c r="M208" i="785"/>
  <c r="N208" i="785" s="1"/>
  <c r="M223" i="785"/>
  <c r="M231" i="785"/>
  <c r="N231" i="785" s="1"/>
  <c r="M218" i="785"/>
  <c r="M225" i="785"/>
  <c r="M216" i="785"/>
  <c r="M230" i="785"/>
  <c r="N230" i="785" s="1"/>
  <c r="M209" i="785"/>
  <c r="M13" i="785"/>
  <c r="S103" i="630"/>
  <c r="S105" i="630"/>
  <c r="AD315" i="630"/>
  <c r="M323" i="785"/>
  <c r="N323" i="785" s="1"/>
  <c r="S323" i="785" s="1"/>
  <c r="M270" i="785"/>
  <c r="S270" i="785" s="1"/>
  <c r="M271" i="785"/>
  <c r="AE315" i="630"/>
  <c r="Q151" i="785"/>
  <c r="O13" i="630"/>
  <c r="P13" i="630" s="1"/>
  <c r="U13" i="630" s="1"/>
  <c r="M54" i="812"/>
  <c r="N54" i="812" s="1"/>
  <c r="S54" i="812" s="1"/>
  <c r="M250" i="785"/>
  <c r="N250" i="785" s="1"/>
  <c r="M53" i="812"/>
  <c r="N53" i="812" s="1"/>
  <c r="S53" i="812" s="1"/>
  <c r="M50" i="812"/>
  <c r="N50" i="812" s="1"/>
  <c r="S50" i="812" s="1"/>
  <c r="L104" i="630"/>
  <c r="M52" i="812"/>
  <c r="N52" i="812" s="1"/>
  <c r="F199" i="785"/>
  <c r="M48" i="812"/>
  <c r="N48" i="812" s="1"/>
  <c r="S48" i="812" s="1"/>
  <c r="M43" i="812"/>
  <c r="N43" i="812" s="1"/>
  <c r="M34" i="785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4" i="785"/>
  <c r="M45" i="812"/>
  <c r="N45" i="812" s="1"/>
  <c r="S45" i="812" s="1"/>
  <c r="F198" i="785"/>
  <c r="M14" i="812"/>
  <c r="N14" i="812" s="1"/>
  <c r="S14" i="812" s="1"/>
  <c r="M46" i="812"/>
  <c r="N46" i="812" s="1"/>
  <c r="M47" i="812"/>
  <c r="N47" i="812" s="1"/>
  <c r="S47" i="812" s="1"/>
  <c r="F305" i="785"/>
  <c r="F62" i="812"/>
  <c r="M104" i="630"/>
  <c r="K197" i="785"/>
  <c r="L32" i="812"/>
  <c r="S258" i="785"/>
  <c r="M57" i="812"/>
  <c r="N57" i="812" s="1"/>
  <c r="S57" i="812" s="1"/>
  <c r="H264" i="630"/>
  <c r="BC337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9" i="785"/>
  <c r="M26" i="785"/>
  <c r="N26" i="785" s="1"/>
  <c r="S26" i="785" s="1"/>
  <c r="M79" i="785"/>
  <c r="N79" i="785" s="1"/>
  <c r="O15" i="630"/>
  <c r="P15" i="630" s="1"/>
  <c r="M170" i="785"/>
  <c r="N170" i="785" s="1"/>
  <c r="M188" i="785"/>
  <c r="M181" i="785"/>
  <c r="N181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90" i="785"/>
  <c r="N190" i="785" s="1"/>
  <c r="L266" i="630"/>
  <c r="J303" i="785"/>
  <c r="J305" i="785" s="1"/>
  <c r="M68" i="785"/>
  <c r="N68" i="785" s="1"/>
  <c r="J196" i="785"/>
  <c r="F20" i="812"/>
  <c r="J32" i="812"/>
  <c r="L264" i="630"/>
  <c r="I264" i="630"/>
  <c r="M77" i="785"/>
  <c r="N77" i="785" s="1"/>
  <c r="M266" i="785"/>
  <c r="M26" i="812"/>
  <c r="N26" i="812" s="1"/>
  <c r="S26" i="812" s="1"/>
  <c r="M276" i="785"/>
  <c r="N276" i="785" s="1"/>
  <c r="M96" i="785"/>
  <c r="N96" i="785" s="1"/>
  <c r="M40" i="785"/>
  <c r="N40" i="785" s="1"/>
  <c r="S40" i="785" s="1"/>
  <c r="M238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5" i="785"/>
  <c r="N175" i="785" s="1"/>
  <c r="M322" i="785"/>
  <c r="N322" i="785" s="1"/>
  <c r="S322" i="785" s="1"/>
  <c r="M83" i="785"/>
  <c r="N83" i="785" s="1"/>
  <c r="M329" i="785"/>
  <c r="N329" i="785" s="1"/>
  <c r="M194" i="785"/>
  <c r="H197" i="785"/>
  <c r="M176" i="785"/>
  <c r="N176" i="785" s="1"/>
  <c r="M117" i="785"/>
  <c r="N117" i="785" s="1"/>
  <c r="S117" i="785" s="1"/>
  <c r="M267" i="785"/>
  <c r="M55" i="785"/>
  <c r="N55" i="785" s="1"/>
  <c r="S55" i="785" s="1"/>
  <c r="M51" i="785"/>
  <c r="N51" i="785" s="1"/>
  <c r="M318" i="785"/>
  <c r="M59" i="785"/>
  <c r="N59" i="785" s="1"/>
  <c r="M62" i="785"/>
  <c r="N62" i="785" s="1"/>
  <c r="M33" i="785"/>
  <c r="N33" i="785" s="1"/>
  <c r="M88" i="785"/>
  <c r="N88" i="785" s="1"/>
  <c r="M254" i="785"/>
  <c r="N254" i="785" s="1"/>
  <c r="M20" i="785"/>
  <c r="N20" i="785" s="1"/>
  <c r="S20" i="785" s="1"/>
  <c r="M22" i="785"/>
  <c r="N22" i="785" s="1"/>
  <c r="M148" i="785"/>
  <c r="N148" i="785" s="1"/>
  <c r="O27" i="630"/>
  <c r="P27" i="630" s="1"/>
  <c r="M178" i="785"/>
  <c r="M17" i="785"/>
  <c r="N17" i="785" s="1"/>
  <c r="M44" i="785"/>
  <c r="N44" i="785" s="1"/>
  <c r="S44" i="785" s="1"/>
  <c r="O18" i="630"/>
  <c r="P18" i="630" s="1"/>
  <c r="M321" i="785"/>
  <c r="N321" i="785" s="1"/>
  <c r="O30" i="630"/>
  <c r="P30" i="630" s="1"/>
  <c r="M145" i="785"/>
  <c r="N145" i="785" s="1"/>
  <c r="S145" i="785" s="1"/>
  <c r="M236" i="785"/>
  <c r="M179" i="785"/>
  <c r="M296" i="785"/>
  <c r="N296" i="785" s="1"/>
  <c r="S296" i="785" s="1"/>
  <c r="M89" i="785"/>
  <c r="N89" i="785" s="1"/>
  <c r="O52" i="630"/>
  <c r="P52" i="630" s="1"/>
  <c r="M101" i="785"/>
  <c r="N101" i="785" s="1"/>
  <c r="S101" i="785" s="1"/>
  <c r="M330" i="785"/>
  <c r="N330" i="785" s="1"/>
  <c r="S330" i="785" s="1"/>
  <c r="M25" i="785"/>
  <c r="N25" i="785" s="1"/>
  <c r="M141" i="785"/>
  <c r="N141" i="785" s="1"/>
  <c r="S141" i="785" s="1"/>
  <c r="H196" i="785"/>
  <c r="M167" i="785"/>
  <c r="N167" i="785" s="1"/>
  <c r="M180" i="785"/>
  <c r="N180" i="785" s="1"/>
  <c r="O60" i="630"/>
  <c r="P60" i="630" s="1"/>
  <c r="M100" i="785"/>
  <c r="N100" i="785" s="1"/>
  <c r="S100" i="785" s="1"/>
  <c r="M177" i="785"/>
  <c r="N177" i="785" s="1"/>
  <c r="O58" i="630"/>
  <c r="P58" i="630" s="1"/>
  <c r="K303" i="785"/>
  <c r="K305" i="785" s="1"/>
  <c r="K334" i="785"/>
  <c r="K337" i="785" s="1"/>
  <c r="K338" i="785" s="1"/>
  <c r="K59" i="812"/>
  <c r="K62" i="812" s="1"/>
  <c r="K63" i="812" s="1"/>
  <c r="L334" i="785"/>
  <c r="L196" i="785"/>
  <c r="N105" i="630"/>
  <c r="I153" i="785"/>
  <c r="I269" i="630" s="1"/>
  <c r="I158" i="785"/>
  <c r="F292" i="785"/>
  <c r="F306" i="785" s="1"/>
  <c r="C302" i="630" s="1"/>
  <c r="J306" i="785"/>
  <c r="L103" i="630"/>
  <c r="I303" i="785"/>
  <c r="I305" i="785" s="1"/>
  <c r="I104" i="630"/>
  <c r="I196" i="785"/>
  <c r="I334" i="785"/>
  <c r="I32" i="812"/>
  <c r="M65" i="785"/>
  <c r="N65" i="785" s="1"/>
  <c r="I197" i="785"/>
  <c r="I306" i="785"/>
  <c r="J197" i="785"/>
  <c r="O29" i="630"/>
  <c r="P29" i="630" s="1"/>
  <c r="U29" i="630" s="1"/>
  <c r="M21" i="785"/>
  <c r="N21" i="785" s="1"/>
  <c r="O14" i="630"/>
  <c r="P14" i="630" s="1"/>
  <c r="U14" i="630" s="1"/>
  <c r="M189" i="785"/>
  <c r="N189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5" i="785"/>
  <c r="M331" i="785"/>
  <c r="N331" i="785" s="1"/>
  <c r="S331" i="785" s="1"/>
  <c r="M297" i="785"/>
  <c r="N297" i="785" s="1"/>
  <c r="O53" i="630"/>
  <c r="P53" i="630" s="1"/>
  <c r="M325" i="785"/>
  <c r="N325" i="785" s="1"/>
  <c r="S325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6" i="785"/>
  <c r="M130" i="785"/>
  <c r="N130" i="785" s="1"/>
  <c r="S130" i="785" s="1"/>
  <c r="O12" i="630"/>
  <c r="P12" i="630" s="1"/>
  <c r="U12" i="630" s="1"/>
  <c r="M257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1" i="785"/>
  <c r="M82" i="785"/>
  <c r="N82" i="785" s="1"/>
  <c r="S82" i="785" s="1"/>
  <c r="H32" i="812"/>
  <c r="O24" i="630"/>
  <c r="P24" i="630" s="1"/>
  <c r="U24" i="630" s="1"/>
  <c r="M42" i="785"/>
  <c r="N42" i="785" s="1"/>
  <c r="M299" i="785"/>
  <c r="N299" i="785" s="1"/>
  <c r="M80" i="785"/>
  <c r="N80" i="785" s="1"/>
  <c r="K282" i="785"/>
  <c r="K306" i="785"/>
  <c r="L59" i="812"/>
  <c r="L303" i="785"/>
  <c r="L305" i="785" s="1"/>
  <c r="L153" i="785"/>
  <c r="N269" i="630" s="1"/>
  <c r="O308" i="630"/>
  <c r="O297" i="630" s="1"/>
  <c r="J158" i="785"/>
  <c r="J153" i="785"/>
  <c r="L269" i="630" s="1"/>
  <c r="J336" i="785"/>
  <c r="F317" i="785"/>
  <c r="F336" i="785" s="1"/>
  <c r="F334" i="785" s="1"/>
  <c r="D304" i="630" s="1"/>
  <c r="I30" i="812"/>
  <c r="F264" i="630"/>
  <c r="L105" i="630"/>
  <c r="P260" i="630"/>
  <c r="S253" i="785"/>
  <c r="F63" i="785"/>
  <c r="F154" i="785" s="1"/>
  <c r="I103" i="630"/>
  <c r="M260" i="785"/>
  <c r="M183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6" i="785"/>
  <c r="N326" i="785" s="1"/>
  <c r="S326" i="785" s="1"/>
  <c r="M182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7" i="785"/>
  <c r="M57" i="785"/>
  <c r="N57" i="785" s="1"/>
  <c r="M127" i="785"/>
  <c r="N127" i="785" s="1"/>
  <c r="S127" i="785" s="1"/>
  <c r="M256" i="785"/>
  <c r="M15" i="785"/>
  <c r="N15" i="785" s="1"/>
  <c r="M122" i="785"/>
  <c r="N122" i="785" s="1"/>
  <c r="S122" i="785" s="1"/>
  <c r="M30" i="785"/>
  <c r="N30" i="785" s="1"/>
  <c r="M300" i="785"/>
  <c r="N300" i="785" s="1"/>
  <c r="S300" i="785" s="1"/>
  <c r="M91" i="785"/>
  <c r="N91" i="785" s="1"/>
  <c r="S91" i="785" s="1"/>
  <c r="M98" i="785"/>
  <c r="N98" i="785" s="1"/>
  <c r="S98" i="785" s="1"/>
  <c r="O28" i="630"/>
  <c r="P28" i="630" s="1"/>
  <c r="M191" i="785"/>
  <c r="N191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7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6" i="785"/>
  <c r="N103" i="630"/>
  <c r="L282" i="785"/>
  <c r="L30" i="812"/>
  <c r="N104" i="630"/>
  <c r="T308" i="630"/>
  <c r="T307" i="630" s="1"/>
  <c r="J59" i="812"/>
  <c r="F214" i="785"/>
  <c r="L106" i="630"/>
  <c r="I106" i="630"/>
  <c r="I105" i="630"/>
  <c r="I59" i="812"/>
  <c r="J30" i="812"/>
  <c r="M74" i="785"/>
  <c r="N74" i="785" s="1"/>
  <c r="M252" i="785"/>
  <c r="M41" i="785"/>
  <c r="N41" i="785" s="1"/>
  <c r="S41" i="785" s="1"/>
  <c r="M301" i="785"/>
  <c r="N301" i="785" s="1"/>
  <c r="S301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8" i="785"/>
  <c r="N298" i="785" s="1"/>
  <c r="M84" i="785"/>
  <c r="N84" i="785" s="1"/>
  <c r="M187" i="785"/>
  <c r="H303" i="785"/>
  <c r="H305" i="785" s="1"/>
  <c r="M295" i="785"/>
  <c r="M264" i="785"/>
  <c r="O51" i="630"/>
  <c r="P51" i="630" s="1"/>
  <c r="M94" i="785"/>
  <c r="N94" i="785" s="1"/>
  <c r="S94" i="785" s="1"/>
  <c r="O38" i="630"/>
  <c r="P38" i="630" s="1"/>
  <c r="M186" i="785"/>
  <c r="M320" i="785"/>
  <c r="N320" i="785" s="1"/>
  <c r="S320" i="785" s="1"/>
  <c r="M17" i="812"/>
  <c r="N17" i="812" s="1"/>
  <c r="M23" i="812"/>
  <c r="N23" i="812" s="1"/>
  <c r="S23" i="812" s="1"/>
  <c r="H334" i="785"/>
  <c r="M49" i="785"/>
  <c r="N49" i="785" s="1"/>
  <c r="S49" i="785" s="1"/>
  <c r="O23" i="630"/>
  <c r="P23" i="630" s="1"/>
  <c r="U23" i="630" s="1"/>
  <c r="H62" i="812"/>
  <c r="H63" i="812"/>
  <c r="M319" i="785"/>
  <c r="N319" i="785" s="1"/>
  <c r="M25" i="812"/>
  <c r="N25" i="812" s="1"/>
  <c r="S25" i="812" s="1"/>
  <c r="O44" i="630"/>
  <c r="P44" i="630" s="1"/>
  <c r="M327" i="785"/>
  <c r="N327" i="785" s="1"/>
  <c r="S327" i="785" s="1"/>
  <c r="M192" i="785"/>
  <c r="N192" i="785" s="1"/>
  <c r="M61" i="785"/>
  <c r="N61" i="785" s="1"/>
  <c r="O40" i="630"/>
  <c r="P40" i="630" s="1"/>
  <c r="U40" i="630" s="1"/>
  <c r="M60" i="785"/>
  <c r="N60" i="785" s="1"/>
  <c r="M67" i="785"/>
  <c r="M259" i="785"/>
  <c r="N259" i="785" s="1"/>
  <c r="M105" i="785"/>
  <c r="N105" i="785" s="1"/>
  <c r="S105" i="785" s="1"/>
  <c r="M43" i="785"/>
  <c r="N43" i="785" s="1"/>
  <c r="M328" i="785"/>
  <c r="N328" i="785" s="1"/>
  <c r="S328" i="785" s="1"/>
  <c r="M75" i="785"/>
  <c r="N75" i="785" s="1"/>
  <c r="M193" i="785"/>
  <c r="M146" i="785"/>
  <c r="N146" i="785" s="1"/>
  <c r="S146" i="785" s="1"/>
  <c r="M262" i="785"/>
  <c r="N262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5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6" i="785"/>
  <c r="N264" i="630"/>
  <c r="L197" i="785"/>
  <c r="F156" i="785" l="1"/>
  <c r="C296" i="630" s="1"/>
  <c r="F155" i="785"/>
  <c r="D296" i="630" s="1"/>
  <c r="N107" i="785"/>
  <c r="P17" i="785" s="1"/>
  <c r="M154" i="785"/>
  <c r="N34" i="785"/>
  <c r="N156" i="785" s="1"/>
  <c r="M156" i="785"/>
  <c r="U119" i="630"/>
  <c r="R131" i="630"/>
  <c r="P321" i="785"/>
  <c r="S321" i="785"/>
  <c r="S247" i="785"/>
  <c r="F282" i="785"/>
  <c r="C300" i="630" s="1"/>
  <c r="N277" i="785"/>
  <c r="M280" i="785"/>
  <c r="J279" i="785"/>
  <c r="J281" i="785" s="1"/>
  <c r="N179" i="785"/>
  <c r="S179" i="785" s="1"/>
  <c r="N169" i="785"/>
  <c r="N178" i="785"/>
  <c r="S178" i="785" s="1"/>
  <c r="N187" i="785"/>
  <c r="S187" i="785" s="1"/>
  <c r="N194" i="785"/>
  <c r="S194" i="785" s="1"/>
  <c r="N184" i="785"/>
  <c r="S184" i="785" s="1"/>
  <c r="N182" i="785"/>
  <c r="S182" i="785" s="1"/>
  <c r="N193" i="785"/>
  <c r="S193" i="785" s="1"/>
  <c r="S183" i="785"/>
  <c r="N183" i="785"/>
  <c r="N185" i="785"/>
  <c r="S185" i="785" s="1"/>
  <c r="N186" i="785"/>
  <c r="S186" i="785" s="1"/>
  <c r="N188" i="785"/>
  <c r="S188" i="785" s="1"/>
  <c r="N256" i="785"/>
  <c r="S256" i="785" s="1"/>
  <c r="N236" i="785"/>
  <c r="S236" i="785" s="1"/>
  <c r="N271" i="785"/>
  <c r="S271" i="785" s="1"/>
  <c r="N275" i="785"/>
  <c r="S275" i="785" s="1"/>
  <c r="N227" i="785"/>
  <c r="S227" i="785" s="1"/>
  <c r="N228" i="785"/>
  <c r="S228" i="785" s="1"/>
  <c r="S237" i="785"/>
  <c r="N237" i="785"/>
  <c r="N216" i="785"/>
  <c r="S216" i="785" s="1"/>
  <c r="N225" i="785"/>
  <c r="S225" i="785" s="1"/>
  <c r="N260" i="785"/>
  <c r="S260" i="785" s="1"/>
  <c r="N232" i="785"/>
  <c r="S217" i="785"/>
  <c r="N217" i="785"/>
  <c r="S266" i="785"/>
  <c r="N266" i="785"/>
  <c r="N252" i="785"/>
  <c r="N251" i="785"/>
  <c r="S251" i="785" s="1"/>
  <c r="N267" i="785"/>
  <c r="S267" i="785" s="1"/>
  <c r="N222" i="785"/>
  <c r="N264" i="785"/>
  <c r="S264" i="785" s="1"/>
  <c r="N257" i="785"/>
  <c r="S238" i="785"/>
  <c r="N238" i="785"/>
  <c r="N223" i="785"/>
  <c r="S223" i="785" s="1"/>
  <c r="I281" i="785"/>
  <c r="P15" i="785"/>
  <c r="S62" i="785"/>
  <c r="H315" i="630"/>
  <c r="O262" i="630"/>
  <c r="O261" i="630"/>
  <c r="O263" i="630"/>
  <c r="AG315" i="630"/>
  <c r="AG314" i="630" s="1"/>
  <c r="R13" i="630"/>
  <c r="P19" i="785"/>
  <c r="S42" i="785"/>
  <c r="S180" i="785"/>
  <c r="S230" i="785"/>
  <c r="BI37" i="785"/>
  <c r="S64" i="785"/>
  <c r="H283" i="785"/>
  <c r="N266" i="630"/>
  <c r="H34" i="812"/>
  <c r="K307" i="785"/>
  <c r="L281" i="785"/>
  <c r="L307" i="785"/>
  <c r="S59" i="812"/>
  <c r="I307" i="785"/>
  <c r="J199" i="785"/>
  <c r="L34" i="812"/>
  <c r="H199" i="785"/>
  <c r="L199" i="785"/>
  <c r="I155" i="785"/>
  <c r="I157" i="785" s="1"/>
  <c r="I283" i="785"/>
  <c r="L283" i="785"/>
  <c r="L273" i="630"/>
  <c r="B308" i="630"/>
  <c r="B297" i="630" s="1"/>
  <c r="F308" i="630"/>
  <c r="F307" i="630" s="1"/>
  <c r="I273" i="630"/>
  <c r="I33" i="812"/>
  <c r="I198" i="785"/>
  <c r="S30" i="812"/>
  <c r="M270" i="630"/>
  <c r="M265" i="630"/>
  <c r="M266" i="630"/>
  <c r="N295" i="785"/>
  <c r="M303" i="785"/>
  <c r="P298" i="785"/>
  <c r="S298" i="785"/>
  <c r="N41" i="812"/>
  <c r="N59" i="812" s="1"/>
  <c r="M59" i="812"/>
  <c r="J63" i="812"/>
  <c r="J62" i="812"/>
  <c r="N271" i="630"/>
  <c r="F265" i="630"/>
  <c r="L63" i="812"/>
  <c r="L62" i="812"/>
  <c r="H33" i="812"/>
  <c r="S231" i="785"/>
  <c r="H273" i="630"/>
  <c r="P300" i="785"/>
  <c r="S297" i="785"/>
  <c r="J155" i="785"/>
  <c r="J272" i="630" s="1"/>
  <c r="L108" i="630"/>
  <c r="L268" i="630" s="1"/>
  <c r="N273" i="630"/>
  <c r="H198" i="785"/>
  <c r="M334" i="785"/>
  <c r="N318" i="785"/>
  <c r="P325" i="785" s="1"/>
  <c r="S329" i="785"/>
  <c r="P326" i="785"/>
  <c r="P104" i="630"/>
  <c r="O104" i="630"/>
  <c r="J33" i="812"/>
  <c r="J34" i="812" s="1"/>
  <c r="I270" i="630"/>
  <c r="L270" i="630" s="1"/>
  <c r="I266" i="630"/>
  <c r="I265" i="630"/>
  <c r="H271" i="630"/>
  <c r="S235" i="785"/>
  <c r="U56" i="630"/>
  <c r="S18" i="785"/>
  <c r="S153" i="785" s="1"/>
  <c r="S262" i="785"/>
  <c r="P327" i="785"/>
  <c r="S319" i="785"/>
  <c r="I63" i="812"/>
  <c r="I62" i="812"/>
  <c r="N107" i="630"/>
  <c r="N108" i="630"/>
  <c r="N36" i="785"/>
  <c r="M152" i="785"/>
  <c r="H265" i="630"/>
  <c r="H266" i="630"/>
  <c r="H270" i="630"/>
  <c r="P264" i="630"/>
  <c r="F338" i="785"/>
  <c r="F337" i="785"/>
  <c r="K33" i="812"/>
  <c r="K283" i="785"/>
  <c r="H307" i="785"/>
  <c r="S173" i="785"/>
  <c r="S58" i="785"/>
  <c r="J307" i="785"/>
  <c r="N13" i="785"/>
  <c r="M157" i="785"/>
  <c r="M153" i="785"/>
  <c r="O269" i="630" s="1"/>
  <c r="P269" i="630" s="1"/>
  <c r="L198" i="785"/>
  <c r="N265" i="630"/>
  <c r="K155" i="785"/>
  <c r="N197" i="785"/>
  <c r="M197" i="785"/>
  <c r="F32" i="812"/>
  <c r="F30" i="812"/>
  <c r="J198" i="785"/>
  <c r="K199" i="785"/>
  <c r="K198" i="785"/>
  <c r="H155" i="785"/>
  <c r="H158" i="785" s="1"/>
  <c r="O103" i="630"/>
  <c r="U57" i="630"/>
  <c r="I108" i="630"/>
  <c r="I107" i="630"/>
  <c r="N12" i="812"/>
  <c r="M30" i="812"/>
  <c r="J334" i="785"/>
  <c r="J337" i="785" s="1"/>
  <c r="C304" i="630"/>
  <c r="N304" i="630" s="1"/>
  <c r="O299" i="630"/>
  <c r="L155" i="785"/>
  <c r="L158" i="785" s="1"/>
  <c r="L33" i="812"/>
  <c r="S219" i="785"/>
  <c r="H281" i="785"/>
  <c r="M282" i="785"/>
  <c r="S76" i="785"/>
  <c r="F307" i="785"/>
  <c r="M108" i="630"/>
  <c r="M273" i="630"/>
  <c r="N67" i="785"/>
  <c r="H337" i="785"/>
  <c r="H338" i="785"/>
  <c r="F106" i="630"/>
  <c r="C306" i="630" s="1"/>
  <c r="H107" i="630"/>
  <c r="H108" i="630"/>
  <c r="S332" i="785"/>
  <c r="I34" i="812"/>
  <c r="M271" i="630"/>
  <c r="P10" i="630"/>
  <c r="O105" i="630"/>
  <c r="S123" i="785"/>
  <c r="I199" i="785"/>
  <c r="I337" i="785"/>
  <c r="I338" i="785"/>
  <c r="L338" i="785"/>
  <c r="L337" i="785"/>
  <c r="M196" i="785"/>
  <c r="S59" i="785"/>
  <c r="S175" i="785"/>
  <c r="I271" i="630"/>
  <c r="P261" i="630"/>
  <c r="L265" i="630"/>
  <c r="L267" i="630" s="1"/>
  <c r="P14" i="785" l="1"/>
  <c r="N154" i="785"/>
  <c r="S107" i="785"/>
  <c r="P234" i="785"/>
  <c r="N279" i="785"/>
  <c r="P208" i="785"/>
  <c r="N283" i="785"/>
  <c r="P235" i="785"/>
  <c r="P218" i="785"/>
  <c r="P23" i="785" s="1"/>
  <c r="M279" i="785"/>
  <c r="M283" i="785" s="1"/>
  <c r="N280" i="785"/>
  <c r="G315" i="630"/>
  <c r="A315" i="630"/>
  <c r="C315" i="630"/>
  <c r="S232" i="785"/>
  <c r="F279" i="785"/>
  <c r="D300" i="630" s="1"/>
  <c r="S252" i="785"/>
  <c r="S222" i="785"/>
  <c r="S257" i="785"/>
  <c r="S242" i="785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N268" i="630"/>
  <c r="L157" i="785"/>
  <c r="I268" i="630"/>
  <c r="AH315" i="630"/>
  <c r="M268" i="630"/>
  <c r="M198" i="785"/>
  <c r="S303" i="785"/>
  <c r="I272" i="630"/>
  <c r="L272" i="630" s="1"/>
  <c r="I267" i="630"/>
  <c r="H274" i="630"/>
  <c r="H267" i="630"/>
  <c r="J338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7" i="785"/>
  <c r="M305" i="785"/>
  <c r="M199" i="785"/>
  <c r="N296" i="630"/>
  <c r="P322" i="785"/>
  <c r="P334" i="785" s="1"/>
  <c r="N334" i="785"/>
  <c r="N300" i="630"/>
  <c r="P300" i="630" s="1"/>
  <c r="N303" i="785"/>
  <c r="N305" i="785" s="1"/>
  <c r="N307" i="785" s="1"/>
  <c r="T303" i="785" s="1"/>
  <c r="P299" i="785"/>
  <c r="P303" i="785" s="1"/>
  <c r="N302" i="630"/>
  <c r="N282" i="785"/>
  <c r="O108" i="630"/>
  <c r="O107" i="630"/>
  <c r="K158" i="785"/>
  <c r="K272" i="630"/>
  <c r="M272" i="630"/>
  <c r="M274" i="630" s="1"/>
  <c r="N267" i="630"/>
  <c r="M338" i="785"/>
  <c r="M337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6" i="785"/>
  <c r="N198" i="785" s="1"/>
  <c r="S167" i="785"/>
  <c r="S196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4" i="785"/>
  <c r="N62" i="812"/>
  <c r="N63" i="812"/>
  <c r="P247" i="785" l="1"/>
  <c r="P279" i="785" s="1"/>
  <c r="O271" i="630"/>
  <c r="P271" i="630" s="1"/>
  <c r="M281" i="785"/>
  <c r="S279" i="785"/>
  <c r="F281" i="785"/>
  <c r="F271" i="630"/>
  <c r="F283" i="785"/>
  <c r="P296" i="630"/>
  <c r="N308" i="630"/>
  <c r="N297" i="630" s="1"/>
  <c r="N281" i="785"/>
  <c r="P16" i="785"/>
  <c r="P151" i="785" s="1"/>
  <c r="F158" i="785"/>
  <c r="R265" i="630"/>
  <c r="L315" i="630"/>
  <c r="D316" i="630" s="1"/>
  <c r="F272" i="630"/>
  <c r="P25" i="785"/>
  <c r="P154" i="785" s="1"/>
  <c r="R107" i="630"/>
  <c r="R105" i="630"/>
  <c r="P108" i="630"/>
  <c r="W103" i="630" s="1"/>
  <c r="P107" i="630"/>
  <c r="U103" i="630"/>
  <c r="P196" i="785"/>
  <c r="T278" i="785"/>
  <c r="N338" i="785"/>
  <c r="N337" i="785"/>
  <c r="Q283" i="630"/>
  <c r="N155" i="785"/>
  <c r="F157" i="785"/>
  <c r="S155" i="785"/>
  <c r="Q282" i="630"/>
  <c r="P266" i="630"/>
  <c r="P265" i="630"/>
  <c r="U261" i="630"/>
  <c r="N199" i="785"/>
  <c r="O272" i="630"/>
  <c r="P272" i="630" s="1"/>
  <c r="M158" i="785"/>
  <c r="C308" i="630"/>
  <c r="C297" i="630" s="1"/>
  <c r="P155" i="785" l="1"/>
  <c r="P282" i="785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1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8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8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9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5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7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9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00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1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2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5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7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<sst xmlns="http://schemas.openxmlformats.org/spreadsheetml/2006/main" count="6964" uniqueCount="2786">
  <si>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</si>
  <si>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</si>
  <si>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</si>
  <si>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</si>
  <si>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</si>
  <si>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</si>
  <si>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</si>
  <si>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</si>
  <si>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</si>
  <si>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</si>
  <si>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</si>
  <si>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</si>
  <si>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</si>
  <si>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</si>
  <si>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</si>
  <si>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</si>
  <si>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</si>
  <si>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</si>
  <si>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</si>
  <si>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</si>
  <si>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</si>
  <si>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</si>
  <si>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</si>
  <si>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</si>
  <si>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</si>
  <si>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</si>
  <si>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</si>
  <si>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</si>
  <si>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</si>
  <si>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</si>
  <si>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</si>
  <si>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</si>
  <si>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</si>
  <si>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</si>
  <si>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</si>
  <si>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</si>
  <si>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</si>
  <si>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</si>
  <si>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</si>
  <si>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</si>
  <si>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</si>
  <si>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</si>
  <si>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</si>
  <si>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</si>
  <si>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</si>
  <si>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</si>
  <si>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</si>
  <si>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</si>
  <si>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</si>
  <si>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</si>
  <si>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</si>
  <si>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</si>
  <si>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</si>
  <si>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</si>
  <si>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</si>
  <si>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</si>
  <si>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</si>
  <si>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</si>
  <si>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</si>
  <si>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</si>
  <si>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</si>
  <si>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</si>
  <si>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</si>
  <si>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</si>
  <si>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</si>
  <si>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</si>
  <si>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</si>
  <si>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</si>
  <si>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</si>
  <si>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</si>
  <si>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</si>
  <si>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</si>
  <si>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</si>
  <si>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</si>
  <si>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</si>
  <si>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</si>
  <si>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</si>
  <si>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</si>
  <si>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</si>
  <si>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</si>
  <si>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</si>
  <si>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</si>
  <si>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</si>
  <si>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</si>
  <si>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</si>
  <si>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</si>
  <si>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</si>
  <si>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</si>
  <si>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</si>
  <si>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</si>
  <si>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</si>
  <si>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</si>
  <si>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</si>
  <si>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</si>
  <si>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</si>
  <si>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</si>
  <si>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</si>
  <si>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</si>
  <si>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</si>
  <si>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</si>
  <si>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</si>
  <si>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</si>
  <si>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</si>
  <si>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</si>
  <si>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</si>
  <si>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</si>
  <si>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</si>
  <si>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</si>
  <si>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</si>
  <si>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</si>
  <si>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</si>
  <si>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</si>
  <si>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</si>
  <si>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</si>
  <si>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</si>
  <si>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</si>
  <si>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</si>
  <si>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</si>
  <si>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</si>
  <si>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</si>
  <si>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</si>
  <si>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</si>
  <si>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</si>
  <si>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</si>
  <si>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</si>
  <si>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</si>
  <si>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</si>
  <si>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</si>
  <si>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</si>
  <si>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</si>
  <si>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</si>
  <si>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</si>
  <si>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</si>
  <si>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</si>
  <si>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</si>
  <si>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</si>
  <si>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</si>
  <si>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</si>
  <si>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</si>
  <si>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</si>
  <si>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</si>
  <si>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</si>
  <si>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</si>
  <si>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</si>
  <si>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</si>
  <si>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</si>
  <si>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</si>
  <si>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</si>
  <si>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</si>
  <si>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</si>
  <si>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</si>
  <si>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</si>
  <si>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</si>
  <si>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</si>
  <si>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</si>
  <si>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</si>
  <si>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</si>
  <si>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</si>
  <si>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</si>
  <si>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</si>
  <si>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</si>
  <si>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</si>
  <si>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</si>
  <si>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</si>
  <si>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</si>
  <si>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</si>
  <si>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</si>
  <si>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</si>
  <si>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</si>
  <si>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</si>
  <si>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</si>
  <si>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</si>
  <si>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</si>
  <si>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</si>
  <si>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</si>
  <si>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</si>
  <si>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</si>
  <si>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</si>
  <si>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</si>
  <si>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</si>
  <si>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</si>
  <si>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</si>
  <si>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</si>
  <si>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</si>
  <si>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</si>
  <si>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</si>
  <si>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</si>
  <si>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</si>
  <si>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</si>
  <si>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</si>
  <si>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</si>
  <si>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</si>
  <si>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</si>
  <si>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</si>
  <si>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</si>
  <si>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</si>
  <si>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</si>
  <si>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</si>
  <si>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</si>
  <si>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</si>
  <si>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</si>
  <si>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</si>
  <si>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</si>
  <si>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</si>
  <si>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</si>
  <si>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</si>
  <si>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</si>
  <si>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</si>
  <si>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</si>
  <si>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</si>
  <si>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</si>
  <si>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</si>
  <si>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</si>
  <si>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</si>
  <si>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</si>
  <si>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</si>
  <si>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</si>
  <si>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</si>
  <si>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</si>
  <si>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</si>
  <si>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</si>
  <si>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</si>
  <si>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</si>
  <si>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</si>
  <si>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</si>
  <si>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</si>
  <si>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</si>
  <si>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</si>
  <si>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</si>
  <si>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</si>
  <si>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</si>
  <si>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</si>
  <si>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</si>
  <si>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</si>
  <si>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</si>
  <si>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</si>
  <si>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</si>
  <si>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</si>
  <si>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</si>
  <si>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</si>
  <si>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</si>
  <si>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</si>
  <si>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</si>
  <si>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</si>
  <si>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</si>
  <si>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</si>
  <si>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</si>
  <si>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</si>
  <si>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</si>
  <si>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</si>
  <si>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</si>
  <si>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</si>
  <si>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</si>
  <si>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</si>
  <si>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</si>
  <si>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</si>
  <si>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</si>
  <si>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</si>
  <si>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</si>
  <si>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</si>
  <si>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</si>
  <si>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</si>
  <si>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</si>
  <si>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</si>
  <si>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</si>
  <si>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</si>
  <si>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</si>
  <si>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</si>
  <si>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</si>
  <si>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</si>
  <si>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</si>
  <si>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</si>
  <si>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</si>
  <si>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</si>
  <si>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</si>
  <si>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</si>
  <si>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</si>
  <si>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</si>
  <si>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</si>
  <si>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</si>
  <si>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</si>
  <si>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</si>
  <si>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</si>
  <si>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</si>
  <si>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</si>
  <si>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</si>
  <si>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</si>
  <si>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</si>
  <si>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</si>
  <si>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</si>
  <si>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</si>
  <si>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</si>
  <si>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</si>
  <si>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</si>
  <si>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</si>
  <si>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</si>
  <si>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</si>
  <si>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</si>
  <si>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</si>
  <si>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</si>
  <si>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</si>
  <si>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</si>
  <si>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</si>
  <si>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</si>
  <si>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</si>
  <si>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</si>
  <si>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</si>
  <si>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</si>
  <si>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</si>
  <si>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</si>
  <si>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</si>
  <si>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</si>
  <si>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</si>
  <si>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</si>
  <si>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</si>
  <si>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</si>
  <si>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</si>
  <si>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</si>
  <si>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</si>
  <si>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</si>
  <si>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</si>
  <si>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</si>
  <si>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</si>
  <si>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</si>
  <si>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</si>
  <si>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</si>
  <si>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</si>
  <si>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</si>
  <si>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</si>
  <si>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</si>
  <si>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</si>
  <si>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</si>
  <si>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</si>
  <si>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</si>
  <si>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</si>
  <si>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</si>
  <si>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</si>
  <si>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</si>
  <si>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</si>
  <si>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</si>
  <si>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</si>
  <si>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</si>
  <si>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</si>
  <si>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</si>
  <si>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</si>
  <si>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</si>
  <si>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</si>
  <si>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</si>
  <si>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</si>
  <si>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</si>
  <si>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</si>
  <si>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</si>
  <si>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</si>
  <si>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</si>
  <si>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</si>
  <si>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</si>
  <si>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</si>
  <si>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</si>
  <si>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</si>
  <si>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</si>
  <si>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</si>
  <si>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</si>
  <si>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</si>
  <si>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</si>
  <si>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</si>
  <si>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</si>
  <si>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</si>
  <si>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</si>
  <si>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</si>
  <si>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</si>
  <si>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</si>
  <si>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</si>
  <si>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</si>
  <si>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</si>
  <si>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</si>
  <si>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</si>
  <si>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</si>
  <si>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</si>
  <si>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</si>
  <si>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</si>
  <si>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</si>
  <si>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</si>
  <si>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</si>
  <si>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</si>
  <si>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</si>
  <si>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</si>
  <si>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</si>
  <si>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</si>
  <si>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</si>
  <si>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</si>
  <si>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</si>
  <si>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</si>
  <si>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</si>
  <si>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</si>
  <si>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</si>
  <si>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</si>
  <si>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</si>
  <si>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</si>
  <si>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</si>
  <si>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</si>
  <si>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</si>
  <si>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</si>
  <si>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</si>
  <si>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</si>
  <si>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</si>
  <si>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</si>
  <si>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</si>
  <si>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</si>
  <si>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</si>
  <si>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</si>
  <si>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</si>
  <si>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</si>
  <si>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</si>
  <si>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</si>
  <si>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</si>
  <si>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</si>
  <si>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</si>
  <si>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</si>
  <si>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</si>
  <si>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</si>
  <si>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</si>
  <si>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</si>
  <si>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</si>
  <si>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</si>
  <si>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</si>
  <si>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</si>
  <si>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</si>
  <si>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</si>
  <si>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</si>
  <si>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</si>
  <si>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</si>
  <si>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</si>
  <si>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</si>
  <si>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</si>
  <si>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</si>
  <si>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</si>
  <si>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</si>
  <si>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</si>
  <si>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</si>
  <si>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</si>
  <si>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</si>
  <si>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</si>
  <si>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</si>
  <si>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</si>
  <si>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</si>
  <si>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</si>
  <si>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</si>
  <si>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</si>
  <si>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</si>
  <si>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</si>
  <si>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</si>
  <si>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</si>
  <si>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</si>
  <si>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</si>
  <si>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</si>
  <si>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</si>
  <si>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</si>
  <si>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</si>
  <si>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</si>
  <si>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</si>
  <si>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</si>
  <si>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</si>
  <si>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</si>
  <si>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</si>
  <si>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</si>
  <si>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</si>
  <si>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</si>
  <si>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</si>
  <si>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</si>
  <si>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</si>
  <si>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</si>
  <si>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</si>
  <si>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</si>
  <si>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</si>
  <si>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</si>
  <si>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</si>
  <si>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</si>
  <si>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</si>
  <si>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</si>
  <si>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</si>
  <si>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</si>
  <si>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</si>
  <si>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</si>
  <si>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</si>
  <si>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</si>
  <si>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</si>
  <si>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</si>
  <si>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</si>
  <si>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</si>
  <si>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</si>
  <si>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</si>
  <si>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</si>
  <si>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</si>
  <si>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</si>
  <si>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</si>
  <si>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</si>
  <si>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</si>
  <si>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</si>
  <si>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</si>
  <si>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</si>
  <si>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</si>
  <si>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</si>
  <si>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</si>
  <si>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</si>
  <si>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</si>
  <si>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</si>
  <si>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</si>
  <si>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</si>
  <si>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</si>
  <si>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</si>
  <si>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</si>
  <si>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</si>
  <si>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</si>
  <si>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</si>
  <si>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</si>
  <si>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</si>
  <si>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</si>
  <si>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</si>
  <si>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</si>
  <si>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</si>
  <si>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</si>
  <si>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</si>
  <si>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</si>
  <si>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</si>
  <si>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</si>
  <si>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</si>
  <si>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</si>
  <si>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</si>
  <si>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</si>
  <si>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</si>
  <si>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</si>
  <si>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</si>
  <si>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</si>
  <si>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</si>
  <si>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</si>
  <si>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</si>
  <si>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</si>
  <si>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</si>
  <si>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</si>
  <si>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</si>
  <si>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</si>
  <si>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</si>
  <si>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</si>
  <si>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</si>
  <si>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</si>
  <si>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</si>
  <si>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</si>
  <si>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</si>
  <si>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</si>
  <si>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</si>
  <si>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</si>
  <si>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</si>
  <si>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</si>
  <si>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</si>
  <si>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</si>
  <si>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</si>
  <si>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</si>
  <si>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</si>
  <si>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</si>
  <si>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</si>
  <si>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</si>
  <si>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</si>
  <si>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</si>
  <si>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</si>
  <si>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</si>
  <si>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</si>
  <si>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</si>
  <si>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</si>
  <si>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</si>
  <si>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</si>
  <si>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</si>
  <si>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</si>
  <si>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</si>
  <si>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</si>
  <si>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</si>
  <si>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</si>
  <si>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</si>
  <si>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</si>
  <si>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</si>
  <si>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</si>
  <si>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</si>
  <si>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</si>
  <si>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</si>
  <si>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</si>
  <si>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</si>
  <si>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</si>
  <si>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</si>
  <si>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</si>
  <si>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</si>
  <si>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</si>
  <si>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</si>
  <si>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</si>
  <si>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</si>
  <si>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</si>
  <si>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</si>
  <si>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</si>
  <si>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</si>
  <si>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</si>
  <si>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</si>
  <si>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</si>
  <si>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</si>
  <si>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</si>
  <si>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</si>
  <si>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</si>
  <si>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</si>
  <si>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</si>
  <si>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</si>
  <si>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</si>
  <si>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</si>
  <si>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</si>
  <si>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</si>
  <si>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</si>
  <si>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</si>
  <si>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</si>
  <si>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</si>
  <si>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</si>
  <si>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</si>
  <si>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</si>
  <si>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</si>
  <si>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</si>
  <si>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</si>
  <si>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</si>
  <si>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</si>
  <si>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</si>
  <si>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</si>
  <si>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</si>
  <si>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</si>
  <si>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</si>
  <si>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</si>
  <si>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</si>
  <si>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</si>
  <si>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</si>
  <si>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</si>
  <si>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</si>
  <si>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</si>
  <si>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</si>
  <si>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</si>
  <si>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</si>
  <si>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</si>
  <si>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</si>
  <si>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</si>
  <si>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</si>
  <si>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</si>
  <si>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</si>
  <si>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</si>
  <si>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</si>
  <si>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</si>
  <si>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</si>
  <si>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</si>
  <si>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</si>
  <si>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</si>
  <si>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</si>
  <si>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</si>
  <si>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</si>
  <si>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</si>
  <si>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</si>
  <si>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</si>
  <si>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</si>
  <si>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</si>
  <si>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</si>
  <si>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</si>
  <si>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</si>
  <si>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</si>
  <si>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</si>
  <si>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</si>
  <si>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</si>
  <si>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</si>
  <si>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</si>
  <si>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</si>
  <si>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</si>
  <si>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</si>
  <si>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</si>
  <si>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</si>
  <si>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</si>
  <si>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</si>
  <si>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</si>
  <si>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</si>
  <si>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</si>
  <si>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</si>
  <si>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</si>
  <si>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</si>
  <si>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</si>
  <si>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</si>
  <si>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</si>
  <si>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</si>
  <si>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</si>
  <si>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</si>
  <si>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</si>
  <si>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</si>
  <si>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</si>
  <si>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</si>
  <si>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</si>
  <si>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</si>
  <si>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</si>
  <si>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</si>
  <si>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</si>
  <si>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</si>
  <si>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</si>
  <si>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</si>
  <si>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</si>
  <si>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</si>
  <si>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</si>
  <si>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</si>
  <si>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</si>
  <si>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</si>
  <si>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</si>
  <si>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</si>
  <si>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</si>
  <si>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</si>
  <si>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</si>
  <si>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</si>
  <si>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</si>
  <si>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</si>
  <si>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</si>
  <si>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</si>
  <si>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</si>
  <si>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</si>
  <si>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</si>
  <si>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</si>
  <si>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</si>
  <si>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</si>
  <si>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</si>
  <si>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</si>
  <si>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</si>
  <si>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</si>
  <si>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</si>
  <si>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</si>
  <si>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</si>
  <si>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</si>
  <si>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</si>
  <si>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</si>
  <si>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</si>
  <si>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</si>
  <si>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</si>
  <si>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</si>
  <si>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</si>
  <si>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</si>
  <si>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</si>
  <si>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</si>
  <si>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</si>
  <si>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</si>
  <si>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</si>
  <si>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</si>
  <si>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</si>
  <si>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</si>
  <si>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</si>
  <si>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</si>
  <si>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</si>
  <si>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</si>
  <si>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</si>
  <si>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</si>
  <si>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</si>
  <si>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</si>
  <si>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</si>
  <si>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</si>
  <si>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</si>
  <si>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</si>
  <si>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</si>
  <si>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</si>
  <si>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</si>
  <si>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</si>
  <si>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</si>
  <si>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</si>
  <si>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</si>
  <si>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</si>
  <si>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</si>
  <si>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</si>
  <si>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</si>
  <si>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</si>
  <si>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</si>
  <si>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</si>
  <si>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</si>
  <si>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</si>
  <si>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</si>
  <si>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</si>
  <si>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</si>
  <si>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</si>
  <si>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</si>
  <si>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</si>
  <si>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</si>
  <si>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</si>
  <si>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</si>
  <si>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</si>
  <si>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</si>
  <si>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</si>
  <si>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</si>
  <si>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</si>
  <si>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</si>
  <si>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</si>
  <si>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</si>
  <si>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</si>
  <si>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</si>
  <si>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</si>
  <si>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</si>
  <si>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</si>
  <si>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</si>
  <si>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</si>
  <si>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</si>
  <si>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</si>
  <si>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</si>
  <si>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</si>
  <si>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</si>
  <si>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</si>
  <si>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</si>
  <si>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</si>
  <si>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</si>
  <si>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</si>
  <si>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</si>
  <si>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</si>
  <si>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</si>
  <si>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</si>
  <si>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</si>
  <si>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</si>
  <si>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</si>
  <si>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</si>
  <si>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</si>
  <si>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</si>
  <si>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</si>
  <si>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</si>
  <si>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</si>
  <si>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</si>
  <si>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</si>
  <si>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</si>
  <si>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</si>
  <si>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</si>
  <si>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</si>
  <si>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</si>
  <si>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</si>
  <si>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</si>
  <si>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</si>
  <si>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</si>
  <si>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</si>
  <si>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</si>
  <si>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</si>
  <si>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</si>
  <si>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</si>
  <si>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</si>
  <si>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</si>
  <si>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</si>
  <si>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</si>
  <si>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</si>
  <si>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</si>
  <si>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</si>
  <si>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</si>
  <si>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</si>
  <si>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</si>
  <si>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</si>
  <si>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</si>
  <si>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</si>
  <si>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</si>
  <si>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</si>
  <si>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</si>
  <si>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</si>
  <si>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</si>
  <si>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</si>
  <si>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</si>
  <si>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</si>
  <si>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</si>
  <si>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</si>
  <si>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</si>
  <si>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</si>
  <si>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</si>
  <si>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</si>
  <si>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</si>
  <si>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</si>
  <si>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</si>
  <si>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</si>
  <si>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</si>
  <si>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</si>
  <si>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</si>
  <si>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</si>
  <si>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</si>
  <si>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</si>
  <si>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</si>
  <si>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</si>
  <si>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</si>
  <si>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</si>
  <si>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</si>
  <si>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</si>
  <si>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</si>
  <si>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</si>
  <si>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</si>
  <si>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</si>
  <si>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</si>
  <si>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</si>
  <si>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</si>
  <si>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</si>
  <si>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</si>
  <si>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</si>
  <si>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</si>
  <si>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</si>
  <si>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</si>
  <si>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</si>
  <si>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</si>
  <si>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</si>
  <si>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</si>
  <si>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</si>
  <si>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</si>
  <si>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</si>
  <si>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</si>
  <si>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</si>
  <si>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</si>
  <si>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</si>
  <si>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</si>
  <si>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</si>
  <si>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</si>
  <si>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</si>
  <si>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</si>
  <si>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</si>
  <si>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</si>
  <si>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</si>
  <si>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</si>
  <si>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</si>
  <si>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</si>
  <si>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</si>
  <si>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</si>
  <si>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</si>
  <si>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</si>
  <si>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</si>
  <si>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</si>
  <si>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</si>
  <si>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</si>
  <si>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</si>
  <si>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</si>
  <si>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</si>
  <si>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</si>
  <si>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</si>
  <si>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</si>
  <si>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</si>
  <si>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</si>
  <si>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</si>
  <si>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</si>
  <si>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</si>
  <si>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</si>
  <si>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</si>
  <si>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</si>
  <si>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</si>
  <si>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</si>
  <si>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</si>
  <si>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</si>
  <si>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</si>
  <si>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</si>
  <si>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</si>
  <si>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</si>
  <si>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</si>
  <si>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</si>
  <si>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</si>
  <si>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</si>
  <si>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</si>
  <si>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</si>
  <si>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</si>
  <si>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</si>
  <si>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</si>
  <si>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</si>
  <si>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</si>
  <si>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</si>
  <si>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</si>
  <si>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</si>
  <si>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</si>
  <si>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</si>
  <si>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</si>
  <si>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</si>
  <si>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</si>
  <si>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</si>
  <si>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</si>
  <si>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</si>
  <si>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</si>
  <si>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</si>
  <si>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</si>
  <si>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</si>
  <si>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</si>
  <si>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</si>
  <si>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</si>
  <si>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</si>
  <si>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</si>
  <si>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</si>
  <si>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</si>
  <si>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</si>
  <si>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</si>
  <si>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</si>
  <si>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</si>
  <si>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</si>
  <si>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</si>
  <si>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</si>
  <si>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</si>
  <si>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</si>
  <si>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</si>
  <si>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</si>
  <si>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</si>
  <si>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</si>
  <si>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</si>
  <si>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</si>
  <si>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</si>
  <si>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</si>
  <si>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</si>
  <si>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</si>
  <si>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</si>
  <si>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</si>
  <si>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</si>
  <si>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</si>
  <si>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</si>
  <si>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</si>
  <si>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</si>
  <si>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</si>
  <si>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</si>
  <si>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</si>
  <si>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</si>
  <si>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</si>
  <si>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</si>
  <si>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</si>
  <si>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</si>
  <si>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</si>
  <si>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</si>
  <si>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</si>
  <si>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</si>
  <si>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</si>
  <si>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</si>
  <si>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</si>
  <si>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</si>
  <si>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</si>
  <si>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</si>
  <si>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</si>
  <si>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</si>
  <si>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</si>
  <si>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</si>
  <si>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</si>
  <si>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</si>
  <si>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</si>
  <si>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</si>
  <si>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</si>
  <si>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</si>
  <si>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</si>
  <si>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</si>
  <si>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</si>
  <si>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</si>
  <si>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</si>
  <si>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</si>
  <si>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</si>
  <si>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</si>
  <si>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</si>
  <si>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</si>
  <si>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</si>
  <si>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</si>
  <si>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</si>
  <si>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</si>
  <si>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</si>
  <si>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</si>
  <si>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</si>
  <si>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</si>
  <si>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</si>
  <si>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</si>
  <si>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</si>
  <si>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</si>
  <si>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</si>
  <si>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</si>
  <si>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</si>
  <si>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</si>
  <si>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</si>
  <si>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</si>
  <si>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</si>
  <si>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</si>
  <si>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</si>
  <si>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</si>
  <si>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</si>
  <si>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</si>
  <si>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</si>
  <si>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</si>
  <si>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</si>
  <si>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</si>
  <si>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</si>
  <si>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</si>
  <si>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</si>
  <si>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</si>
  <si>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</si>
  <si>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</si>
  <si>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</si>
  <si>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</si>
  <si>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</si>
  <si>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</si>
  <si>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</si>
  <si>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</si>
  <si>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</si>
  <si>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</si>
  <si>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</si>
  <si>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</si>
  <si>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</si>
  <si>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</si>
  <si>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</si>
  <si>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</si>
  <si>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</si>
  <si>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</si>
  <si>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</si>
  <si>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</si>
  <si>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</si>
  <si>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</si>
  <si>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</si>
  <si>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</si>
  <si>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</si>
  <si>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</si>
  <si>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</si>
  <si>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</si>
  <si>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</si>
  <si>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</si>
  <si>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</si>
  <si>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</si>
  <si>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</si>
  <si>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</si>
  <si>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</si>
  <si>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</si>
  <si>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</si>
  <si>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</si>
  <si>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</si>
  <si>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</si>
  <si>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</si>
  <si>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</si>
  <si>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</si>
  <si>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</si>
  <si>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</si>
  <si>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</si>
  <si>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</si>
  <si>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</si>
  <si>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</si>
  <si>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</si>
  <si>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</si>
  <si>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</si>
  <si>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</si>
  <si>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</si>
  <si>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</si>
  <si>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</si>
  <si>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</si>
  <si>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</si>
  <si>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</si>
  <si>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</si>
  <si>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</si>
  <si>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</si>
  <si>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</si>
  <si>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</si>
  <si>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</si>
  <si>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</si>
  <si>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</si>
  <si>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</si>
  <si>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</si>
  <si>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</si>
  <si>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</si>
  <si>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</si>
  <si>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</si>
  <si>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</si>
  <si>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</si>
  <si>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</si>
  <si>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</si>
  <si>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</si>
  <si>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</si>
  <si>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</si>
  <si>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</si>
  <si>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</si>
  <si>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</si>
  <si>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</si>
  <si>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</si>
  <si>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</si>
  <si>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</si>
  <si>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</si>
  <si>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</si>
  <si>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</si>
  <si>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</si>
  <si>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</si>
  <si>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</si>
  <si>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</si>
  <si>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</si>
  <si>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</si>
  <si>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</si>
  <si>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</si>
  <si>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</si>
  <si>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</si>
  <si>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</si>
  <si>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</si>
  <si>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</si>
  <si>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</si>
  <si>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</si>
  <si>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</si>
  <si>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</si>
  <si>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</si>
  <si>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</si>
  <si>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</si>
  <si>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</si>
  <si>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</si>
  <si>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</si>
  <si>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</si>
  <si>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</si>
  <si>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</si>
  <si>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</si>
  <si>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</si>
  <si>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</si>
  <si>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</si>
  <si>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</si>
  <si>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</si>
  <si>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</si>
  <si>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</si>
  <si>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</si>
  <si>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</si>
  <si>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</si>
  <si>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</si>
  <si>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</si>
  <si>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</si>
  <si>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</si>
  <si>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</si>
  <si>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</si>
  <si>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</si>
  <si>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</si>
  <si>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</si>
  <si>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</si>
  <si>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</si>
  <si>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</si>
  <si>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</si>
  <si>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</si>
  <si>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</si>
  <si>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</si>
  <si>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</si>
  <si>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</si>
  <si>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</si>
  <si>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</si>
  <si>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</si>
  <si>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</si>
  <si>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</si>
  <si>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</si>
  <si>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</si>
  <si>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</si>
  <si>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</si>
  <si>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</si>
  <si>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</si>
  <si>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</si>
  <si>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</si>
  <si>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</si>
  <si>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</si>
  <si>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</si>
  <si>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</si>
  <si>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</si>
  <si>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</si>
  <si>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</si>
  <si>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</si>
  <si>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</si>
  <si>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</si>
  <si>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</si>
  <si>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</si>
  <si>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</si>
  <si>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</si>
  <si>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</si>
  <si>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</si>
  <si>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</si>
  <si>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</si>
  <si>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</si>
  <si>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</si>
  <si>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</si>
  <si>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</si>
  <si>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</si>
  <si>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</si>
  <si>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</si>
  <si>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</si>
  <si>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</si>
  <si>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</si>
  <si>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</si>
  <si>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</si>
  <si>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</si>
  <si>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</si>
  <si>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</si>
  <si>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</si>
  <si>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</si>
  <si>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</si>
  <si>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</si>
  <si>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</si>
  <si>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</si>
  <si>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</si>
  <si>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</si>
  <si>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</si>
  <si>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</si>
  <si>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</si>
  <si>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</si>
  <si>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</si>
  <si>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</si>
  <si>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</si>
  <si>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</si>
  <si>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</si>
  <si>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</si>
  <si>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</si>
  <si>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</si>
  <si>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</si>
  <si>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</si>
  <si>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</si>
  <si>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</si>
  <si>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</si>
  <si>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</si>
  <si>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</si>
  <si>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</si>
  <si>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</si>
  <si>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</si>
  <si>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</si>
  <si>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</si>
  <si>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</si>
  <si>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</si>
  <si>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</si>
  <si>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</si>
  <si>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</si>
  <si>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</si>
  <si>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</si>
  <si>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</si>
  <si>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</si>
  <si>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</si>
  <si>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</si>
  <si>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</si>
  <si>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</si>
  <si>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</si>
  <si>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</si>
  <si>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</si>
  <si>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</si>
  <si>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</si>
  <si>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</si>
  <si>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</si>
  <si>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</si>
  <si>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</si>
  <si>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</si>
  <si>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</si>
  <si>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</si>
  <si>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</si>
  <si>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</si>
  <si>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</si>
  <si>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</si>
  <si>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</si>
  <si>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</si>
  <si>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</si>
  <si>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</si>
  <si>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</si>
  <si>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</si>
  <si>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</si>
  <si>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</si>
  <si>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</si>
  <si>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</si>
  <si>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</si>
  <si>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</si>
  <si>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</si>
  <si>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</si>
  <si>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</si>
  <si>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</si>
  <si>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</si>
  <si>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</si>
  <si>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</si>
  <si>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</si>
  <si>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</si>
  <si>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</si>
  <si>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</si>
  <si>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</si>
  <si>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</si>
  <si>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</si>
  <si>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</si>
  <si>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</si>
  <si>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</si>
  <si>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</si>
  <si>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</si>
  <si>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</si>
  <si>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</si>
  <si>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</si>
  <si>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</si>
  <si>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</si>
  <si>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</si>
  <si>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</si>
  <si>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</si>
  <si>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</si>
  <si>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</si>
  <si>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</si>
  <si>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</si>
  <si>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</si>
  <si>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</si>
  <si>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</si>
  <si>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</si>
  <si>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</si>
  <si>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</si>
  <si>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</si>
  <si>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</si>
  <si>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</si>
  <si>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</si>
  <si>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</si>
  <si>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</si>
  <si>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</si>
  <si>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</si>
  <si>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</si>
  <si>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</si>
  <si>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</si>
  <si>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</si>
  <si>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</si>
  <si>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</si>
  <si>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</si>
  <si>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</si>
  <si>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</si>
  <si>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</si>
  <si>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</si>
  <si>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</si>
  <si>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</si>
  <si>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</si>
  <si>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</si>
  <si>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</si>
  <si>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</si>
  <si>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</si>
  <si>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</si>
  <si>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</si>
  <si>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</si>
  <si>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</si>
  <si>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</si>
  <si>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</si>
  <si>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</si>
  <si>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</si>
  <si>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</si>
  <si>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</si>
  <si>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</si>
  <si>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</si>
  <si>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</si>
  <si>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</si>
  <si>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</si>
  <si>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</si>
  <si>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</si>
  <si>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</si>
  <si>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</si>
  <si>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</si>
  <si>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</si>
  <si>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</si>
  <si>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</si>
  <si>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</si>
  <si>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</si>
  <si>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</si>
  <si>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</si>
  <si>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</si>
  <si>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</si>
  <si>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</si>
  <si>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</si>
  <si>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</si>
  <si>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</si>
  <si>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</si>
  <si>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</si>
  <si>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</si>
  <si>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</si>
  <si>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</si>
  <si>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</si>
  <si>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</si>
  <si>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</si>
  <si>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</si>
  <si>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</si>
  <si>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</si>
  <si>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</si>
  <si>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</si>
  <si>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</si>
  <si>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</si>
  <si>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</si>
  <si>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</si>
  <si>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</si>
  <si>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</si>
  <si>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</si>
  <si>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</si>
  <si>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</si>
  <si>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</si>
  <si>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</si>
  <si>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</si>
  <si>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</si>
  <si>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</si>
  <si>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</si>
  <si>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</si>
  <si>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</si>
  <si>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</si>
  <si>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</si>
  <si>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</si>
  <si>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</si>
  <si>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</si>
  <si>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</si>
  <si>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</si>
  <si>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</si>
  <si>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</si>
  <si>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</si>
  <si>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</si>
  <si>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</si>
  <si>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</si>
  <si>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</si>
  <si>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</si>
  <si>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</si>
  <si>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</si>
  <si>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</si>
  <si>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</si>
  <si>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</si>
  <si>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</si>
  <si>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</si>
  <si>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</si>
  <si>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</si>
  <si>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</si>
  <si>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</si>
  <si>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</si>
  <si>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</si>
  <si>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</si>
  <si>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</si>
  <si>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</si>
  <si>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</si>
  <si>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</si>
  <si>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</si>
  <si>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</si>
  <si>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</si>
  <si>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</si>
  <si>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</si>
  <si>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</si>
  <si>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</si>
  <si>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</si>
  <si>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</si>
  <si>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</si>
  <si>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</si>
  <si>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</si>
  <si>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</si>
  <si>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</si>
  <si>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</si>
  <si>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</si>
  <si>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</si>
  <si>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</si>
  <si>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</si>
  <si>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</si>
  <si>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</si>
  <si>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</si>
  <si>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</si>
  <si>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</si>
  <si>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</si>
  <si>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</si>
  <si>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</si>
  <si>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</si>
  <si>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</si>
  <si>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</si>
  <si>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</si>
  <si>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</si>
  <si>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</si>
  <si>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</si>
  <si>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</si>
  <si>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</si>
  <si>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</si>
  <si>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</si>
  <si>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</si>
  <si>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</si>
  <si>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</si>
  <si>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</si>
  <si>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</si>
  <si>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</si>
  <si>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</si>
  <si>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</si>
  <si>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</si>
  <si>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</si>
  <si>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</si>
  <si>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</si>
  <si>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</si>
  <si>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</si>
  <si>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</si>
  <si>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</si>
  <si>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</si>
  <si>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</si>
  <si>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</si>
  <si>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</si>
  <si>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</si>
  <si>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</si>
  <si>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</si>
  <si>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</si>
  <si>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</si>
  <si>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</si>
  <si>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</si>
  <si>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</si>
  <si>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</si>
  <si>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</si>
  <si>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</si>
  <si>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</si>
  <si>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</si>
  <si>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</si>
  <si>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</si>
  <si>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</si>
  <si>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</si>
  <si>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</si>
  <si>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</si>
  <si>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</si>
  <si>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</si>
  <si>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</si>
  <si>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</si>
  <si>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</si>
  <si>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</si>
  <si>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</si>
  <si>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</si>
  <si>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</si>
  <si>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</si>
  <si>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</si>
  <si>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</si>
  <si>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</si>
  <si>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</si>
  <si>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</si>
  <si>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</si>
  <si>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</si>
  <si>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</si>
  <si>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</si>
  <si>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</si>
  <si>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</si>
  <si>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</si>
  <si>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</si>
  <si>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</si>
  <si>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</si>
  <si>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</si>
  <si>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</si>
  <si>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</si>
  <si>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</si>
  <si>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</si>
  <si>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</si>
  <si>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</si>
  <si>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</si>
  <si>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</si>
  <si>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</si>
  <si>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</si>
  <si>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</si>
  <si>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</si>
  <si>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</si>
  <si>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</si>
  <si>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</si>
  <si>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</si>
  <si>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</si>
  <si>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</si>
  <si>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</si>
  <si>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</si>
  <si>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</si>
  <si>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</si>
  <si>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</si>
  <si>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</si>
  <si>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</si>
  <si>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</si>
  <si>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</si>
  <si>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</si>
  <si>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</si>
  <si>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</si>
  <si>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</si>
  <si>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</si>
  <si>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</si>
  <si>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</si>
  <si>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</si>
  <si>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</si>
  <si>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</si>
  <si>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</si>
  <si>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</si>
  <si>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</si>
  <si>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</si>
  <si>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</si>
  <si>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</si>
  <si>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</si>
  <si>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</si>
  <si>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</si>
  <si>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</si>
  <si>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</si>
  <si>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</si>
  <si>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</si>
  <si>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</si>
  <si>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</si>
  <si>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</si>
  <si>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</si>
  <si>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</si>
  <si>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</si>
  <si>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</si>
  <si>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</si>
  <si>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</si>
  <si>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</si>
  <si>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</si>
  <si>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</si>
  <si>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</si>
  <si>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</si>
  <si>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</si>
  <si>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</si>
  <si>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</si>
  <si>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</si>
  <si>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</si>
  <si>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</si>
  <si>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</si>
  <si>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</si>
  <si>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</si>
  <si>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</si>
  <si>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</si>
  <si>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</si>
  <si>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</si>
  <si>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</si>
  <si>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</si>
  <si>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</si>
  <si>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</si>
  <si>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</si>
  <si>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</si>
  <si>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</si>
  <si>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</si>
  <si>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</si>
  <si>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</si>
  <si>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</si>
  <si>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</si>
  <si>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</si>
  <si>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</si>
  <si>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</si>
  <si>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</si>
  <si>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</si>
  <si>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</si>
  <si>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</si>
  <si>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</si>
  <si>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</si>
  <si>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</si>
  <si>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</si>
  <si>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</si>
  <si>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</si>
  <si>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</si>
  <si>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</si>
  <si>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</si>
  <si>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</si>
  <si>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</si>
  <si>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</si>
  <si>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</si>
  <si>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</si>
  <si>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</si>
  <si>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</si>
  <si>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</si>
  <si>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</si>
  <si>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</si>
  <si>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</si>
  <si>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</si>
  <si>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</si>
  <si>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</si>
  <si>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</si>
  <si>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</si>
  <si>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</si>
  <si>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</si>
  <si>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</si>
  <si>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</si>
  <si>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</si>
  <si>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</si>
  <si>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</si>
  <si>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</si>
  <si>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</si>
  <si>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</si>
  <si>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</si>
  <si>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</si>
  <si>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</si>
  <si>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</si>
  <si>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</si>
  <si>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</si>
  <si>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</si>
  <si>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</si>
  <si>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</si>
  <si>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</si>
  <si>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</si>
  <si>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</si>
  <si>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</si>
  <si>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</si>
  <si>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</si>
  <si>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</si>
  <si>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</si>
  <si>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</si>
  <si>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</si>
  <si>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</si>
  <si>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</si>
  <si>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</si>
  <si>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</si>
  <si>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</si>
  <si>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</si>
  <si>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</si>
  <si>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</si>
  <si>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</si>
  <si>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</si>
  <si>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</si>
  <si>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</si>
  <si>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</si>
  <si>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</si>
  <si>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</si>
  <si>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</si>
  <si>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</si>
  <si>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</si>
  <si>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</si>
  <si>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</si>
  <si>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</si>
  <si>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</si>
  <si>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</si>
  <si>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</si>
  <si>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</si>
  <si>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</si>
  <si>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</si>
  <si>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</si>
  <si>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</si>
  <si>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</si>
  <si>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</si>
  <si>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</si>
  <si>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</si>
  <si>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</si>
  <si>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</si>
  <si>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</si>
  <si>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</si>
  <si>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</si>
  <si>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</si>
  <si>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</si>
  <si>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</si>
  <si>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</si>
  <si>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</si>
  <si>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</si>
  <si>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</si>
  <si>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</si>
  <si>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</si>
  <si>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</si>
  <si>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</si>
  <si>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</si>
  <si>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</si>
  <si>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</si>
  <si>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</si>
  <si>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</si>
  <si>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</si>
  <si>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</si>
  <si>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</si>
  <si>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</si>
  <si>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</si>
  <si>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</si>
  <si>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</si>
  <si>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</si>
  <si>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</si>
  <si>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</si>
  <si>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</si>
  <si>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</si>
  <si>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</si>
  <si>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</si>
  <si>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</si>
  <si>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</si>
  <si>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</si>
  <si>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</si>
  <si>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</si>
  <si>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</si>
  <si>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</si>
  <si>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</si>
  <si>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</si>
  <si>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</si>
  <si>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</si>
  <si>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</si>
  <si>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</si>
  <si>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</si>
  <si>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</si>
  <si>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</si>
  <si>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</si>
  <si>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</si>
  <si>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</si>
  <si>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</si>
  <si>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</si>
  <si>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</si>
  <si>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</si>
  <si>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</si>
  <si>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</si>
  <si>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</si>
  <si>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</si>
  <si>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</si>
  <si>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</si>
  <si>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</si>
  <si>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</si>
  <si>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</si>
  <si>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</si>
  <si>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</si>
  <si>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</si>
  <si>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</si>
  <si>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</si>
  <si>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</si>
  <si>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</si>
  <si>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</si>
  <si>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</si>
  <si>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</si>
  <si>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</si>
  <si>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</si>
  <si>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</si>
  <si>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</si>
  <si>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</si>
  <si>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</si>
  <si>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</si>
  <si>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</si>
  <si>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</si>
  <si>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</si>
  <si>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</si>
  <si>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</si>
  <si>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</si>
  <si>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</si>
  <si>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</si>
  <si>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</si>
  <si>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</si>
  <si>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</si>
  <si>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</si>
  <si>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</si>
  <si>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</si>
  <si>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</si>
  <si>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</si>
  <si>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</si>
  <si>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</si>
  <si>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</si>
  <si>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</si>
  <si>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</si>
  <si>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</si>
  <si>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</si>
  <si>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</si>
  <si>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</si>
  <si>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</si>
  <si>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</si>
  <si>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</si>
  <si>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</si>
  <si>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</si>
  <si>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</si>
  <si>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</si>
  <si>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</si>
  <si>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</si>
  <si>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</si>
  <si>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</si>
  <si>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</si>
  <si>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</si>
  <si>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</si>
  <si>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</si>
  <si>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</si>
  <si>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</si>
  <si>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</si>
  <si>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</si>
  <si>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</si>
  <si>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</si>
  <si>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</si>
  <si>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</si>
  <si>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</si>
  <si>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</si>
  <si>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</si>
  <si>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</si>
  <si>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</si>
  <si>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</si>
  <si>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</si>
  <si>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</si>
  <si>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</si>
  <si>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</si>
  <si>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</si>
  <si>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</si>
  <si>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</si>
  <si>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</si>
  <si>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</si>
  <si>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</si>
  <si>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</si>
  <si>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</si>
  <si>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</si>
  <si>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</si>
  <si>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</si>
  <si>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</si>
  <si>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</si>
  <si>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</si>
  <si>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</si>
  <si>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</si>
  <si>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</si>
  <si>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</si>
  <si>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</si>
  <si>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</si>
  <si>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</si>
  <si>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</si>
  <si>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</si>
  <si>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</si>
  <si>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</si>
  <si>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</si>
  <si>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</si>
  <si>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</si>
  <si>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</si>
  <si>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</si>
  <si>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</si>
  <si>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</si>
  <si>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</si>
  <si>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</si>
  <si>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</si>
  <si>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</si>
  <si>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</si>
  <si>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</si>
  <si>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</si>
  <si>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</si>
  <si>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</si>
  <si>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</si>
  <si>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</si>
  <si>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</si>
  <si>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</si>
  <si>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</si>
  <si>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</si>
  <si>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</si>
  <si>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</si>
  <si>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</si>
  <si>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</si>
  <si>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</si>
  <si>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</si>
  <si>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</si>
  <si>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</si>
  <si>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</si>
  <si>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</si>
  <si>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</si>
  <si>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</si>
  <si>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</si>
  <si>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</si>
  <si>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</si>
  <si>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</si>
  <si>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</si>
  <si>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</si>
  <si>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</si>
  <si>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</si>
  <si>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</si>
  <si>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</si>
  <si>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</si>
  <si>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</si>
  <si>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</si>
  <si>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</si>
  <si>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</si>
  <si>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</si>
  <si>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</si>
  <si>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</si>
  <si>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</si>
  <si>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</si>
  <si>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</si>
  <si>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</si>
  <si>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</si>
  <si>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</si>
  <si>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</si>
  <si>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</si>
  <si>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</si>
  <si>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</si>
  <si>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</si>
  <si>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</si>
  <si>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</si>
  <si>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</si>
  <si>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</si>
  <si>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</si>
  <si>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</si>
  <si>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</si>
  <si>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</si>
  <si>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</si>
  <si>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</si>
  <si>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</si>
  <si>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</si>
  <si>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</si>
  <si>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</si>
  <si>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</si>
  <si>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</si>
  <si>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</si>
  <si>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</si>
  <si>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</si>
  <si>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</si>
  <si>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</si>
  <si>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</si>
  <si>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</si>
  <si>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</si>
  <si>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</si>
  <si>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</si>
  <si>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</si>
  <si>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</si>
  <si>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</si>
  <si>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</si>
  <si>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</si>
  <si>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</si>
  <si>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</si>
  <si>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</si>
  <si>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</si>
  <si>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</si>
  <si>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</si>
  <si>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</si>
  <si>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</si>
  <si>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</si>
  <si>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</si>
  <si>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</si>
  <si>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</si>
  <si>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</si>
  <si>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</si>
  <si>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</si>
  <si>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</si>
  <si>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</si>
  <si>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</si>
  <si>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</si>
  <si>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</si>
  <si>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</si>
  <si>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</si>
  <si>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</si>
  <si>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</si>
  <si>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</si>
  <si>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</si>
  <si>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</si>
  <si>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</si>
  <si>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</si>
  <si>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</si>
  <si>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</si>
  <si>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</si>
  <si>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</si>
  <si>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</si>
  <si>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</si>
  <si>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</si>
  <si>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</si>
  <si>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</si>
  <si>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</si>
  <si>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</si>
  <si>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</si>
  <si>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</si>
  <si>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</si>
  <si>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</si>
  <si>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</si>
  <si>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</si>
  <si>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</si>
  <si>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</si>
  <si>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</si>
  <si>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</si>
  <si>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</si>
  <si>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</si>
  <si>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</si>
  <si>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</si>
  <si>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</si>
  <si>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</si>
  <si>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</si>
  <si>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</si>
  <si>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</si>
  <si>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</si>
  <si>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</si>
  <si>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</si>
  <si>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</si>
  <si>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</si>
  <si>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</si>
  <si>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</si>
  <si>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</si>
  <si>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</si>
  <si>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</si>
  <si>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</si>
  <si>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</si>
  <si>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</si>
  <si>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</si>
  <si>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</si>
  <si>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</si>
  <si>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</si>
  <si>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</si>
  <si>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</si>
  <si>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</si>
  <si>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</si>
  <si>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</si>
  <si>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</si>
  <si>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</si>
  <si>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</si>
  <si>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</si>
  <si>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</si>
  <si>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</si>
  <si>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</si>
  <si>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</si>
  <si>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</si>
  <si>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</si>
  <si>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</si>
  <si>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</si>
  <si>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</si>
  <si>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</si>
  <si>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</si>
  <si>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</si>
  <si>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</si>
  <si>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</si>
  <si>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</si>
  <si>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</si>
  <si>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</si>
  <si>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</si>
  <si>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</si>
  <si>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</si>
  <si>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</si>
  <si>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</si>
  <si>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</si>
  <si>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</si>
  <si>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</si>
  <si>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</si>
  <si>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</si>
  <si>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</si>
  <si>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</si>
  <si>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</si>
  <si>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</si>
  <si>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</si>
  <si>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</si>
  <si>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</si>
  <si>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</si>
  <si>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</si>
  <si>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</si>
  <si>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</si>
  <si>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</si>
  <si>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</si>
  <si>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</si>
  <si>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</si>
  <si>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</si>
  <si>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</si>
  <si>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</si>
  <si>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</si>
  <si>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</si>
  <si>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</si>
  <si>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</si>
  <si>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</si>
  <si>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</si>
  <si>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</si>
  <si>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</si>
  <si>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</si>
  <si>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</si>
  <si>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</si>
  <si>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</si>
  <si>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</si>
  <si>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</si>
  <si>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</si>
  <si>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</si>
  <si>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</si>
  <si>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</si>
  <si>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</si>
  <si>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</si>
  <si>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</si>
  <si>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</si>
  <si>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</si>
  <si>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</si>
  <si>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</si>
  <si>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</si>
  <si>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</si>
  <si>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</si>
  <si>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</si>
  <si>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</si>
  <si>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</si>
  <si>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</si>
  <si>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</si>
  <si>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</si>
  <si>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</si>
  <si>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</si>
  <si>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</si>
  <si>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</si>
  <si>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</si>
  <si>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</si>
  <si>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</si>
  <si>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</si>
  <si>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</si>
  <si>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</si>
  <si>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</si>
  <si>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</si>
  <si>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</si>
  <si>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</si>
  <si>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</si>
  <si>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</si>
  <si>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</si>
  <si>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</si>
  <si>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</si>
  <si>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</si>
  <si>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</si>
  <si>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</si>
  <si>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</si>
  <si>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</si>
  <si>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</si>
  <si>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</si>
  <si>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</si>
  <si>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</si>
  <si>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</si>
  <si>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</si>
  <si>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</si>
  <si>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</si>
  <si>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</si>
  <si>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</si>
  <si>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</si>
  <si>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</si>
  <si>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</si>
  <si>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</si>
  <si>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</si>
  <si>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</si>
  <si>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</si>
  <si>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</si>
  <si>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</si>
  <si>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</si>
  <si>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</si>
  <si>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</si>
  <si>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</si>
  <si>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</si>
  <si>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</si>
  <si>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</si>
  <si>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</si>
  <si>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</si>
  <si>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</si>
  <si>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</si>
  <si>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</si>
  <si>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</si>
  <si>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</si>
  <si>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</si>
  <si>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</si>
  <si>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</si>
  <si>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</si>
  <si>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</si>
  <si>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</si>
  <si>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</si>
  <si>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</si>
  <si>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</si>
  <si>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</si>
  <si>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</si>
  <si>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</si>
  <si>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</si>
  <si>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</si>
  <si>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</si>
  <si>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</si>
  <si>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</si>
  <si>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</si>
  <si>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</si>
  <si>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</si>
  <si>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</si>
  <si>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</si>
  <si>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</si>
  <si>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</si>
  <si>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</si>
  <si>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</si>
  <si>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</si>
  <si>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</si>
  <si>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</si>
  <si>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</si>
  <si>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</si>
  <si>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</si>
  <si>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</si>
  <si>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</si>
  <si>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</si>
  <si>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</si>
  <si>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</si>
  <si>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</si>
  <si>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</si>
  <si>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</si>
  <si>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</si>
  <si>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</si>
  <si>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</si>
  <si>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</si>
  <si>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</si>
  <si>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</si>
  <si>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</si>
  <si>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</si>
  <si>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</si>
  <si>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</si>
  <si>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</si>
  <si>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</si>
  <si>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</si>
  <si>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</si>
  <si>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</si>
  <si>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</si>
  <si>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</si>
  <si>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</si>
  <si>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</si>
  <si>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</si>
  <si>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</si>
  <si>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</si>
  <si>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</si>
  <si>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</si>
  <si>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</si>
  <si>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</si>
  <si>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</si>
  <si>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</si>
  <si>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</si>
  <si>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</si>
  <si>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</si>
  <si>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</si>
  <si>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</si>
  <si>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</si>
  <si>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</si>
  <si>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</si>
  <si>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</si>
  <si>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</si>
  <si>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</si>
  <si>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</si>
  <si>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</si>
  <si>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</si>
  <si>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</si>
  <si>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</si>
  <si>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</si>
  <si>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</si>
  <si>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</si>
  <si>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</si>
  <si>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</si>
  <si>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</si>
  <si>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</si>
  <si>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</si>
  <si>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</si>
  <si>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</si>
  <si>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</si>
  <si>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</si>
  <si>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</si>
  <si>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</si>
  <si>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</si>
  <si>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</si>
  <si>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</si>
  <si>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</si>
  <si>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</si>
  <si>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</si>
  <si>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</si>
  <si>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</si>
  <si>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</si>
  <si>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</si>
  <si>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</si>
  <si>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</si>
  <si>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</si>
  <si>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</si>
  <si>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</si>
  <si>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</si>
  <si>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</si>
  <si>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</si>
  <si>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</si>
  <si>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</si>
  <si>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</si>
  <si>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</si>
  <si>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</si>
  <si>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</si>
  <si>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</si>
  <si>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</si>
  <si>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</si>
  <si>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</si>
  <si>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</si>
  <si>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</si>
  <si>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</si>
  <si>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</si>
  <si>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</si>
  <si>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</si>
  <si>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</si>
  <si>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</si>
  <si>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</si>
  <si>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</si>
  <si>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</si>
  <si>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</si>
  <si>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</si>
  <si>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</si>
  <si>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</si>
  <si>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</si>
  <si>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</si>
  <si>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</si>
  <si>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</si>
  <si>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</si>
  <si>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</si>
  <si>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</si>
  <si>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</si>
  <si>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</si>
  <si>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</si>
  <si>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</si>
  <si>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</si>
  <si>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</si>
  <si>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</si>
  <si>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</si>
  <si>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</si>
  <si>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</si>
  <si>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</si>
  <si>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</si>
  <si>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</si>
  <si>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</si>
  <si>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</si>
  <si>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</si>
  <si>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</si>
  <si>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</si>
  <si>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</si>
  <si>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</si>
  <si>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</si>
  <si>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</si>
  <si>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</si>
  <si>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</si>
  <si>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</si>
  <si>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</si>
  <si>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</si>
  <si>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</si>
  <si>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</si>
  <si>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</si>
  <si>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</si>
  <si>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</si>
  <si>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</si>
  <si>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</si>
  <si>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</si>
  <si>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</si>
  <si>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</si>
  <si>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</si>
  <si>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</si>
  <si>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</si>
  <si>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</si>
  <si>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</si>
  <si>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</si>
  <si>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</si>
  <si>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</si>
  <si>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</si>
  <si>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</si>
  <si>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</si>
  <si>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</si>
  <si>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</si>
  <si>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</si>
  <si>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</si>
  <si>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</si>
  <si>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</si>
  <si>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</si>
  <si>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</si>
  <si>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</si>
  <si>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</si>
  <si>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</si>
  <si>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</si>
  <si>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</si>
  <si>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</si>
  <si>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</si>
  <si>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</si>
  <si>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</si>
  <si>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</si>
  <si>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</si>
  <si>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</si>
  <si>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</si>
  <si>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</si>
  <si>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</si>
  <si>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</si>
  <si>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</si>
  <si>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</si>
  <si>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</si>
  <si>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</si>
  <si>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</si>
  <si>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</si>
  <si>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</si>
  <si>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</si>
  <si>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</si>
  <si>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</si>
  <si>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</si>
  <si>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</si>
  <si>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</si>
  <si>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</si>
  <si>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</si>
  <si>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</si>
  <si>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</si>
  <si>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</si>
  <si>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</si>
  <si>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</si>
  <si>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</si>
  <si>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</si>
  <si>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</si>
  <si>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</si>
  <si>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</si>
  <si>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</si>
  <si>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</si>
  <si>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</si>
  <si>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</si>
  <si>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</si>
  <si>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</si>
  <si>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</si>
  <si>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</si>
  <si>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</si>
  <si>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</si>
  <si>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</si>
  <si>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</si>
  <si>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</si>
  <si>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</si>
  <si>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</si>
  <si>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</si>
  <si>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</si>
  <si>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</si>
  <si>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</si>
  <si>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</si>
  <si>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</si>
  <si>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</si>
  <si>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</si>
  <si>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</si>
  <si>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</si>
  <si>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</si>
  <si>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</si>
  <si>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</si>
  <si>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</si>
  <si>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</si>
  <si>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</si>
  <si>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</si>
  <si>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</si>
  <si>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</si>
  <si>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</si>
  <si>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</si>
  <si>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</si>
  <si>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</si>
  <si>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</si>
  <si>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</si>
  <si>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</si>
  <si>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</si>
  <si>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</si>
  <si>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</si>
  <si>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</si>
  <si>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</si>
  <si>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</si>
  <si>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</si>
  <si>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</si>
  <si>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</si>
  <si>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</si>
  <si>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</si>
  <si>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</si>
  <si>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</si>
  <si>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</si>
  <si>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</si>
  <si>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</si>
  <si>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</si>
  <si>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</si>
  <si>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</si>
  <si>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</si>
  <si>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</si>
  <si>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</si>
  <si>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</si>
  <si>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</si>
  <si>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</si>
  <si>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</si>
  <si>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</si>
  <si>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</si>
  <si>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</si>
  <si>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</si>
  <si>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</si>
  <si>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</si>
  <si>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</si>
  <si>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</si>
  <si>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</si>
  <si>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</si>
  <si>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</si>
  <si>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</si>
  <si>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</si>
  <si>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</si>
  <si>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</si>
  <si>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</si>
  <si>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</si>
  <si>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</si>
  <si>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</si>
  <si>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</si>
  <si>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</si>
  <si>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</si>
  <si>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</si>
  <si>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</si>
  <si>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</si>
  <si>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</si>
  <si>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</si>
  <si>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</si>
  <si>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</si>
  <si>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</si>
  <si>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</si>
  <si>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</si>
  <si>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</si>
  <si>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</si>
  <si>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</si>
  <si>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</si>
  <si>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</si>
  <si>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</si>
  <si>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</si>
  <si>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</si>
  <si>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</si>
  <si>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</si>
  <si>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</si>
  <si>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</si>
  <si>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</si>
  <si>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</si>
  <si>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</si>
  <si>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</si>
  <si>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</si>
  <si>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</si>
  <si>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</si>
  <si>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</si>
  <si>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</si>
  <si>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</si>
  <si>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</si>
  <si>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</si>
  <si>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</si>
  <si>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</si>
  <si>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</si>
  <si>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</si>
  <si>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</si>
  <si>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</si>
  <si>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</si>
  <si>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</si>
  <si>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</si>
  <si>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</si>
  <si>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</si>
  <si>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</si>
  <si>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</si>
  <si>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</si>
  <si>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</si>
  <si>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</si>
  <si>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</si>
  <si>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</si>
  <si>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</si>
  <si>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</si>
  <si>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</si>
  <si>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</si>
  <si>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</si>
  <si>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</si>
  <si>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</si>
  <si>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</si>
  <si>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</si>
  <si>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</si>
  <si>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</si>
  <si>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</si>
  <si>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</si>
  <si>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</si>
  <si>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</si>
  <si>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</si>
  <si>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</si>
  <si>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</si>
  <si>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</si>
  <si>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</si>
  <si>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</si>
  <si>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</si>
  <si>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TA# 511B (SILO)</t>
  </si>
  <si>
    <t>21115110200100</t>
  </si>
  <si>
    <t>Cam cu qua ngay tuoi tru kho</t>
  </si>
  <si>
    <t>Chief of Warehouse</t>
  </si>
  <si>
    <t>14/04/2026</t>
  </si>
  <si>
    <t>QUÁ NGÀY TUỔI</t>
  </si>
  <si>
    <t>D3.1</t>
  </si>
  <si>
    <t>SALES (BÁN HÀNG) đến ngày 16/05/2026</t>
  </si>
  <si>
    <t>PRODUCE (SẢN XUẤT) đến ngày 16/05/2026</t>
  </si>
  <si>
    <t>TA# 511L (25Kg)</t>
  </si>
  <si>
    <t>TA# 301 (25Kg)</t>
  </si>
  <si>
    <t>TA# 510M (25Kg)</t>
  </si>
  <si>
    <t>TA#  550PF  (10KG)</t>
  </si>
  <si>
    <t>S31</t>
  </si>
  <si>
    <t>S13</t>
  </si>
  <si>
    <t>TA# 549F (50Kg)</t>
  </si>
  <si>
    <t>TA# 548 (25Kg)</t>
  </si>
  <si>
    <t>TA# 552S (25Kg)</t>
  </si>
  <si>
    <t>TA# 567S (25Kg)</t>
  </si>
  <si>
    <t>TA# 553 (25Kg)</t>
  </si>
  <si>
    <t>TA# 551 (25kg)</t>
  </si>
  <si>
    <t>TA# 967S (25kg)</t>
  </si>
  <si>
    <t>S54</t>
  </si>
  <si>
    <t>TA#  550P  (10KG)</t>
  </si>
  <si>
    <t>TA# 552F(50KG)</t>
  </si>
  <si>
    <t>TA# 524 (25Kg)</t>
  </si>
  <si>
    <t>TA# 551GP (25Kg)</t>
  </si>
  <si>
    <t>TA# 584(25Kgs)</t>
  </si>
  <si>
    <t>TA# 553S (25KG)</t>
  </si>
  <si>
    <t>TA# 984(25Kgs)</t>
  </si>
  <si>
    <t>TA# HT12S(25KG)</t>
  </si>
  <si>
    <t>TA# 549 (25Kg)</t>
  </si>
  <si>
    <t>TA# 384(25Kgs)</t>
  </si>
  <si>
    <t>TA# 952S (25Kg)</t>
  </si>
  <si>
    <t>TA# 513F (50KG)</t>
  </si>
  <si>
    <t>TA# 510 (25Kg)</t>
  </si>
  <si>
    <t>TA# 885S (25Kg)</t>
  </si>
  <si>
    <t>TA# 595 (25Kgs)</t>
  </si>
  <si>
    <t>TA# 552E(25Kg)</t>
  </si>
  <si>
    <t>TA# 553MF (50KG)</t>
  </si>
  <si>
    <t>TA# 952 (25Kg)</t>
  </si>
  <si>
    <t>TA# 953 (25Kg)</t>
  </si>
  <si>
    <t>TA# 550S (25kg)</t>
  </si>
  <si>
    <t>TA# 550S (5*5=25Kg)</t>
  </si>
  <si>
    <t>TA# 567 (25Kg)</t>
  </si>
  <si>
    <t>TA# 566 (F) (Silo)</t>
  </si>
  <si>
    <t>TA# 967 (25Kg)</t>
  </si>
  <si>
    <t>TA# 352 (25Kg)</t>
  </si>
  <si>
    <t>TA# 884(25Kgs)</t>
  </si>
  <si>
    <t>TA# 552 (25Kg)</t>
  </si>
  <si>
    <t>TA# 566(25Kg)</t>
  </si>
  <si>
    <t>S25</t>
  </si>
  <si>
    <t>TA# 540F (50Kg)</t>
  </si>
  <si>
    <t>TA# 511 (25Kg)</t>
  </si>
  <si>
    <t>TA# HT12 (25Kg)</t>
  </si>
  <si>
    <t>TA# 511B (25Kg)</t>
  </si>
  <si>
    <t>TA# 966 (25Kg)</t>
  </si>
  <si>
    <t>TA# 511M (25Kg)</t>
  </si>
  <si>
    <t>TA# 302 (25Kg)</t>
  </si>
  <si>
    <t>TA# 552M (25Kg)</t>
  </si>
  <si>
    <t>TA# 551 (5*5=25Kg)</t>
  </si>
  <si>
    <t>TA# VT12 (25Kg)</t>
  </si>
  <si>
    <t>TA# 951 (25Kg)</t>
  </si>
  <si>
    <t>TA# 548F (SILO)</t>
  </si>
  <si>
    <t>Brand Code</t>
  </si>
  <si>
    <t>Size</t>
  </si>
  <si>
    <t>Product Name</t>
  </si>
  <si>
    <t>Medicine</t>
  </si>
  <si>
    <t>Lot. No.</t>
  </si>
  <si>
    <t>Quantity</t>
  </si>
  <si>
    <t>Weight</t>
  </si>
  <si>
    <t>Thøc ¨n ch¨n nu«i #  301 (25KG)</t>
  </si>
  <si>
    <t>502</t>
  </si>
  <si>
    <t>Thøc ¨n ch¨n nu«i # 502 (25KG)</t>
  </si>
  <si>
    <t>510</t>
  </si>
  <si>
    <t>Thøc ¨n ch¨n nu«i #  510 (25KG)</t>
  </si>
  <si>
    <t>Thøc ¨n ch¨n nu«i #  510M (25KG)</t>
  </si>
  <si>
    <t>Thøc ¨n ch¨n nu«i# 510NF (50KG) (Thuèc)</t>
  </si>
  <si>
    <t>P92</t>
  </si>
  <si>
    <t>Thøc ¨n ch¨n nu«i # 510S (25KG)</t>
  </si>
  <si>
    <t>Thøc ¨n ch¨n nu«i #  522 (25KG)</t>
  </si>
  <si>
    <t>Thøc ¨n ch¨n nu«i #  548F(50KG)</t>
  </si>
  <si>
    <t>Thøc ¨n ch¨n nu«i #  550S(F)50KG</t>
  </si>
  <si>
    <t>Thøc ¨n ch¨n nu«i #  551GP (25KG)</t>
  </si>
  <si>
    <t>Thøc ¨n ch¨n nu«i #  552F(50KG)</t>
  </si>
  <si>
    <t>Thøc ¨n ch¨n nu«i# 552 (F)_50KG (Thuèc)</t>
  </si>
  <si>
    <t>Thøc ¨n ch¨n nu«i #  552M (25KG)</t>
  </si>
  <si>
    <t>Thøc ¨n ch¨n nu«i #  552SF (50KG)</t>
  </si>
  <si>
    <t>Thøc ¨n ch¨n nu«i# 552S (F)_50KG (Thuèc)</t>
  </si>
  <si>
    <t>Thøc ¨n ch¨n nu«i #  553MF (50KG)</t>
  </si>
  <si>
    <t>Thøc ¨n ch¨n nu«i #  553S (25KG)</t>
  </si>
  <si>
    <t>Thøc ¨n ch¨n nu«i #  562 (25KG)</t>
  </si>
  <si>
    <t>Thøc ¨n ch¨n nu«i #  566(25KG)</t>
  </si>
  <si>
    <t>940</t>
  </si>
  <si>
    <t>Thøc ¨n ch¨n nu«i #  940 (25Kg)</t>
  </si>
  <si>
    <t>Thøc ¨n ch¨n nu«i #  953S (25KG)</t>
  </si>
  <si>
    <t>Thøc ¨n tinh hçnhîp bß s÷a-BS04A(25kg)5A</t>
  </si>
  <si>
    <t>0810-C¸m bß chê ®Î-BS10TA(40kg)</t>
  </si>
  <si>
    <t>0806-C¸m bß s¶n l­îng thÊp-BS06TA(40kg)</t>
  </si>
  <si>
    <t>Thøc ¨n ch¨n nu«i # GT11S (25Kg)</t>
  </si>
  <si>
    <t>Thøc ¨n ch¨n nu«i #  VT12 (25KG)</t>
  </si>
  <si>
    <t>Grand Total</t>
  </si>
  <si>
    <t>Vitamin &amp; Mineral</t>
  </si>
  <si>
    <t>Packsize</t>
  </si>
  <si>
    <t>Tranform Issued</t>
  </si>
  <si>
    <t>Thøc ¨n ch¨n nu«i #  549 (25KG)</t>
  </si>
  <si>
    <t>Thøc ¨n ch¨n nu«i #  949 (25Kg)</t>
  </si>
  <si>
    <t>Production Cost of F/G</t>
  </si>
  <si>
    <t xml:space="preserve">      9</t>
  </si>
  <si>
    <t>Tranform Receive</t>
  </si>
  <si>
    <t>Thøc ¨n ch¨n nu«i #  549F (50KG)</t>
  </si>
  <si>
    <t xml:space="preserve">      5</t>
  </si>
  <si>
    <t>Recorder</t>
  </si>
  <si>
    <t>Approved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</si>
</sst>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89" fillId="0" borderId="0">
      <alignment vertical="top"/>
    </xf>
    <xf numFmtId="0" fontId="95" fillId="0" borderId="0">
      <alignment vertical="top"/>
    </xf>
    <xf numFmtId="0" fontId="5" fillId="0" borderId="0">
      <alignment vertical="top"/>
    </xf>
    <xf numFmtId="0" fontId="102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7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8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6" fillId="20" borderId="16" xfId="0" applyFont="1" applyFill="1" applyBorder="1" applyAlignment="1">
      <alignment horizontal="left" vertical="top"/>
    </xf>
    <xf numFmtId="41" fontId="77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8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80" fillId="0" borderId="21" xfId="0" applyNumberFormat="1" applyFont="1" applyBorder="1" applyAlignment="1">
      <alignment horizontal="left" vertical="top"/>
    </xf>
    <xf numFmtId="3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right"/>
    </xf>
    <xf numFmtId="41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/>
    <xf numFmtId="3" fontId="79" fillId="0" borderId="21" xfId="0" applyNumberFormat="1" applyFont="1" applyBorder="1" applyAlignment="1">
      <alignment horizontal="center"/>
    </xf>
    <xf numFmtId="41" fontId="79" fillId="0" borderId="22" xfId="0" applyNumberFormat="1" applyFont="1" applyBorder="1" applyAlignment="1">
      <alignment horizontal="center"/>
    </xf>
    <xf numFmtId="41" fontId="79" fillId="0" borderId="16" xfId="0" applyNumberFormat="1" applyFont="1" applyBorder="1" applyAlignment="1">
      <alignment horizontal="right" vertical="center"/>
    </xf>
    <xf numFmtId="3" fontId="79" fillId="0" borderId="18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vertical="center"/>
    </xf>
    <xf numFmtId="41" fontId="79" fillId="0" borderId="21" xfId="0" applyNumberFormat="1" applyFont="1" applyBorder="1" applyAlignment="1">
      <alignment horizontal="center" vertical="center"/>
    </xf>
    <xf numFmtId="41" fontId="79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1" fillId="20" borderId="16" xfId="0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left" vertical="top"/>
    </xf>
    <xf numFmtId="41" fontId="78" fillId="0" borderId="16" xfId="0" applyNumberFormat="1" applyFont="1" applyBorder="1" applyAlignment="1">
      <alignment horizontal="left" vertical="top"/>
    </xf>
    <xf numFmtId="41" fontId="78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5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2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2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1" fillId="10" borderId="17" xfId="0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center" vertical="center"/>
    </xf>
    <xf numFmtId="41" fontId="83" fillId="10" borderId="16" xfId="0" applyNumberFormat="1" applyFont="1" applyFill="1" applyBorder="1" applyAlignment="1">
      <alignment horizontal="center" vertical="center"/>
    </xf>
    <xf numFmtId="41" fontId="79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4" fillId="0" borderId="16" xfId="0" applyNumberFormat="1" applyFont="1" applyBorder="1" applyAlignment="1">
      <alignment horizontal="left" vertical="top"/>
    </xf>
    <xf numFmtId="3" fontId="84" fillId="0" borderId="16" xfId="0" applyNumberFormat="1" applyFont="1" applyBorder="1" applyAlignment="1">
      <alignment horizontal="left" vertical="top"/>
    </xf>
    <xf numFmtId="41" fontId="84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7" fillId="20" borderId="21" xfId="0" applyNumberFormat="1" applyFont="1" applyFill="1" applyBorder="1" applyAlignment="1">
      <alignment horizontal="center" vertical="top"/>
    </xf>
    <xf numFmtId="41" fontId="77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5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5" fillId="0" borderId="16" xfId="0" applyNumberFormat="1" applyFont="1" applyBorder="1" applyAlignment="1">
      <alignment horizontal="center" vertical="center"/>
    </xf>
    <xf numFmtId="41" fontId="85" fillId="0" borderId="16" xfId="0" applyNumberFormat="1" applyFont="1" applyBorder="1" applyAlignment="1">
      <alignment horizontal="center" vertical="center"/>
    </xf>
    <xf numFmtId="3" fontId="84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6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1" fillId="0" borderId="0" xfId="0" applyNumberFormat="1" applyFont="1" applyAlignment="1">
      <alignment horizontal="left" vertical="top"/>
    </xf>
    <xf numFmtId="41" fontId="112" fillId="0" borderId="11" xfId="0" applyNumberFormat="1" applyFont="1" applyBorder="1" applyAlignment="1">
      <alignment horizontal="left" vertical="top"/>
    </xf>
    <xf numFmtId="41" fontId="112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0" fontId="113" fillId="0" borderId="0" xfId="0" applyFont="1" applyAlignment="1">
      <alignment horizontal="center" vertical="center"/>
    </xf>
    <xf numFmtId="41" fontId="113" fillId="0" borderId="21" xfId="0" applyNumberFormat="1" applyFont="1" applyBorder="1" applyAlignment="1">
      <alignment horizontal="center" vertical="center"/>
    </xf>
    <xf numFmtId="41" fontId="113" fillId="0" borderId="22" xfId="0" applyNumberFormat="1" applyFont="1" applyBorder="1" applyAlignment="1">
      <alignment horizontal="center" vertical="center"/>
    </xf>
    <xf numFmtId="4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3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4" fillId="0" borderId="0" xfId="0" applyFont="1"/>
    <xf numFmtId="0" fontId="0" fillId="0" borderId="0" xfId="0" applyAlignment="1">
      <alignment horizontal="right"/>
    </xf>
    <xf numFmtId="0" fontId="115" fillId="0" borderId="0" xfId="0" applyFont="1" applyAlignment="1">
      <alignment horizontal="left" vertical="center"/>
    </xf>
    <xf numFmtId="169" fontId="116" fillId="0" borderId="0" xfId="0" applyNumberFormat="1" applyFont="1" applyAlignment="1">
      <alignment horizontal="left" vertical="center"/>
    </xf>
    <xf numFmtId="41" fontId="115" fillId="0" borderId="0" xfId="0" applyNumberFormat="1" applyFont="1" applyAlignment="1">
      <alignment horizontal="left" vertical="center"/>
    </xf>
    <xf numFmtId="0" fontId="115" fillId="0" borderId="40" xfId="0" applyFont="1" applyBorder="1" applyAlignment="1">
      <alignment horizontal="left" vertical="center"/>
    </xf>
    <xf numFmtId="41" fontId="115" fillId="0" borderId="40" xfId="0" applyNumberFormat="1" applyFont="1" applyBorder="1" applyAlignment="1">
      <alignment horizontal="left"/>
    </xf>
    <xf numFmtId="41" fontId="115" fillId="0" borderId="0" xfId="0" applyNumberFormat="1" applyFont="1" applyAlignment="1">
      <alignment horizontal="center" vertical="center"/>
    </xf>
    <xf numFmtId="41" fontId="115" fillId="0" borderId="0" xfId="0" applyNumberFormat="1" applyFont="1" applyAlignment="1">
      <alignment horizontal="left"/>
    </xf>
    <xf numFmtId="0" fontId="115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7" fillId="0" borderId="16" xfId="0" applyNumberFormat="1" applyFont="1" applyBorder="1" applyAlignment="1">
      <alignment horizontal="center" vertical="center"/>
    </xf>
    <xf numFmtId="41" fontId="117" fillId="0" borderId="16" xfId="0" applyNumberFormat="1" applyFont="1" applyBorder="1" applyAlignment="1">
      <alignment vertical="center"/>
    </xf>
    <xf numFmtId="3" fontId="11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8" fillId="0" borderId="11" xfId="0" applyNumberFormat="1" applyFont="1" applyBorder="1" applyAlignment="1">
      <alignment horizontal="left" vertical="top"/>
    </xf>
    <xf numFmtId="0" fontId="119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0" fontId="119" fillId="0" borderId="41" xfId="0" applyFont="1" applyBorder="1" applyAlignment="1">
      <alignment horizontal="left"/>
    </xf>
    <xf numFmtId="0" fontId="119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1" fillId="0" borderId="0" xfId="0" applyFont="1"/>
    <xf numFmtId="0" fontId="122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3" fillId="0" borderId="0" xfId="0" applyNumberFormat="1" applyFont="1" applyAlignment="1">
      <alignment horizontal="left" vertical="top"/>
    </xf>
    <xf numFmtId="165" fontId="88" fillId="0" borderId="0" xfId="0" applyNumberFormat="1" applyFont="1" applyAlignment="1">
      <alignment horizontal="center"/>
    </xf>
    <xf numFmtId="0" fontId="121" fillId="0" borderId="0" xfId="0" applyFont="1" applyAlignment="1">
      <alignment horizontal="left" vertical="top"/>
    </xf>
    <xf numFmtId="41" fontId="123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4" fillId="0" borderId="21" xfId="0" applyNumberFormat="1" applyFont="1" applyBorder="1" applyAlignment="1">
      <alignment horizontal="center" vertical="center"/>
    </xf>
    <xf numFmtId="41" fontId="113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7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3" fillId="0" borderId="9" xfId="0" applyNumberFormat="1" applyFont="1" applyBorder="1" applyAlignment="1">
      <alignment horizontal="center"/>
    </xf>
    <xf numFmtId="3" fontId="113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79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79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79" fillId="30" borderId="16" xfId="0" applyNumberFormat="1" applyFont="1" applyFill="1" applyBorder="1" applyAlignment="1">
      <alignment horizontal="left" vertical="top"/>
    </xf>
    <xf numFmtId="41" fontId="117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3" fillId="0" borderId="0" xfId="2" applyNumberFormat="1" applyFont="1" applyBorder="1" applyAlignment="1">
      <alignment horizontal="left" vertical="top"/>
    </xf>
    <xf numFmtId="167" fontId="113" fillId="0" borderId="32" xfId="2" applyNumberFormat="1" applyFont="1" applyBorder="1" applyAlignment="1">
      <alignment horizontal="left" vertical="top"/>
    </xf>
    <xf numFmtId="3" fontId="113" fillId="0" borderId="32" xfId="0" applyNumberFormat="1" applyFont="1" applyBorder="1" applyAlignment="1">
      <alignment horizontal="left" vertical="top"/>
    </xf>
    <xf numFmtId="41" fontId="124" fillId="0" borderId="16" xfId="0" applyNumberFormat="1" applyFont="1" applyBorder="1" applyAlignment="1">
      <alignment horizontal="center" vertical="center"/>
    </xf>
    <xf numFmtId="3" fontId="124" fillId="0" borderId="16" xfId="0" applyNumberFormat="1" applyFont="1" applyBorder="1" applyAlignment="1">
      <alignment horizontal="center" vertical="center"/>
    </xf>
    <xf numFmtId="3" fontId="122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2" fillId="0" borderId="23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4" fillId="0" borderId="16" xfId="0" applyNumberFormat="1" applyFont="1" applyBorder="1" applyAlignment="1">
      <alignment horizontal="left" vertical="center"/>
    </xf>
    <xf numFmtId="0" fontId="125" fillId="0" borderId="21" xfId="0" applyFont="1" applyBorder="1" applyAlignment="1">
      <alignment horizontal="left" vertical="center"/>
    </xf>
    <xf numFmtId="0" fontId="121" fillId="0" borderId="21" xfId="0" applyFont="1" applyBorder="1" applyAlignment="1">
      <alignment horizontal="right" vertical="center"/>
    </xf>
    <xf numFmtId="3" fontId="126" fillId="0" borderId="16" xfId="0" applyNumberFormat="1" applyFont="1" applyBorder="1" applyAlignment="1">
      <alignment horizontal="center" vertical="center"/>
    </xf>
    <xf numFmtId="41" fontId="127" fillId="0" borderId="0" xfId="0" applyNumberFormat="1" applyFont="1" applyAlignment="1">
      <alignment vertical="center"/>
    </xf>
    <xf numFmtId="41" fontId="124" fillId="0" borderId="4" xfId="0" applyNumberFormat="1" applyFont="1" applyBorder="1" applyAlignment="1">
      <alignment horizontal="center" vertical="center"/>
    </xf>
    <xf numFmtId="41" fontId="128" fillId="0" borderId="4" xfId="0" applyNumberFormat="1" applyFont="1" applyBorder="1" applyAlignment="1">
      <alignment vertical="center"/>
    </xf>
    <xf numFmtId="41" fontId="128" fillId="0" borderId="40" xfId="0" applyNumberFormat="1" applyFont="1" applyBorder="1" applyAlignment="1">
      <alignment vertical="center"/>
    </xf>
    <xf numFmtId="41" fontId="124" fillId="0" borderId="40" xfId="0" applyNumberFormat="1" applyFont="1" applyBorder="1" applyAlignment="1">
      <alignment horizontal="center" vertical="center"/>
    </xf>
    <xf numFmtId="0" fontId="127" fillId="0" borderId="0" xfId="0" applyFont="1" applyAlignment="1">
      <alignment vertical="center"/>
    </xf>
    <xf numFmtId="3" fontId="122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0" fillId="0" borderId="0" xfId="0" applyNumberFormat="1" applyFont="1" applyAlignment="1">
      <alignment vertical="top"/>
    </xf>
    <xf numFmtId="3" fontId="90" fillId="0" borderId="0" xfId="0" applyNumberFormat="1" applyFont="1" applyAlignment="1">
      <alignment vertical="top"/>
    </xf>
    <xf numFmtId="172" fontId="90" fillId="0" borderId="0" xfId="0" applyNumberFormat="1" applyFont="1" applyAlignment="1">
      <alignment vertical="top"/>
    </xf>
    <xf numFmtId="41" fontId="117" fillId="30" borderId="16" xfId="0" applyNumberFormat="1" applyFont="1" applyFill="1" applyBorder="1" applyAlignment="1">
      <alignment horizontal="right" vertical="center"/>
    </xf>
    <xf numFmtId="41" fontId="117" fillId="0" borderId="18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center"/>
    </xf>
    <xf numFmtId="41" fontId="129" fillId="0" borderId="29" xfId="0" applyNumberFormat="1" applyFont="1" applyBorder="1"/>
    <xf numFmtId="41" fontId="129" fillId="0" borderId="31" xfId="0" applyNumberFormat="1" applyFont="1" applyBorder="1" applyAlignment="1">
      <alignment vertical="center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2" fillId="0" borderId="16" xfId="0" applyNumberFormat="1" applyFont="1" applyBorder="1" applyAlignment="1">
      <alignment horizontal="right" vertical="top"/>
    </xf>
    <xf numFmtId="41" fontId="112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1" fillId="0" borderId="16" xfId="0" applyFont="1" applyBorder="1" applyAlignment="1">
      <alignment horizontal="right" vertical="center"/>
    </xf>
    <xf numFmtId="0" fontId="121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3" fillId="0" borderId="16" xfId="0" applyFont="1" applyBorder="1" applyAlignment="1">
      <alignment horizontal="center" vertical="top"/>
    </xf>
    <xf numFmtId="41" fontId="117" fillId="0" borderId="16" xfId="0" applyNumberFormat="1" applyFont="1" applyBorder="1" applyAlignment="1">
      <alignment horizontal="left" vertical="top"/>
    </xf>
    <xf numFmtId="41" fontId="112" fillId="0" borderId="16" xfId="0" applyNumberFormat="1" applyFont="1" applyBorder="1" applyAlignment="1">
      <alignment horizontal="right" vertical="center"/>
    </xf>
    <xf numFmtId="41" fontId="113" fillId="27" borderId="11" xfId="0" applyNumberFormat="1" applyFont="1" applyFill="1" applyBorder="1" applyAlignment="1">
      <alignment horizontal="left" vertical="top"/>
    </xf>
    <xf numFmtId="0" fontId="121" fillId="14" borderId="16" xfId="0" applyFont="1" applyFill="1" applyBorder="1" applyAlignment="1">
      <alignment horizontal="center" vertical="top"/>
    </xf>
    <xf numFmtId="0" fontId="113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3" fillId="0" borderId="0" xfId="0" applyNumberFormat="1" applyFont="1" applyAlignment="1">
      <alignment vertical="top"/>
    </xf>
    <xf numFmtId="3" fontId="93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/>
    </xf>
    <xf numFmtId="3" fontId="130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7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1" fillId="18" borderId="16" xfId="0" applyFont="1" applyFill="1" applyBorder="1" applyAlignment="1">
      <alignment horizontal="right" vertical="center"/>
    </xf>
    <xf numFmtId="0" fontId="117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1" fillId="0" borderId="16" xfId="0" applyNumberFormat="1" applyFont="1" applyBorder="1" applyAlignment="1">
      <alignment horizontal="center" vertical="center"/>
    </xf>
    <xf numFmtId="4" fontId="94" fillId="0" borderId="0" xfId="0" applyNumberFormat="1" applyFont="1" applyAlignment="1">
      <alignment vertical="top"/>
    </xf>
    <xf numFmtId="3" fontId="132" fillId="0" borderId="0" xfId="0" applyNumberFormat="1" applyFont="1" applyAlignment="1">
      <alignment vertical="top"/>
    </xf>
    <xf numFmtId="4" fontId="132" fillId="0" borderId="0" xfId="0" applyNumberFormat="1" applyFont="1" applyAlignment="1">
      <alignment vertical="top"/>
    </xf>
    <xf numFmtId="3" fontId="132" fillId="0" borderId="0" xfId="0" applyNumberFormat="1" applyFont="1"/>
    <xf numFmtId="167" fontId="132" fillId="0" borderId="0" xfId="2" applyNumberFormat="1" applyFont="1"/>
    <xf numFmtId="41" fontId="117" fillId="0" borderId="0" xfId="0" applyNumberFormat="1" applyFont="1" applyAlignment="1">
      <alignment horizontal="left" vertical="top"/>
    </xf>
    <xf numFmtId="167" fontId="117" fillId="0" borderId="0" xfId="2" applyNumberFormat="1" applyFont="1" applyBorder="1" applyAlignment="1">
      <alignment horizontal="left" vertical="top"/>
    </xf>
    <xf numFmtId="167" fontId="117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4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2" fillId="14" borderId="0" xfId="0" applyNumberFormat="1" applyFont="1" applyFill="1"/>
    <xf numFmtId="167" fontId="132" fillId="14" borderId="0" xfId="0" applyNumberFormat="1" applyFont="1" applyFill="1"/>
    <xf numFmtId="0" fontId="132" fillId="24" borderId="0" xfId="0" applyFont="1" applyFill="1" applyAlignment="1">
      <alignment horizontal="center"/>
    </xf>
    <xf numFmtId="0" fontId="132" fillId="24" borderId="0" xfId="0" applyFont="1" applyFill="1"/>
    <xf numFmtId="0" fontId="132" fillId="0" borderId="0" xfId="0" applyFont="1" applyAlignment="1">
      <alignment vertical="top"/>
    </xf>
    <xf numFmtId="0" fontId="132" fillId="0" borderId="0" xfId="0" applyFont="1"/>
    <xf numFmtId="0" fontId="132" fillId="14" borderId="0" xfId="0" applyFont="1" applyFill="1"/>
    <xf numFmtId="166" fontId="132" fillId="0" borderId="0" xfId="2" applyNumberFormat="1" applyFont="1" applyAlignment="1">
      <alignment vertical="top"/>
    </xf>
    <xf numFmtId="166" fontId="114" fillId="0" borderId="0" xfId="2" applyNumberFormat="1" applyFont="1" applyAlignment="1">
      <alignment vertical="top"/>
    </xf>
    <xf numFmtId="166" fontId="132" fillId="0" borderId="0" xfId="2" applyNumberFormat="1" applyFont="1"/>
    <xf numFmtId="166" fontId="114" fillId="0" borderId="0" xfId="2" applyNumberFormat="1" applyFont="1"/>
    <xf numFmtId="4" fontId="95" fillId="0" borderId="0" xfId="0" applyNumberFormat="1" applyFont="1" applyAlignment="1">
      <alignment vertical="top"/>
    </xf>
    <xf numFmtId="39" fontId="95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3" fillId="0" borderId="0" xfId="0" applyNumberFormat="1" applyFont="1" applyAlignment="1">
      <alignment horizontal="left" vertical="top"/>
    </xf>
    <xf numFmtId="3" fontId="134" fillId="0" borderId="0" xfId="0" applyNumberFormat="1" applyFont="1" applyAlignment="1">
      <alignment horizontal="left" vertical="top"/>
    </xf>
    <xf numFmtId="41" fontId="113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4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1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1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7" fillId="0" borderId="0" xfId="0" applyFont="1" applyAlignment="1">
      <alignment horizontal="left" vertical="top"/>
    </xf>
    <xf numFmtId="3" fontId="113" fillId="0" borderId="0" xfId="0" applyNumberFormat="1" applyFont="1" applyAlignment="1">
      <alignment horizontal="left" vertical="top"/>
    </xf>
    <xf numFmtId="3" fontId="117" fillId="0" borderId="0" xfId="0" applyNumberFormat="1" applyFont="1" applyAlignment="1">
      <alignment horizontal="left" vertical="top"/>
    </xf>
    <xf numFmtId="167" fontId="117" fillId="0" borderId="0" xfId="0" applyNumberFormat="1" applyFont="1" applyAlignment="1">
      <alignment horizontal="left" vertical="top"/>
    </xf>
    <xf numFmtId="0" fontId="121" fillId="34" borderId="16" xfId="0" applyFont="1" applyFill="1" applyBorder="1" applyAlignment="1">
      <alignment horizontal="right" vertical="center"/>
    </xf>
    <xf numFmtId="41" fontId="121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7" fillId="13" borderId="16" xfId="0" applyNumberFormat="1" applyFont="1" applyFill="1" applyBorder="1" applyAlignment="1">
      <alignment horizontal="right" vertical="center"/>
    </xf>
    <xf numFmtId="41" fontId="117" fillId="14" borderId="16" xfId="0" applyNumberFormat="1" applyFont="1" applyFill="1" applyBorder="1" applyAlignment="1">
      <alignment horizontal="center" vertical="center"/>
    </xf>
    <xf numFmtId="41" fontId="117" fillId="13" borderId="16" xfId="0" applyNumberFormat="1" applyFont="1" applyFill="1" applyBorder="1" applyAlignment="1">
      <alignment horizontal="center" vertical="center"/>
    </xf>
    <xf numFmtId="41" fontId="121" fillId="30" borderId="16" xfId="0" applyNumberFormat="1" applyFont="1" applyFill="1" applyBorder="1" applyAlignment="1">
      <alignment horizontal="right" vertical="center"/>
    </xf>
    <xf numFmtId="41" fontId="121" fillId="0" borderId="0" xfId="0" applyNumberFormat="1" applyFont="1" applyAlignment="1">
      <alignment vertical="center"/>
    </xf>
    <xf numFmtId="0" fontId="113" fillId="0" borderId="4" xfId="0" applyFont="1" applyBorder="1" applyAlignment="1">
      <alignment horizontal="center" vertical="center"/>
    </xf>
    <xf numFmtId="41" fontId="113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2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1" fillId="27" borderId="0" xfId="0" applyNumberFormat="1" applyFont="1" applyFill="1" applyAlignment="1">
      <alignment vertical="top"/>
    </xf>
    <xf numFmtId="3" fontId="91" fillId="27" borderId="0" xfId="0" applyNumberFormat="1" applyFont="1" applyFill="1" applyAlignment="1">
      <alignment vertical="top"/>
    </xf>
    <xf numFmtId="41" fontId="86" fillId="0" borderId="47" xfId="0" applyNumberFormat="1" applyFont="1" applyBorder="1" applyAlignment="1">
      <alignment horizontal="left" vertical="top" wrapText="1"/>
    </xf>
    <xf numFmtId="41" fontId="86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2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99" fillId="0" borderId="0" xfId="0" applyNumberFormat="1" applyFont="1" applyAlignment="1">
      <alignment vertical="top"/>
    </xf>
    <xf numFmtId="3" fontId="99" fillId="0" borderId="0" xfId="0" applyNumberFormat="1" applyFont="1" applyAlignment="1">
      <alignment vertical="top"/>
    </xf>
    <xf numFmtId="172" fontId="99" fillId="0" borderId="0" xfId="0" applyNumberFormat="1" applyFont="1" applyAlignment="1">
      <alignment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3" fontId="100" fillId="0" borderId="0" xfId="0" applyNumberFormat="1" applyFont="1" applyAlignment="1">
      <alignment vertical="top"/>
    </xf>
    <xf numFmtId="41" fontId="117" fillId="20" borderId="21" xfId="0" applyNumberFormat="1" applyFont="1" applyFill="1" applyBorder="1" applyAlignment="1">
      <alignment horizontal="center"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3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7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1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3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1" fillId="0" borderId="16" xfId="0" applyNumberFormat="1" applyFont="1" applyBorder="1" applyAlignment="1">
      <alignment horizontal="center" vertical="center"/>
    </xf>
    <xf numFmtId="41" fontId="121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5" fillId="0" borderId="0" xfId="0" applyNumberFormat="1" applyFont="1" applyAlignment="1">
      <alignment horizontal="center"/>
    </xf>
    <xf numFmtId="173" fontId="103" fillId="0" borderId="0" xfId="0" applyNumberFormat="1" applyFont="1" applyAlignment="1">
      <alignment vertical="top"/>
    </xf>
    <xf numFmtId="3" fontId="103" fillId="0" borderId="0" xfId="0" applyNumberFormat="1" applyFont="1" applyAlignment="1">
      <alignment vertical="top"/>
    </xf>
    <xf numFmtId="4" fontId="103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4" fillId="2" borderId="10" xfId="0" applyNumberFormat="1" applyFont="1" applyFill="1" applyBorder="1" applyAlignment="1">
      <alignment horizontal="left" vertical="top"/>
    </xf>
    <xf numFmtId="165" fontId="121" fillId="0" borderId="0" xfId="0" applyNumberFormat="1" applyFont="1" applyAlignment="1">
      <alignment horizontal="center"/>
    </xf>
    <xf numFmtId="41" fontId="121" fillId="0" borderId="0" xfId="0" applyNumberFormat="1" applyFont="1" applyAlignment="1">
      <alignment horizontal="left" vertical="top"/>
    </xf>
    <xf numFmtId="4" fontId="105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79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3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6" fillId="16" borderId="16" xfId="0" applyFont="1" applyFill="1" applyBorder="1" applyAlignment="1">
      <alignment horizontal="right" vertical="center"/>
    </xf>
    <xf numFmtId="41" fontId="136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7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7" fillId="0" borderId="0" xfId="0" applyNumberFormat="1" applyFont="1" applyAlignment="1">
      <alignment vertical="top"/>
    </xf>
    <xf numFmtId="3" fontId="107" fillId="0" borderId="0" xfId="0" applyNumberFormat="1" applyFont="1" applyAlignment="1">
      <alignment vertical="top"/>
    </xf>
    <xf numFmtId="172" fontId="107" fillId="0" borderId="0" xfId="0" applyNumberFormat="1" applyFont="1" applyAlignment="1">
      <alignment vertical="top"/>
    </xf>
    <xf numFmtId="0" fontId="137" fillId="9" borderId="16" xfId="0" applyFont="1" applyFill="1" applyBorder="1" applyAlignment="1">
      <alignment horizontal="right" vertical="center"/>
    </xf>
    <xf numFmtId="41" fontId="137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8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39" fillId="14" borderId="16" xfId="0" applyFont="1" applyFill="1" applyBorder="1" applyAlignment="1">
      <alignment horizontal="center" vertical="top"/>
    </xf>
    <xf numFmtId="0" fontId="121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2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left" vertical="top"/>
    </xf>
    <xf numFmtId="174" fontId="130" fillId="0" borderId="0" xfId="0" applyNumberFormat="1" applyFont="1" applyAlignment="1">
      <alignment horizontal="left" vertical="top"/>
    </xf>
    <xf numFmtId="0" fontId="136" fillId="13" borderId="16" xfId="0" applyFont="1" applyFill="1" applyBorder="1" applyAlignment="1">
      <alignment horizontal="right"/>
    </xf>
    <xf numFmtId="0" fontId="136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7" fillId="0" borderId="16" xfId="0" applyNumberFormat="1" applyFont="1" applyBorder="1" applyAlignment="1">
      <alignment horizontal="left" vertical="top"/>
    </xf>
    <xf numFmtId="41" fontId="137" fillId="0" borderId="22" xfId="0" applyNumberFormat="1" applyFont="1" applyBorder="1" applyAlignment="1">
      <alignment horizontal="left" vertical="top"/>
    </xf>
    <xf numFmtId="41" fontId="138" fillId="0" borderId="0" xfId="0" applyNumberFormat="1" applyFont="1" applyAlignment="1">
      <alignment vertical="center"/>
    </xf>
    <xf numFmtId="41" fontId="129" fillId="0" borderId="0" xfId="0" applyNumberFormat="1" applyFont="1" applyAlignment="1">
      <alignment vertical="center"/>
    </xf>
    <xf numFmtId="41" fontId="129" fillId="0" borderId="0" xfId="0" applyNumberFormat="1" applyFont="1"/>
    <xf numFmtId="0" fontId="141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7" fillId="0" borderId="0" xfId="0" applyNumberFormat="1" applyFont="1" applyAlignment="1">
      <alignment horizontal="center" vertical="top"/>
    </xf>
    <xf numFmtId="3" fontId="113" fillId="0" borderId="0" xfId="0" applyNumberFormat="1" applyFont="1" applyAlignment="1">
      <alignment horizontal="righ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173" fontId="109" fillId="0" borderId="0" xfId="0" applyNumberFormat="1" applyFont="1" applyAlignment="1">
      <alignment vertical="top"/>
    </xf>
    <xf numFmtId="41" fontId="136" fillId="12" borderId="16" xfId="0" applyNumberFormat="1" applyFont="1" applyFill="1" applyBorder="1" applyAlignment="1">
      <alignment horizontal="center" vertical="center"/>
    </xf>
    <xf numFmtId="4" fontId="110" fillId="0" borderId="0" xfId="0" applyNumberFormat="1" applyFont="1" applyAlignment="1">
      <alignment vertical="top"/>
    </xf>
    <xf numFmtId="39" fontId="110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4" fillId="0" borderId="0" xfId="0" applyFont="1" applyAlignment="1">
      <alignment horizontal="center" vertical="center"/>
    </xf>
    <xf numFmtId="1" fontId="14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5" fillId="0" borderId="0" xfId="0" applyNumberFormat="1" applyFont="1" applyAlignment="1">
      <alignment vertical="top"/>
    </xf>
    <xf numFmtId="3" fontId="145" fillId="0" borderId="0" xfId="0" applyNumberFormat="1" applyFont="1" applyAlignment="1">
      <alignment vertical="top"/>
    </xf>
    <xf numFmtId="173" fontId="145" fillId="0" borderId="0" xfId="0" applyNumberFormat="1" applyFont="1" applyAlignment="1">
      <alignment vertical="top"/>
    </xf>
    <xf numFmtId="39" fontId="14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43" fillId="0" borderId="0" xfId="0" applyFont="1" applyAlignment="1">
      <alignment vertical="top"/>
    </xf>
    <xf numFmtId="4" fontId="143" fillId="0" borderId="0" xfId="0" applyNumberFormat="1" applyFont="1" applyAlignment="1">
      <alignment vertical="top"/>
    </xf>
    <xf numFmtId="11" fontId="143" fillId="0" borderId="0" xfId="0" applyNumberFormat="1" applyFont="1" applyAlignment="1">
      <alignment vertical="top"/>
    </xf>
    <xf numFmtId="0" fontId="114" fillId="0" borderId="0" xfId="0" applyFont="1" applyAlignment="1">
      <alignment vertical="top"/>
    </xf>
    <xf numFmtId="3" fontId="133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4" fillId="0" borderId="21" xfId="0" applyNumberFormat="1" applyFont="1" applyBorder="1" applyAlignment="1">
      <alignment horizontal="center" vertical="center"/>
    </xf>
    <xf numFmtId="0" fontId="113" fillId="0" borderId="0" xfId="0" applyFont="1" applyAlignment="1">
      <alignment horizontal="left" vertical="top"/>
    </xf>
    <xf numFmtId="3" fontId="146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center" vertical="center"/>
    </xf>
    <xf numFmtId="0" fontId="147" fillId="0" borderId="41" xfId="0" applyFont="1" applyBorder="1" applyAlignment="1">
      <alignment horizontal="left" vertical="top"/>
    </xf>
    <xf numFmtId="41" fontId="146" fillId="0" borderId="41" xfId="0" applyNumberFormat="1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right" vertical="top"/>
    </xf>
    <xf numFmtId="0" fontId="147" fillId="0" borderId="41" xfId="0" applyFont="1" applyBorder="1" applyAlignment="1">
      <alignment horizontal="left" vertical="center"/>
    </xf>
    <xf numFmtId="0" fontId="148" fillId="0" borderId="41" xfId="0" applyFont="1" applyBorder="1" applyAlignment="1">
      <alignment horizontal="left"/>
    </xf>
    <xf numFmtId="3" fontId="149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left" vertical="top"/>
    </xf>
    <xf numFmtId="167" fontId="140" fillId="14" borderId="11" xfId="2" applyNumberFormat="1" applyFont="1" applyFill="1" applyBorder="1" applyAlignment="1">
      <alignment vertical="center"/>
    </xf>
    <xf numFmtId="174" fontId="147" fillId="14" borderId="11" xfId="0" applyNumberFormat="1" applyFont="1" applyFill="1" applyBorder="1" applyAlignment="1">
      <alignment vertical="top"/>
    </xf>
    <xf numFmtId="167" fontId="149" fillId="0" borderId="41" xfId="2" applyNumberFormat="1" applyFont="1" applyFill="1" applyBorder="1" applyAlignment="1">
      <alignment horizontal="left" vertical="top"/>
    </xf>
    <xf numFmtId="0" fontId="150" fillId="0" borderId="0" xfId="0" applyFont="1" applyAlignment="1">
      <alignment horizontal="left"/>
    </xf>
    <xf numFmtId="0" fontId="150" fillId="0" borderId="0" xfId="0" applyFont="1" applyAlignment="1">
      <alignment horizontal="left" vertical="center"/>
    </xf>
    <xf numFmtId="0" fontId="148" fillId="0" borderId="41" xfId="0" applyFont="1" applyBorder="1" applyAlignment="1">
      <alignment horizontal="left" vertical="center"/>
    </xf>
    <xf numFmtId="169" fontId="151" fillId="0" borderId="0" xfId="0" applyNumberFormat="1" applyFont="1" applyAlignment="1">
      <alignment horizontal="left" vertical="center"/>
    </xf>
    <xf numFmtId="0" fontId="152" fillId="0" borderId="41" xfId="0" applyFont="1" applyBorder="1" applyAlignment="1">
      <alignment horizontal="left" vertical="center"/>
    </xf>
    <xf numFmtId="41" fontId="150" fillId="0" borderId="0" xfId="0" applyNumberFormat="1" applyFont="1" applyAlignment="1">
      <alignment horizontal="left" vertical="center"/>
    </xf>
    <xf numFmtId="0" fontId="150" fillId="0" borderId="40" xfId="0" applyFont="1" applyBorder="1" applyAlignment="1">
      <alignment horizontal="left" vertical="center"/>
    </xf>
    <xf numFmtId="41" fontId="150" fillId="0" borderId="40" xfId="0" applyNumberFormat="1" applyFont="1" applyBorder="1" applyAlignment="1">
      <alignment horizontal="left"/>
    </xf>
    <xf numFmtId="41" fontId="150" fillId="0" borderId="0" xfId="0" applyNumberFormat="1" applyFont="1" applyAlignment="1">
      <alignment horizontal="center" vertical="center"/>
    </xf>
    <xf numFmtId="0" fontId="148" fillId="0" borderId="41" xfId="0" applyFont="1" applyBorder="1" applyAlignment="1">
      <alignment horizontal="center" vertical="center"/>
    </xf>
    <xf numFmtId="41" fontId="150" fillId="0" borderId="0" xfId="0" applyNumberFormat="1" applyFont="1" applyAlignment="1">
      <alignment horizontal="left"/>
    </xf>
    <xf numFmtId="41" fontId="150" fillId="0" borderId="40" xfId="0" applyNumberFormat="1" applyFont="1" applyBorder="1" applyAlignment="1">
      <alignment horizontal="left" vertical="center"/>
    </xf>
    <xf numFmtId="41" fontId="146" fillId="0" borderId="40" xfId="0" applyNumberFormat="1" applyFont="1" applyBorder="1" applyAlignment="1">
      <alignment horizontal="left"/>
    </xf>
    <xf numFmtId="0" fontId="147" fillId="0" borderId="41" xfId="0" applyFont="1" applyBorder="1" applyAlignment="1">
      <alignment horizontal="left"/>
    </xf>
    <xf numFmtId="41" fontId="148" fillId="0" borderId="40" xfId="0" applyNumberFormat="1" applyFont="1" applyBorder="1" applyAlignment="1">
      <alignment horizontal="left"/>
    </xf>
    <xf numFmtId="41" fontId="150" fillId="0" borderId="40" xfId="0" applyNumberFormat="1" applyFont="1" applyBorder="1" applyAlignment="1">
      <alignment horizontal="center"/>
    </xf>
    <xf numFmtId="0" fontId="148" fillId="0" borderId="41" xfId="0" applyFont="1" applyBorder="1" applyAlignment="1">
      <alignment horizontal="center"/>
    </xf>
    <xf numFmtId="0" fontId="130" fillId="0" borderId="0" xfId="0" applyFont="1"/>
    <xf numFmtId="0" fontId="133" fillId="0" borderId="0" xfId="0" applyFont="1" applyAlignment="1">
      <alignment horizontal="left" vertical="top"/>
    </xf>
    <xf numFmtId="167" fontId="133" fillId="0" borderId="0" xfId="0" applyNumberFormat="1" applyFont="1" applyAlignment="1">
      <alignment horizontal="left" vertical="top"/>
    </xf>
    <xf numFmtId="174" fontId="136" fillId="0" borderId="0" xfId="0" applyNumberFormat="1" applyFont="1" applyAlignment="1">
      <alignment horizontal="left" vertical="top"/>
    </xf>
    <xf numFmtId="167" fontId="136" fillId="0" borderId="0" xfId="0" applyNumberFormat="1" applyFont="1" applyAlignment="1">
      <alignment horizontal="left" vertical="top"/>
    </xf>
    <xf numFmtId="0" fontId="136" fillId="0" borderId="0" xfId="0" applyFont="1" applyAlignment="1">
      <alignment horizontal="left" vertical="top"/>
    </xf>
    <xf numFmtId="3" fontId="140" fillId="0" borderId="14" xfId="0" applyNumberFormat="1" applyFont="1" applyBorder="1" applyAlignment="1">
      <alignment horizontal="left" vertical="top"/>
    </xf>
    <xf numFmtId="3" fontId="140" fillId="0" borderId="0" xfId="0" applyNumberFormat="1" applyFont="1" applyAlignment="1">
      <alignment horizontal="left" vertical="top"/>
    </xf>
    <xf numFmtId="0" fontId="153" fillId="0" borderId="0" xfId="0" applyFont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41" fontId="154" fillId="0" borderId="40" xfId="0" applyNumberFormat="1" applyFont="1" applyBorder="1" applyAlignment="1">
      <alignment horizontal="left" vertical="top"/>
    </xf>
    <xf numFmtId="41" fontId="140" fillId="0" borderId="0" xfId="0" applyNumberFormat="1" applyFont="1" applyAlignment="1">
      <alignment horizontal="left" vertical="top"/>
    </xf>
    <xf numFmtId="41" fontId="130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center" vertical="center"/>
    </xf>
    <xf numFmtId="0" fontId="140" fillId="0" borderId="40" xfId="0" applyFont="1" applyBorder="1" applyAlignment="1">
      <alignment horizontal="center" vertical="center"/>
    </xf>
    <xf numFmtId="41" fontId="146" fillId="0" borderId="40" xfId="0" applyNumberFormat="1" applyFont="1" applyBorder="1" applyAlignment="1">
      <alignment horizontal="left" vertical="center"/>
    </xf>
    <xf numFmtId="41" fontId="154" fillId="0" borderId="40" xfId="0" applyNumberFormat="1" applyFont="1" applyBorder="1" applyAlignment="1">
      <alignment horizontal="left" vertical="center"/>
    </xf>
    <xf numFmtId="41" fontId="140" fillId="0" borderId="40" xfId="0" applyNumberFormat="1" applyFont="1" applyBorder="1" applyAlignment="1">
      <alignment horizontal="left" vertical="top"/>
    </xf>
    <xf numFmtId="3" fontId="155" fillId="0" borderId="0" xfId="0" applyNumberFormat="1" applyFont="1" applyAlignment="1">
      <alignment horizontal="left" vertical="top"/>
    </xf>
    <xf numFmtId="167" fontId="155" fillId="0" borderId="0" xfId="2" applyNumberFormat="1" applyFont="1" applyFill="1" applyBorder="1" applyAlignment="1">
      <alignment horizontal="left" vertical="top"/>
    </xf>
    <xf numFmtId="0" fontId="130" fillId="0" borderId="0" xfId="0" applyFont="1" applyAlignment="1">
      <alignment horizontal="left"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6" fillId="0" borderId="42" xfId="0" applyNumberFormat="1" applyFont="1" applyBorder="1" applyAlignment="1">
      <alignment horizontal="center" vertical="center"/>
    </xf>
    <xf numFmtId="3" fontId="106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5" fillId="0" borderId="68" xfId="0" applyNumberFormat="1" applyFont="1" applyBorder="1" applyAlignment="1">
      <alignment horizontal="center" vertical="center"/>
    </xf>
    <xf numFmtId="41" fontId="135" fillId="0" borderId="69" xfId="0" applyNumberFormat="1" applyFont="1" applyBorder="1" applyAlignment="1">
      <alignment horizontal="center" vertical="center"/>
    </xf>
    <xf numFmtId="41" fontId="135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0" fillId="32" borderId="71" xfId="0" applyFont="1" applyFill="1" applyBorder="1" applyAlignment="1">
      <alignment horizontal="center" vertical="center" wrapText="1"/>
    </xf>
    <xf numFmtId="0" fontId="140" fillId="32" borderId="12" xfId="0" applyFont="1" applyFill="1" applyBorder="1" applyAlignment="1">
      <alignment horizontal="center" vertical="center" wrapText="1"/>
    </xf>
    <xf numFmtId="0" fontId="140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3" fillId="27" borderId="60" xfId="0" applyFont="1" applyFill="1" applyBorder="1" applyAlignment="1">
      <alignment horizontal="left" vertical="top"/>
    </xf>
    <xf numFmtId="0" fontId="113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6" fillId="0" borderId="46" xfId="0" applyNumberFormat="1" applyFont="1" applyBorder="1" applyAlignment="1">
      <alignment horizontal="left" vertical="center" wrapText="1"/>
    </xf>
    <xf numFmtId="41" fontId="86" fillId="0" borderId="76" xfId="0" applyNumberFormat="1" applyFont="1" applyBorder="1" applyAlignment="1">
      <alignment horizontal="left" vertical="center" wrapText="1"/>
    </xf>
    <xf numFmtId="41" fontId="86" fillId="0" borderId="47" xfId="0" applyNumberFormat="1" applyFont="1" applyBorder="1" applyAlignment="1">
      <alignment horizontal="left" vertical="center" wrapText="1"/>
    </xf>
    <xf numFmtId="3" fontId="142" fillId="0" borderId="64" xfId="0" applyNumberFormat="1" applyFont="1" applyBorder="1" applyAlignment="1">
      <alignment horizontal="left" vertical="center"/>
    </xf>
    <xf numFmtId="3" fontId="142" fillId="0" borderId="69" xfId="0" applyNumberFormat="1" applyFont="1" applyBorder="1" applyAlignment="1">
      <alignment horizontal="left" vertical="center"/>
    </xf>
    <xf numFmtId="3" fontId="142" fillId="0" borderId="61" xfId="0" applyNumberFormat="1" applyFont="1" applyBorder="1" applyAlignment="1">
      <alignment horizontal="left" vertical="center"/>
    </xf>
    <xf numFmtId="0" fontId="133" fillId="29" borderId="81" xfId="0" applyFont="1" applyFill="1" applyBorder="1" applyAlignment="1">
      <alignment horizontal="center" vertical="center"/>
    </xf>
    <xf numFmtId="0" fontId="133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5" fillId="0" borderId="64" xfId="0" applyFont="1" applyBorder="1" applyAlignment="1">
      <alignment horizontal="left" vertical="top"/>
    </xf>
    <xf numFmtId="0" fontId="135" fillId="0" borderId="69" xfId="0" applyFont="1" applyBorder="1" applyAlignment="1">
      <alignment horizontal="left" vertical="top"/>
    </xf>
    <xf numFmtId="0" fontId="135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5" fillId="0" borderId="68" xfId="0" applyNumberFormat="1" applyFont="1" applyBorder="1" applyAlignment="1">
      <alignment horizontal="center" vertical="top"/>
    </xf>
    <xf numFmtId="3" fontId="135" fillId="0" borderId="69" xfId="0" applyNumberFormat="1" applyFont="1" applyBorder="1" applyAlignment="1">
      <alignment horizontal="center" vertical="top"/>
    </xf>
    <xf numFmtId="3" fontId="135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8" fillId="0" borderId="66" xfId="0" applyNumberFormat="1" applyFont="1" applyBorder="1" applyAlignment="1">
      <alignment horizontal="left" vertical="top"/>
    </xf>
    <xf numFmtId="41" fontId="118" fillId="0" borderId="24" xfId="0" applyNumberFormat="1" applyFont="1" applyBorder="1" applyAlignment="1">
      <alignment horizontal="left" vertical="top"/>
    </xf>
    <xf numFmtId="41" fontId="118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3" fillId="0" borderId="9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41" fontId="113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3" fillId="0" borderId="4" xfId="0" applyFont="1" applyBorder="1" applyAlignment="1">
      <alignment horizontal="center" vertical="center"/>
    </xf>
    <xf numFmtId="0" fontId="113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341</xdr:row>
      <xdr:rowOff>0</xdr:rowOff>
    </xdr:from>
    <xdr:to>
      <xdr:col>8</xdr:col>
      <xdr:colOff>0</xdr:colOff>
      <xdr:row>341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341</xdr:row>
      <xdr:rowOff>0</xdr:rowOff>
    </xdr:from>
    <xdr:to>
      <xdr:col>8</xdr:col>
      <xdr:colOff>0</xdr:colOff>
      <xdr:row>341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activeCell="D283" sqref="D283"/>
      <selection pane="topRight" activeCell="AO31" sqref="AO31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f>+BRAN!O3</f>
        <v>46158</v>
      </c>
      <c r="P3" s="1232"/>
      <c r="Q3" s="1232"/>
      <c r="R3" s="1232"/>
      <c r="S3" s="1232"/>
      <c r="T3" s="1232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3" t="s">
        <v>1700</v>
      </c>
      <c r="B9" s="1034" t="s">
        <v>1676</v>
      </c>
      <c r="C9" s="1034" t="s">
        <v>1677</v>
      </c>
      <c r="D9" s="1046" t="s">
        <v>1769</v>
      </c>
      <c r="E9" s="61" t="s">
        <v>0</v>
      </c>
      <c r="F9" s="1049" t="s">
        <v>1680</v>
      </c>
      <c r="G9" s="1054"/>
      <c r="H9" s="1050"/>
      <c r="I9" s="1049" t="s">
        <v>1681</v>
      </c>
      <c r="J9" s="1054"/>
      <c r="K9" s="1054"/>
      <c r="L9" s="1054"/>
      <c r="M9" s="1049" t="s">
        <v>1687</v>
      </c>
      <c r="N9" s="1050"/>
      <c r="O9" s="194" t="s">
        <v>1727</v>
      </c>
      <c r="P9" s="194"/>
      <c r="Q9" s="194"/>
      <c r="R9" s="194" t="s">
        <v>1728</v>
      </c>
      <c r="S9" s="1046" t="s">
        <v>1689</v>
      </c>
      <c r="T9" s="1173" t="s">
        <v>1692</v>
      </c>
      <c r="U9" s="999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4"/>
      <c r="B10" s="1035"/>
      <c r="C10" s="1035"/>
      <c r="D10" s="1047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49" t="s">
        <v>1684</v>
      </c>
      <c r="J10" s="1054"/>
      <c r="K10" s="585" t="s">
        <v>1688</v>
      </c>
      <c r="L10" s="784" t="s">
        <v>1686</v>
      </c>
      <c r="M10" s="1049" t="s">
        <v>1732</v>
      </c>
      <c r="N10" s="1050"/>
      <c r="O10" s="787" t="s">
        <v>1730</v>
      </c>
      <c r="P10" s="195"/>
      <c r="Q10" s="195"/>
      <c r="R10" s="787" t="s">
        <v>1731</v>
      </c>
      <c r="S10" s="1047"/>
      <c r="T10" s="1174"/>
      <c r="U10" s="1000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5"/>
      <c r="B11" s="1036"/>
      <c r="C11" s="1036"/>
      <c r="D11" s="1048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48"/>
      <c r="T11" s="1175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/>
      <c r="Y12" s="743">
        <v>0</v>
      </c>
      <c r="Z12" s="744">
        <v>0</v>
      </c>
      <c r="AA12" s="745">
        <v>0</v>
      </c>
      <c r="AB12" s="744">
        <v>0</v>
      </c>
      <c r="AC12" s="745">
        <v>0</v>
      </c>
      <c r="AD12" s="744">
        <v>0</v>
      </c>
      <c r="AE12" s="745">
        <v>0</v>
      </c>
      <c r="AF12" s="744">
        <v>0</v>
      </c>
      <c r="AG12" s="745"/>
      <c r="AH12" s="744">
        <v>0</v>
      </c>
      <c r="AI12" s="745">
        <v>0</v>
      </c>
      <c r="AJ12" s="744">
        <v>0</v>
      </c>
      <c r="AK12" s="745">
        <v>0</v>
      </c>
      <c r="AL12" s="744">
        <v>0</v>
      </c>
      <c r="AM12" s="745">
        <v>0</v>
      </c>
      <c r="AN12" s="744"/>
      <c r="AO12" s="745"/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62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62</v>
      </c>
      <c r="N13" s="354">
        <f>M13*25</f>
        <v>1550</v>
      </c>
      <c r="O13" s="357">
        <f>SUM(X13:BB13)</f>
        <v>20375</v>
      </c>
      <c r="P13" s="350"/>
      <c r="Q13" s="350"/>
      <c r="R13" s="356">
        <f>O13/INTGRATE!$N$293</f>
        <v>1358.3333333333333</v>
      </c>
      <c r="S13" s="349">
        <f t="shared" si="0"/>
        <v>1.1411042944785277</v>
      </c>
      <c r="T13" s="472"/>
      <c r="U13" s="139"/>
      <c r="V13" s="489" t="str">
        <f t="shared" si="1"/>
        <v>521SPro25</v>
      </c>
      <c r="W13" s="499"/>
      <c r="X13" s="743"/>
      <c r="Y13" s="743">
        <v>0</v>
      </c>
      <c r="Z13" s="744">
        <v>0</v>
      </c>
      <c r="AA13" s="745">
        <v>0</v>
      </c>
      <c r="AB13" s="744">
        <v>0</v>
      </c>
      <c r="AC13" s="745">
        <v>3750</v>
      </c>
      <c r="AD13" s="744">
        <v>0</v>
      </c>
      <c r="AE13" s="745">
        <v>0</v>
      </c>
      <c r="AF13" s="744">
        <v>0</v>
      </c>
      <c r="AG13" s="745"/>
      <c r="AH13" s="744">
        <v>0</v>
      </c>
      <c r="AI13" s="745">
        <v>0</v>
      </c>
      <c r="AJ13" s="744">
        <v>16625</v>
      </c>
      <c r="AK13" s="745">
        <v>0</v>
      </c>
      <c r="AL13" s="744">
        <v>0</v>
      </c>
      <c r="AM13" s="745">
        <v>0</v>
      </c>
      <c r="AN13" s="744"/>
      <c r="AO13" s="745"/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/>
      <c r="Y14" s="743">
        <v>0</v>
      </c>
      <c r="Z14" s="744">
        <v>0</v>
      </c>
      <c r="AA14" s="745">
        <v>0</v>
      </c>
      <c r="AB14" s="744">
        <v>0</v>
      </c>
      <c r="AC14" s="745">
        <v>0</v>
      </c>
      <c r="AD14" s="744">
        <v>0</v>
      </c>
      <c r="AE14" s="745">
        <v>0</v>
      </c>
      <c r="AF14" s="744">
        <v>0</v>
      </c>
      <c r="AG14" s="745"/>
      <c r="AH14" s="744">
        <v>0</v>
      </c>
      <c r="AI14" s="745">
        <v>0</v>
      </c>
      <c r="AJ14" s="744">
        <v>0</v>
      </c>
      <c r="AK14" s="745">
        <v>0</v>
      </c>
      <c r="AL14" s="744">
        <v>0</v>
      </c>
      <c r="AM14" s="745">
        <v>0</v>
      </c>
      <c r="AN14" s="744"/>
      <c r="AO14" s="745"/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1305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42</v>
      </c>
      <c r="J15" s="348">
        <f>SUMIF(data!$D:$D,$B15&amp;$D15,data!$K:$K)</f>
        <v>1050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1263</v>
      </c>
      <c r="N15" s="354">
        <f>M15*D15</f>
        <v>31575</v>
      </c>
      <c r="O15" s="357">
        <f t="shared" ref="O15:O26" si="4">SUM(X15:BB15)</f>
        <v>79125</v>
      </c>
      <c r="P15" s="350"/>
      <c r="Q15" s="350"/>
      <c r="R15" s="356">
        <f>O15/INTGRATE!$N$293</f>
        <v>5275</v>
      </c>
      <c r="S15" s="349">
        <f t="shared" ref="S15:S26" si="5">IF(R15=0,0,N15/R15)</f>
        <v>5.9857819905213274</v>
      </c>
      <c r="T15" s="472"/>
      <c r="U15" s="139"/>
      <c r="V15" s="489" t="str">
        <f t="shared" si="1"/>
        <v>550Pro25</v>
      </c>
      <c r="W15" s="501">
        <v>312021</v>
      </c>
      <c r="X15" s="455"/>
      <c r="Y15" s="455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>
        <v>4625</v>
      </c>
      <c r="AK15" s="100">
        <v>3175</v>
      </c>
      <c r="AL15" s="100">
        <v>3300</v>
      </c>
      <c r="AM15" s="100">
        <v>1050</v>
      </c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79125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/>
      <c r="Y16" s="455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/>
      <c r="Y17" s="455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47710</v>
      </c>
      <c r="P18" s="350"/>
      <c r="Q18" s="350"/>
      <c r="R18" s="356">
        <f>O18/INTGRATE!$N$293</f>
        <v>3180.6666666666665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/>
      <c r="Y18" s="455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47710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980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20</v>
      </c>
      <c r="J19" s="348">
        <f>SUMIF(data!$D:$D,$B19&amp;$D19,data!$K:$K)</f>
        <v>500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960</v>
      </c>
      <c r="N19" s="354">
        <f>M19*D19</f>
        <v>24000</v>
      </c>
      <c r="O19" s="357">
        <f t="shared" si="4"/>
        <v>46175</v>
      </c>
      <c r="P19" s="350"/>
      <c r="Q19" s="350"/>
      <c r="R19" s="356">
        <f>O19/INTGRATE!$N$293</f>
        <v>3078.3333333333335</v>
      </c>
      <c r="S19" s="349">
        <f t="shared" si="5"/>
        <v>7.7964266377910123</v>
      </c>
      <c r="T19" s="471"/>
      <c r="U19" s="139"/>
      <c r="V19" s="489" t="str">
        <f t="shared" si="6"/>
        <v>551Pro25</v>
      </c>
      <c r="W19" s="501">
        <v>314021</v>
      </c>
      <c r="X19" s="455"/>
      <c r="Y19" s="455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>
        <v>10375</v>
      </c>
      <c r="AK19" s="100">
        <v>0</v>
      </c>
      <c r="AL19" s="100">
        <v>0</v>
      </c>
      <c r="AM19" s="100">
        <v>500</v>
      </c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46175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/>
      <c r="Y20" s="455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/>
      <c r="Y21" s="455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>
        <v>0</v>
      </c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/>
      <c r="Y22" s="455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>
        <v>0</v>
      </c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577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115</v>
      </c>
      <c r="J23" s="348">
        <f>SUMIF(data!$D:$D,$B23&amp;$D23,data!$K:$K)</f>
        <v>2875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462</v>
      </c>
      <c r="N23" s="354">
        <f>M23*D23</f>
        <v>11550</v>
      </c>
      <c r="O23" s="357">
        <f t="shared" si="4"/>
        <v>34325</v>
      </c>
      <c r="P23" s="350"/>
      <c r="Q23" s="350"/>
      <c r="R23" s="356">
        <f>O23/INTGRATE!$N$293</f>
        <v>2288.3333333333335</v>
      </c>
      <c r="S23" s="349">
        <f t="shared" si="5"/>
        <v>5.04734158776402</v>
      </c>
      <c r="T23" s="472"/>
      <c r="U23" s="139"/>
      <c r="V23" s="489" t="str">
        <f t="shared" si="6"/>
        <v>552Pro25</v>
      </c>
      <c r="W23" s="501">
        <v>321021</v>
      </c>
      <c r="X23" s="455"/>
      <c r="Y23" s="455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>
        <v>5900</v>
      </c>
      <c r="AK23" s="100">
        <v>0</v>
      </c>
      <c r="AL23" s="100">
        <v>1250</v>
      </c>
      <c r="AM23" s="100">
        <v>2875</v>
      </c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34325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94">
        <v>0</v>
      </c>
      <c r="AI24" s="100">
        <v>0</v>
      </c>
      <c r="AJ24" s="100">
        <v>0</v>
      </c>
      <c r="AK24" s="100">
        <v>0</v>
      </c>
      <c r="AL24" s="100">
        <v>0</v>
      </c>
      <c r="AM24" s="100">
        <v>0</v>
      </c>
      <c r="AN24" s="100"/>
      <c r="AO24" s="100"/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1204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255</v>
      </c>
      <c r="J25" s="348">
        <f>SUMIF(data!$D:$D,$B25&amp;$D25,data!$K:$K)</f>
        <v>6375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949</v>
      </c>
      <c r="N25" s="354">
        <f>M25*D25</f>
        <v>23725</v>
      </c>
      <c r="O25" s="357">
        <f t="shared" si="4"/>
        <v>68750</v>
      </c>
      <c r="P25" s="350"/>
      <c r="Q25" s="350"/>
      <c r="R25" s="356">
        <f>O25/INTGRATE!$N$293</f>
        <v>4583.333333333333</v>
      </c>
      <c r="S25" s="349">
        <f t="shared" si="5"/>
        <v>5.1763636363636367</v>
      </c>
      <c r="T25" s="606"/>
      <c r="U25" s="139"/>
      <c r="V25" s="489" t="str">
        <f t="shared" si="6"/>
        <v>552SPro25</v>
      </c>
      <c r="W25" s="501">
        <v>320021</v>
      </c>
      <c r="X25" s="455"/>
      <c r="Y25" s="455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>
        <v>5925</v>
      </c>
      <c r="AK25" s="100">
        <v>2500</v>
      </c>
      <c r="AL25" s="100">
        <v>2000</v>
      </c>
      <c r="AM25" s="100">
        <v>6375</v>
      </c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68750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0</v>
      </c>
      <c r="P26" s="350"/>
      <c r="Q26" s="350"/>
      <c r="R26" s="356">
        <f>O26/INTGRATE!$N$293</f>
        <v>0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/>
      <c r="Y26" s="455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94">
        <v>0</v>
      </c>
      <c r="AI26" s="100">
        <v>0</v>
      </c>
      <c r="AJ26" s="100">
        <v>0</v>
      </c>
      <c r="AK26" s="100">
        <v>0</v>
      </c>
      <c r="AL26" s="100">
        <v>0</v>
      </c>
      <c r="AM26" s="100">
        <v>0</v>
      </c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0</v>
      </c>
      <c r="BF26" s="505"/>
    </row>
    <row r="27" spans="1:58" s="63" customFormat="1" ht="15" customHeight="1">
      <c r="A27" s="1226" t="s">
        <v>1763</v>
      </c>
      <c r="B27" s="1227"/>
      <c r="C27" s="1227"/>
      <c r="D27" s="1228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9"/>
      <c r="U27" s="140"/>
      <c r="V27" s="487" t="str">
        <f t="shared" si="6"/>
        <v/>
      </c>
      <c r="W27" s="499"/>
      <c r="X27" s="638">
        <f>SUM(X12:X26)</f>
        <v>0</v>
      </c>
      <c r="Y27" s="638">
        <f t="shared" ref="Y27:BC27" si="7">SUM(Y12:Y26)</f>
        <v>41450</v>
      </c>
      <c r="Z27" s="638">
        <f t="shared" si="7"/>
        <v>50</v>
      </c>
      <c r="AA27" s="638">
        <f t="shared" si="7"/>
        <v>41030</v>
      </c>
      <c r="AB27" s="638">
        <f t="shared" si="7"/>
        <v>18250</v>
      </c>
      <c r="AC27" s="638">
        <f t="shared" si="7"/>
        <v>22825</v>
      </c>
      <c r="AD27" s="638">
        <f t="shared" si="7"/>
        <v>16750</v>
      </c>
      <c r="AE27" s="638">
        <f t="shared" si="7"/>
        <v>8025</v>
      </c>
      <c r="AF27" s="638">
        <f t="shared" si="7"/>
        <v>16750</v>
      </c>
      <c r="AG27" s="638">
        <f t="shared" si="7"/>
        <v>0</v>
      </c>
      <c r="AH27" s="638">
        <f t="shared" si="7"/>
        <v>39730</v>
      </c>
      <c r="AI27" s="638">
        <f t="shared" si="7"/>
        <v>25125</v>
      </c>
      <c r="AJ27" s="638">
        <f t="shared" si="7"/>
        <v>43450</v>
      </c>
      <c r="AK27" s="638">
        <f t="shared" si="7"/>
        <v>5675</v>
      </c>
      <c r="AL27" s="638">
        <f t="shared" si="7"/>
        <v>6550</v>
      </c>
      <c r="AM27" s="638">
        <f t="shared" si="7"/>
        <v>10800</v>
      </c>
      <c r="AN27" s="638">
        <f t="shared" si="7"/>
        <v>0</v>
      </c>
      <c r="AO27" s="638">
        <f t="shared" si="7"/>
        <v>0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276085</v>
      </c>
      <c r="BF27" s="506"/>
    </row>
    <row r="28" spans="1:58" s="63" customFormat="1" ht="15" customHeight="1">
      <c r="A28" s="1226" t="s">
        <v>1739</v>
      </c>
      <c r="B28" s="1227"/>
      <c r="C28" s="1227"/>
      <c r="D28" s="1228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0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6" t="s">
        <v>1764</v>
      </c>
      <c r="B29" s="1227"/>
      <c r="C29" s="1227"/>
      <c r="D29" s="1228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0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6" t="s">
        <v>1740</v>
      </c>
      <c r="B30" s="1227"/>
      <c r="C30" s="1227"/>
      <c r="D30" s="1228"/>
      <c r="E30" s="64">
        <f>SUM(E12:E26)</f>
        <v>4128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432</v>
      </c>
      <c r="J30" s="64">
        <f t="shared" si="9"/>
        <v>10800</v>
      </c>
      <c r="K30" s="64">
        <f t="shared" si="9"/>
        <v>0</v>
      </c>
      <c r="L30" s="64">
        <f t="shared" si="9"/>
        <v>0</v>
      </c>
      <c r="M30" s="64">
        <f t="shared" si="9"/>
        <v>3696</v>
      </c>
      <c r="N30" s="64">
        <f t="shared" si="9"/>
        <v>92400</v>
      </c>
      <c r="O30" s="64">
        <f t="shared" si="9"/>
        <v>296460</v>
      </c>
      <c r="P30" s="64">
        <f t="shared" si="9"/>
        <v>0</v>
      </c>
      <c r="Q30" s="64">
        <f t="shared" si="9"/>
        <v>0</v>
      </c>
      <c r="R30" s="64">
        <f t="shared" si="9"/>
        <v>19764</v>
      </c>
      <c r="S30" s="64">
        <f>SUM(S15:S26)</f>
        <v>24.005913852439996</v>
      </c>
      <c r="T30" s="1230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6" t="s">
        <v>1765</v>
      </c>
      <c r="B31" s="1227"/>
      <c r="C31" s="1227"/>
      <c r="D31" s="1228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0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0" t="s">
        <v>1766</v>
      </c>
      <c r="B32" s="991"/>
      <c r="C32" s="991"/>
      <c r="D32" s="992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0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3" t="s">
        <v>1742</v>
      </c>
      <c r="B33" s="1234"/>
      <c r="C33" s="1234"/>
      <c r="D33" s="1235"/>
      <c r="E33" s="130">
        <f>SUM(E27:E31)</f>
        <v>4128</v>
      </c>
      <c r="F33" s="130">
        <f>SUM(F27:F31)-F32</f>
        <v>0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432</v>
      </c>
      <c r="J33" s="130">
        <f t="shared" si="12"/>
        <v>10800</v>
      </c>
      <c r="K33" s="130">
        <f t="shared" si="12"/>
        <v>0</v>
      </c>
      <c r="L33" s="130">
        <f t="shared" si="12"/>
        <v>0</v>
      </c>
      <c r="M33" s="130">
        <f t="shared" si="12"/>
        <v>3696</v>
      </c>
      <c r="N33" s="130">
        <f>+SUM(N28:N31)</f>
        <v>92400</v>
      </c>
      <c r="O33" s="1236">
        <f>SUM(O15:O26)</f>
        <v>276085</v>
      </c>
      <c r="P33" s="197"/>
      <c r="Q33" s="197"/>
      <c r="R33" s="1219">
        <f>SUM(R15:R26)</f>
        <v>18405.666666666668</v>
      </c>
      <c r="S33" s="1221" t="s">
        <v>42</v>
      </c>
      <c r="T33" s="1230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3" t="s">
        <v>1743</v>
      </c>
      <c r="B34" s="1224"/>
      <c r="C34" s="1224"/>
      <c r="D34" s="1225"/>
      <c r="E34" s="121">
        <f>E28*10+E29*25+E30*25+E31*40+E32</f>
        <v>103200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10800</v>
      </c>
      <c r="J34" s="121">
        <f>+J33</f>
        <v>10800</v>
      </c>
      <c r="K34" s="121">
        <f t="shared" si="13"/>
        <v>0</v>
      </c>
      <c r="L34" s="121">
        <f t="shared" si="13"/>
        <v>0</v>
      </c>
      <c r="M34" s="121">
        <f t="shared" si="13"/>
        <v>92400</v>
      </c>
      <c r="N34" s="121">
        <f>+N33</f>
        <v>92400</v>
      </c>
      <c r="O34" s="1237"/>
      <c r="P34" s="198"/>
      <c r="Q34" s="198"/>
      <c r="R34" s="1220"/>
      <c r="S34" s="1222"/>
      <c r="T34" s="123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3" t="s">
        <v>1700</v>
      </c>
      <c r="B38" s="1034" t="s">
        <v>1676</v>
      </c>
      <c r="C38" s="1034" t="s">
        <v>1677</v>
      </c>
      <c r="D38" s="1046" t="s">
        <v>1769</v>
      </c>
      <c r="E38" s="61" t="s">
        <v>0</v>
      </c>
      <c r="F38" s="1049" t="s">
        <v>1680</v>
      </c>
      <c r="G38" s="1054"/>
      <c r="H38" s="1050"/>
      <c r="I38" s="1049" t="s">
        <v>1681</v>
      </c>
      <c r="J38" s="1054"/>
      <c r="K38" s="1054"/>
      <c r="L38" s="1054"/>
      <c r="M38" s="1049" t="s">
        <v>1687</v>
      </c>
      <c r="N38" s="1050"/>
      <c r="O38" s="194" t="s">
        <v>1727</v>
      </c>
      <c r="P38" s="194"/>
      <c r="Q38" s="194"/>
      <c r="R38" s="194" t="s">
        <v>1728</v>
      </c>
      <c r="S38" s="1046" t="s">
        <v>1689</v>
      </c>
      <c r="T38" s="1173" t="s">
        <v>1692</v>
      </c>
      <c r="U38" s="999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4"/>
      <c r="B39" s="1035"/>
      <c r="C39" s="1035"/>
      <c r="D39" s="1047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49" t="s">
        <v>1684</v>
      </c>
      <c r="J39" s="1054"/>
      <c r="K39" s="585" t="s">
        <v>1688</v>
      </c>
      <c r="L39" s="784" t="s">
        <v>1686</v>
      </c>
      <c r="M39" s="1049" t="s">
        <v>1732</v>
      </c>
      <c r="N39" s="1050"/>
      <c r="O39" s="787" t="s">
        <v>1730</v>
      </c>
      <c r="P39" s="195"/>
      <c r="Q39" s="195"/>
      <c r="R39" s="787" t="s">
        <v>1731</v>
      </c>
      <c r="S39" s="1047"/>
      <c r="T39" s="1174"/>
      <c r="U39" s="1000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5"/>
      <c r="B40" s="1036"/>
      <c r="C40" s="1036"/>
      <c r="D40" s="1048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48"/>
      <c r="T40" s="1175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/>
      <c r="Y41" s="68">
        <v>0</v>
      </c>
      <c r="Z41" s="459">
        <v>0</v>
      </c>
      <c r="AA41" s="100">
        <v>0</v>
      </c>
      <c r="AB41" s="100">
        <v>0</v>
      </c>
      <c r="AC41" s="100">
        <v>0</v>
      </c>
      <c r="AD41" s="348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/>
      <c r="AO41" s="100"/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/>
      <c r="Y42" s="68">
        <v>0</v>
      </c>
      <c r="Z42" s="459">
        <v>0</v>
      </c>
      <c r="AA42" s="100">
        <v>0</v>
      </c>
      <c r="AB42" s="100">
        <v>0</v>
      </c>
      <c r="AC42" s="100">
        <v>0</v>
      </c>
      <c r="AD42" s="348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>
        <v>0</v>
      </c>
      <c r="AK42" s="100">
        <v>0</v>
      </c>
      <c r="AL42" s="100">
        <v>0</v>
      </c>
      <c r="AM42" s="100">
        <v>0</v>
      </c>
      <c r="AN42" s="100"/>
      <c r="AO42" s="100"/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/>
      <c r="Y43" s="68">
        <v>0</v>
      </c>
      <c r="Z43" s="459">
        <v>0</v>
      </c>
      <c r="AA43" s="100">
        <v>0</v>
      </c>
      <c r="AB43" s="100">
        <v>0</v>
      </c>
      <c r="AC43" s="100">
        <v>0</v>
      </c>
      <c r="AD43" s="348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>
        <v>0</v>
      </c>
      <c r="AN43" s="100"/>
      <c r="AO43" s="100"/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271</v>
      </c>
      <c r="F44" s="100">
        <f>SUMIF(pro!$A:$A,$V:$V,pro!$N:$N)</f>
        <v>0</v>
      </c>
      <c r="G44" s="348"/>
      <c r="H44" s="356"/>
      <c r="I44" s="419">
        <f>SUMIF(data!$D:$D,$B44&amp;$D44,data!$J:$J)</f>
        <v>150</v>
      </c>
      <c r="J44" s="348">
        <f>SUMIF(data!$D:$D,$B44&amp;$D44,data!$K:$K)</f>
        <v>3750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121</v>
      </c>
      <c r="N44" s="348">
        <f t="shared" ref="N44:N57" si="17">M44*D44</f>
        <v>3025</v>
      </c>
      <c r="O44" s="351">
        <f t="shared" ref="O44:O57" si="18">SUM(X44:BB44)</f>
        <v>26900</v>
      </c>
      <c r="P44" s="349"/>
      <c r="Q44" s="349"/>
      <c r="R44" s="350">
        <f>O44/INTGRATE!$N$293</f>
        <v>1793.3333333333333</v>
      </c>
      <c r="S44" s="349">
        <f t="shared" ref="S44:S57" si="19">IF(R44=0,0,N44/R44)</f>
        <v>1.6868029739776953</v>
      </c>
      <c r="T44" s="677"/>
      <c r="U44" s="139"/>
      <c r="V44" s="489" t="str">
        <f t="shared" si="14"/>
        <v>692425</v>
      </c>
      <c r="W44" s="501">
        <v>127801</v>
      </c>
      <c r="X44" s="68"/>
      <c r="Y44" s="68">
        <v>1625</v>
      </c>
      <c r="Z44" s="459">
        <v>0</v>
      </c>
      <c r="AA44" s="100">
        <v>2100</v>
      </c>
      <c r="AB44" s="100">
        <v>0</v>
      </c>
      <c r="AC44" s="100">
        <v>3475</v>
      </c>
      <c r="AD44" s="348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>
        <v>375</v>
      </c>
      <c r="AK44" s="100">
        <v>0</v>
      </c>
      <c r="AL44" s="100">
        <v>3750</v>
      </c>
      <c r="AM44" s="100">
        <v>3750</v>
      </c>
      <c r="AN44" s="100"/>
      <c r="AO44" s="100"/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26900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/>
      <c r="Y45" s="68">
        <v>0</v>
      </c>
      <c r="Z45" s="459">
        <v>0</v>
      </c>
      <c r="AA45" s="100">
        <v>0</v>
      </c>
      <c r="AB45" s="100">
        <v>0</v>
      </c>
      <c r="AC45" s="100">
        <v>0</v>
      </c>
      <c r="AD45" s="348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>
        <v>0</v>
      </c>
      <c r="AK45" s="100">
        <v>0</v>
      </c>
      <c r="AL45" s="100">
        <v>0</v>
      </c>
      <c r="AM45" s="100">
        <v>0</v>
      </c>
      <c r="AN45" s="100"/>
      <c r="AO45" s="100"/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/>
      <c r="Y46" s="68">
        <v>0</v>
      </c>
      <c r="Z46" s="459">
        <v>0</v>
      </c>
      <c r="AA46" s="100">
        <v>0</v>
      </c>
      <c r="AB46" s="100">
        <v>0</v>
      </c>
      <c r="AC46" s="100">
        <v>0</v>
      </c>
      <c r="AD46" s="348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>
        <v>0</v>
      </c>
      <c r="AN46" s="100"/>
      <c r="AO46" s="100"/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392</v>
      </c>
      <c r="F47" s="100">
        <f>SUMIF(pro!$A:$A,$V:$V,pro!$N:$N)</f>
        <v>0</v>
      </c>
      <c r="G47" s="348"/>
      <c r="H47" s="356"/>
      <c r="I47" s="419">
        <f>SUMIF(data!$D:$D,$B47&amp;$D47,data!$J:$J)</f>
        <v>5</v>
      </c>
      <c r="J47" s="348">
        <f>SUMIF(data!$D:$D,$B47&amp;$D47,data!$K:$K)</f>
        <v>125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387</v>
      </c>
      <c r="N47" s="348">
        <f t="shared" si="17"/>
        <v>9675</v>
      </c>
      <c r="O47" s="351">
        <f t="shared" si="18"/>
        <v>20050</v>
      </c>
      <c r="P47" s="349"/>
      <c r="Q47" s="349"/>
      <c r="R47" s="350">
        <f>O47/INTGRATE!$N$293</f>
        <v>1336.6666666666667</v>
      </c>
      <c r="S47" s="349">
        <f t="shared" si="19"/>
        <v>7.2381546134663335</v>
      </c>
      <c r="T47" s="677"/>
      <c r="U47" s="139"/>
      <c r="V47" s="489" t="str">
        <f t="shared" si="14"/>
        <v>694925</v>
      </c>
      <c r="W47" s="501">
        <v>203701</v>
      </c>
      <c r="X47" s="68"/>
      <c r="Y47" s="68">
        <v>1250</v>
      </c>
      <c r="Z47" s="459">
        <v>0</v>
      </c>
      <c r="AA47" s="100">
        <v>2925</v>
      </c>
      <c r="AB47" s="100">
        <v>7125</v>
      </c>
      <c r="AC47" s="100">
        <v>0</v>
      </c>
      <c r="AD47" s="379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>
        <v>2000</v>
      </c>
      <c r="AK47" s="100">
        <v>0</v>
      </c>
      <c r="AL47" s="100">
        <v>0</v>
      </c>
      <c r="AM47" s="100">
        <v>125</v>
      </c>
      <c r="AN47" s="100"/>
      <c r="AO47" s="100"/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20050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505</v>
      </c>
      <c r="F48" s="100">
        <f>SUMIF(pro!$A:$A,$V:$V,pro!$N:$N)</f>
        <v>0</v>
      </c>
      <c r="G48" s="348"/>
      <c r="H48" s="356"/>
      <c r="I48" s="419">
        <f>SUMIF(data!$D:$D,$B48&amp;$D48,data!$J:$J)</f>
        <v>154</v>
      </c>
      <c r="J48" s="348">
        <f>SUMIF(data!$D:$D,$B48&amp;$D48,data!$K:$K)</f>
        <v>3850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351</v>
      </c>
      <c r="N48" s="348">
        <f t="shared" ref="N48:N50" si="21">M48*D48</f>
        <v>8775</v>
      </c>
      <c r="O48" s="351">
        <f t="shared" ref="O48:O50" si="22">SUM(X48:BB48)</f>
        <v>43375</v>
      </c>
      <c r="P48" s="349"/>
      <c r="Q48" s="349"/>
      <c r="R48" s="350">
        <f>O48/INTGRATE!$N$293</f>
        <v>2891.6666666666665</v>
      </c>
      <c r="S48" s="349">
        <f t="shared" ref="S48:S50" si="23">IF(R48=0,0,N48/R48)</f>
        <v>3.0345821325648417</v>
      </c>
      <c r="T48" s="470"/>
      <c r="U48" s="139"/>
      <c r="V48" s="489" t="str">
        <f t="shared" si="14"/>
        <v>695125</v>
      </c>
      <c r="W48" s="501">
        <v>314001</v>
      </c>
      <c r="X48" s="68"/>
      <c r="Y48" s="68">
        <v>250</v>
      </c>
      <c r="Z48" s="459">
        <v>1025</v>
      </c>
      <c r="AA48" s="100">
        <v>1500</v>
      </c>
      <c r="AB48" s="100">
        <v>1175</v>
      </c>
      <c r="AC48" s="100">
        <v>3350</v>
      </c>
      <c r="AD48" s="379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>
        <v>2375</v>
      </c>
      <c r="AK48" s="100">
        <v>3250</v>
      </c>
      <c r="AL48" s="100">
        <v>2375</v>
      </c>
      <c r="AM48" s="100">
        <v>3850</v>
      </c>
      <c r="AN48" s="100"/>
      <c r="AO48" s="100"/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43375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2616</v>
      </c>
      <c r="C49" s="879" t="s">
        <v>1314</v>
      </c>
      <c r="D49" s="188">
        <v>25</v>
      </c>
      <c r="E49" s="347">
        <v>44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44</v>
      </c>
      <c r="N49" s="348">
        <f t="shared" ref="N49" si="25">M49*D49</f>
        <v>1100</v>
      </c>
      <c r="O49" s="351">
        <f t="shared" ref="O49" si="26">SUM(X49:BB49)</f>
        <v>14525</v>
      </c>
      <c r="P49" s="349"/>
      <c r="Q49" s="349"/>
      <c r="R49" s="350">
        <f>O49/INTGRATE!$N$293</f>
        <v>968.33333333333337</v>
      </c>
      <c r="S49" s="349">
        <f t="shared" ref="S49" si="27">IF(R49=0,0,N49/R49)</f>
        <v>1.1359724612736661</v>
      </c>
      <c r="T49" s="677"/>
      <c r="U49" s="139"/>
      <c r="V49" s="489" t="str">
        <f t="shared" si="14"/>
        <v>6951X25</v>
      </c>
      <c r="W49" s="501"/>
      <c r="X49" s="68"/>
      <c r="Y49" s="68">
        <v>0</v>
      </c>
      <c r="Z49" s="459">
        <v>0</v>
      </c>
      <c r="AA49" s="100">
        <v>0</v>
      </c>
      <c r="AB49" s="100">
        <v>0</v>
      </c>
      <c r="AC49" s="100">
        <v>0</v>
      </c>
      <c r="AD49" s="379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>
        <v>0</v>
      </c>
      <c r="AK49" s="100">
        <v>0</v>
      </c>
      <c r="AL49" s="100">
        <v>0</v>
      </c>
      <c r="AM49" s="100">
        <v>0</v>
      </c>
      <c r="AN49" s="100"/>
      <c r="AO49" s="100"/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205</v>
      </c>
      <c r="F50" s="100">
        <f>SUMIF(pro!$A:$A,$V:$V,pro!$N:$N)</f>
        <v>0</v>
      </c>
      <c r="G50" s="348"/>
      <c r="H50" s="356"/>
      <c r="I50" s="419">
        <f>SUMIF(data!$D:$D,$B50&amp;$D50,data!$J:$J)</f>
        <v>204</v>
      </c>
      <c r="J50" s="348">
        <f>SUMIF(data!$D:$D,$B50&amp;$D50,data!$K:$K)</f>
        <v>5100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1</v>
      </c>
      <c r="N50" s="348">
        <f t="shared" si="21"/>
        <v>25</v>
      </c>
      <c r="O50" s="351">
        <f t="shared" si="22"/>
        <v>26100</v>
      </c>
      <c r="P50" s="349"/>
      <c r="Q50" s="349"/>
      <c r="R50" s="350">
        <f>O50/INTGRATE!$N$293</f>
        <v>1740</v>
      </c>
      <c r="S50" s="349">
        <f t="shared" si="23"/>
        <v>1.4367816091954023E-2</v>
      </c>
      <c r="T50" s="478"/>
      <c r="U50" s="139"/>
      <c r="V50" s="489" t="str">
        <f t="shared" si="14"/>
        <v>695225</v>
      </c>
      <c r="W50" s="501">
        <v>321001</v>
      </c>
      <c r="X50" s="68"/>
      <c r="Y50" s="68">
        <v>1750</v>
      </c>
      <c r="Z50" s="459">
        <v>875</v>
      </c>
      <c r="AA50" s="100">
        <v>2250</v>
      </c>
      <c r="AB50" s="100">
        <v>875</v>
      </c>
      <c r="AC50" s="100">
        <v>4000</v>
      </c>
      <c r="AD50" s="379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>
        <v>1500</v>
      </c>
      <c r="AK50" s="100">
        <v>250</v>
      </c>
      <c r="AL50" s="100">
        <v>0</v>
      </c>
      <c r="AM50" s="100">
        <v>5100</v>
      </c>
      <c r="AN50" s="100"/>
      <c r="AO50" s="100"/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26100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405</v>
      </c>
      <c r="F51" s="100">
        <f>SUMIF(pro!$A:$A,$V:$V,pro!$N:$N)</f>
        <v>0</v>
      </c>
      <c r="G51" s="348"/>
      <c r="H51" s="356"/>
      <c r="I51" s="419">
        <f>SUMIF(data!$D:$D,$B51&amp;$D51,data!$J:$J)</f>
        <v>28</v>
      </c>
      <c r="J51" s="348">
        <f>SUMIF(data!$D:$D,$B51&amp;$D51,data!$K:$K)</f>
        <v>700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377</v>
      </c>
      <c r="N51" s="348">
        <f t="shared" si="17"/>
        <v>9425</v>
      </c>
      <c r="O51" s="351">
        <f t="shared" si="18"/>
        <v>25075</v>
      </c>
      <c r="P51" s="349"/>
      <c r="Q51" s="349"/>
      <c r="R51" s="350">
        <f>O51/INTGRATE!$N$293</f>
        <v>1671.6666666666667</v>
      </c>
      <c r="S51" s="349">
        <f t="shared" si="19"/>
        <v>5.6380857427716844</v>
      </c>
      <c r="T51" s="705"/>
      <c r="U51" s="139"/>
      <c r="V51" s="489" t="str">
        <f t="shared" si="14"/>
        <v>695325</v>
      </c>
      <c r="W51" s="501">
        <v>332301</v>
      </c>
      <c r="X51" s="68"/>
      <c r="Y51" s="68">
        <v>1000</v>
      </c>
      <c r="Z51" s="459">
        <v>500</v>
      </c>
      <c r="AA51" s="100">
        <v>375</v>
      </c>
      <c r="AB51" s="100">
        <v>200</v>
      </c>
      <c r="AC51" s="100">
        <v>1000</v>
      </c>
      <c r="AD51" s="379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>
        <v>8825</v>
      </c>
      <c r="AK51" s="100">
        <v>0</v>
      </c>
      <c r="AL51" s="100">
        <v>3750</v>
      </c>
      <c r="AM51" s="100">
        <v>700</v>
      </c>
      <c r="AN51" s="100"/>
      <c r="AO51" s="100"/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25075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/>
      <c r="Y52" s="68">
        <v>0</v>
      </c>
      <c r="Z52" s="459">
        <v>0</v>
      </c>
      <c r="AA52" s="100">
        <v>0</v>
      </c>
      <c r="AB52" s="100">
        <v>0</v>
      </c>
      <c r="AC52" s="100">
        <v>0</v>
      </c>
      <c r="AD52" s="348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/>
      <c r="AO52" s="100"/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925</v>
      </c>
      <c r="F53" s="100">
        <f>SUMIF(pro!$A:$A,$V:$V,pro!$N:$N)</f>
        <v>0</v>
      </c>
      <c r="G53" s="348"/>
      <c r="H53" s="356"/>
      <c r="I53" s="419">
        <f>SUMIF(data!$D:$D,$B53&amp;$D53,data!$J:$J)</f>
        <v>435</v>
      </c>
      <c r="J53" s="348">
        <f>SUMIF(data!$D:$D,$B53&amp;$D53,data!$K:$K)</f>
        <v>10875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490</v>
      </c>
      <c r="N53" s="348">
        <f t="shared" si="17"/>
        <v>12250</v>
      </c>
      <c r="O53" s="351">
        <f t="shared" si="18"/>
        <v>30800</v>
      </c>
      <c r="P53" s="349"/>
      <c r="Q53" s="349"/>
      <c r="R53" s="350">
        <f>O53/INTGRATE!$N$293</f>
        <v>2053.3333333333335</v>
      </c>
      <c r="S53" s="349">
        <f t="shared" si="19"/>
        <v>5.9659090909090908</v>
      </c>
      <c r="T53" s="713"/>
      <c r="U53" s="699"/>
      <c r="V53" s="489" t="str">
        <f t="shared" si="14"/>
        <v>689525</v>
      </c>
      <c r="W53" s="501">
        <v>423700</v>
      </c>
      <c r="X53" s="68"/>
      <c r="Y53" s="68">
        <v>675</v>
      </c>
      <c r="Z53" s="459">
        <v>500</v>
      </c>
      <c r="AA53" s="100">
        <v>6750</v>
      </c>
      <c r="AB53" s="100">
        <v>0</v>
      </c>
      <c r="AC53" s="100">
        <v>250</v>
      </c>
      <c r="AD53" s="348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>
        <v>0</v>
      </c>
      <c r="AK53" s="100">
        <v>1000</v>
      </c>
      <c r="AL53" s="100">
        <v>6250</v>
      </c>
      <c r="AM53" s="100">
        <v>10875</v>
      </c>
      <c r="AN53" s="100"/>
      <c r="AO53" s="100"/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30800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280</v>
      </c>
      <c r="F54" s="100">
        <f>SUMIF(pro!$A:$A,$V:$V,pro!$N:$N)</f>
        <v>0</v>
      </c>
      <c r="G54" s="348"/>
      <c r="H54" s="356"/>
      <c r="I54" s="419">
        <f>SUMIF(data!$D:$D,$B54&amp;$D54,data!$J:$J)</f>
        <v>0</v>
      </c>
      <c r="J54" s="348">
        <f>SUMIF(data!$D:$D,$B54&amp;$D54,data!$K:$K)</f>
        <v>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280</v>
      </c>
      <c r="N54" s="348">
        <f>M54*D54</f>
        <v>7000</v>
      </c>
      <c r="O54" s="351">
        <f>SUM(X54:BB54)</f>
        <v>6375</v>
      </c>
      <c r="P54" s="349"/>
      <c r="Q54" s="349"/>
      <c r="R54" s="350">
        <f>O54/INTGRATE!$N$293</f>
        <v>425</v>
      </c>
      <c r="S54" s="349">
        <f>IF(R54=0,0,N54/R54)</f>
        <v>16.470588235294116</v>
      </c>
      <c r="T54" s="713"/>
      <c r="U54" s="699"/>
      <c r="V54" s="489" t="str">
        <f t="shared" si="14"/>
        <v>688425</v>
      </c>
      <c r="W54" s="501">
        <v>433700</v>
      </c>
      <c r="X54" s="68"/>
      <c r="Y54" s="68">
        <v>0</v>
      </c>
      <c r="Z54" s="459">
        <v>0</v>
      </c>
      <c r="AA54" s="100">
        <v>0</v>
      </c>
      <c r="AB54" s="100">
        <v>0</v>
      </c>
      <c r="AC54" s="100">
        <v>250</v>
      </c>
      <c r="AD54" s="348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>
        <v>0</v>
      </c>
      <c r="AK54" s="100">
        <v>0</v>
      </c>
      <c r="AL54" s="100">
        <v>5000</v>
      </c>
      <c r="AM54" s="100">
        <v>0</v>
      </c>
      <c r="AN54" s="100"/>
      <c r="AO54" s="100"/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6375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/>
      <c r="Y55" s="68">
        <v>0</v>
      </c>
      <c r="Z55" s="459">
        <v>0</v>
      </c>
      <c r="AA55" s="100">
        <v>0</v>
      </c>
      <c r="AB55" s="100">
        <v>0</v>
      </c>
      <c r="AC55" s="100">
        <v>0</v>
      </c>
      <c r="AD55" s="348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/>
      <c r="AO55" s="100"/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47</v>
      </c>
      <c r="F56" s="100">
        <f>SUMIF(pro!$A:$A,$V:$V,pro!$N:$N)</f>
        <v>0</v>
      </c>
      <c r="G56" s="348"/>
      <c r="H56" s="356"/>
      <c r="I56" s="419">
        <f>SUMIF(data!$D:$D,$B56&amp;$D56,data!$J:$J)</f>
        <v>46</v>
      </c>
      <c r="J56" s="348">
        <f>SUMIF(data!$D:$D,$B56&amp;$D56,data!$K:$K)</f>
        <v>1150</v>
      </c>
      <c r="K56" s="356">
        <f>SUMIF(AJOUT!$A:$A,'PRO-NASA'!$V:$V,AJOUT!$L:$L)</f>
        <v>0</v>
      </c>
      <c r="L56" s="356">
        <v>0</v>
      </c>
      <c r="M56" s="550">
        <f t="shared" si="16"/>
        <v>1</v>
      </c>
      <c r="N56" s="348">
        <f t="shared" si="17"/>
        <v>25</v>
      </c>
      <c r="O56" s="351">
        <f t="shared" si="18"/>
        <v>25900</v>
      </c>
      <c r="P56" s="349"/>
      <c r="Q56" s="349"/>
      <c r="R56" s="350">
        <f>O56/INTGRATE!$N$293</f>
        <v>1726.6666666666667</v>
      </c>
      <c r="S56" s="349">
        <f t="shared" si="19"/>
        <v>1.4478764478764478E-2</v>
      </c>
      <c r="T56" s="713"/>
      <c r="U56" s="699"/>
      <c r="V56" s="489" t="str">
        <f t="shared" si="14"/>
        <v>699525</v>
      </c>
      <c r="W56" s="501">
        <v>423701</v>
      </c>
      <c r="X56" s="68"/>
      <c r="Y56" s="68">
        <v>1250</v>
      </c>
      <c r="Z56" s="459">
        <v>125</v>
      </c>
      <c r="AA56" s="100">
        <v>500</v>
      </c>
      <c r="AB56" s="100">
        <v>1750</v>
      </c>
      <c r="AC56" s="100">
        <v>1750</v>
      </c>
      <c r="AD56" s="348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>
        <v>1600</v>
      </c>
      <c r="AK56" s="100">
        <v>0</v>
      </c>
      <c r="AL56" s="100">
        <v>5750</v>
      </c>
      <c r="AM56" s="100">
        <v>1150</v>
      </c>
      <c r="AN56" s="100"/>
      <c r="AO56" s="100"/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25900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241</v>
      </c>
      <c r="F57" s="100">
        <f>SUMIF(pro!$A:$A,$V:$V,pro!$N:$N)</f>
        <v>0</v>
      </c>
      <c r="G57" s="348"/>
      <c r="H57" s="356"/>
      <c r="I57" s="419">
        <f>SUMIF(data!$D:$D,$B57&amp;$D57,data!$J:$J)</f>
        <v>40</v>
      </c>
      <c r="J57" s="348">
        <f>SUMIF(data!$D:$D,$B57&amp;$D57,data!$K:$K)</f>
        <v>1000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201</v>
      </c>
      <c r="N57" s="348">
        <f t="shared" si="17"/>
        <v>5025</v>
      </c>
      <c r="O57" s="351">
        <f t="shared" si="18"/>
        <v>6500</v>
      </c>
      <c r="P57" s="349"/>
      <c r="Q57" s="349"/>
      <c r="R57" s="350">
        <f>O57/INTGRATE!$N$293</f>
        <v>433.33333333333331</v>
      </c>
      <c r="S57" s="349">
        <f t="shared" si="19"/>
        <v>11.596153846153847</v>
      </c>
      <c r="T57" s="677"/>
      <c r="U57" s="699"/>
      <c r="V57" s="489" t="str">
        <f t="shared" si="14"/>
        <v>699125</v>
      </c>
      <c r="W57" s="501">
        <v>513021</v>
      </c>
      <c r="X57" s="765"/>
      <c r="Y57" s="765">
        <v>1375</v>
      </c>
      <c r="Z57" s="766">
        <v>500</v>
      </c>
      <c r="AA57" s="161">
        <v>250</v>
      </c>
      <c r="AB57" s="161">
        <v>0</v>
      </c>
      <c r="AC57" s="161">
        <v>625</v>
      </c>
      <c r="AD57" s="379">
        <v>0</v>
      </c>
      <c r="AE57" s="161">
        <v>500</v>
      </c>
      <c r="AF57" s="161">
        <v>125</v>
      </c>
      <c r="AG57" s="161"/>
      <c r="AH57" s="161">
        <v>250</v>
      </c>
      <c r="AI57" s="161">
        <v>875</v>
      </c>
      <c r="AJ57" s="161">
        <v>1000</v>
      </c>
      <c r="AK57" s="161">
        <v>0</v>
      </c>
      <c r="AL57" s="161">
        <v>0</v>
      </c>
      <c r="AM57" s="161">
        <v>1000</v>
      </c>
      <c r="AN57" s="161"/>
      <c r="AO57" s="161"/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6500</v>
      </c>
    </row>
    <row r="58" spans="1:149" s="59" customFormat="1" ht="15" customHeight="1">
      <c r="A58" s="1238" t="s">
        <v>1764</v>
      </c>
      <c r="B58" s="1239"/>
      <c r="C58" s="1239"/>
      <c r="D58" s="124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0</v>
      </c>
      <c r="Y58" s="769">
        <f t="shared" si="28"/>
        <v>9175</v>
      </c>
      <c r="Z58" s="769">
        <f t="shared" si="28"/>
        <v>3525</v>
      </c>
      <c r="AA58" s="769">
        <f t="shared" si="28"/>
        <v>16650</v>
      </c>
      <c r="AB58" s="769">
        <f t="shared" si="28"/>
        <v>11125</v>
      </c>
      <c r="AC58" s="769">
        <f t="shared" si="28"/>
        <v>14700</v>
      </c>
      <c r="AD58" s="769">
        <f t="shared" si="28"/>
        <v>14225</v>
      </c>
      <c r="AE58" s="769">
        <f t="shared" si="28"/>
        <v>3000</v>
      </c>
      <c r="AF58" s="769">
        <f t="shared" si="28"/>
        <v>12950</v>
      </c>
      <c r="AG58" s="769">
        <f t="shared" si="28"/>
        <v>0</v>
      </c>
      <c r="AH58" s="769">
        <f t="shared" si="28"/>
        <v>28650</v>
      </c>
      <c r="AI58" s="769">
        <f t="shared" si="28"/>
        <v>36000</v>
      </c>
      <c r="AJ58" s="769">
        <f t="shared" si="28"/>
        <v>17675</v>
      </c>
      <c r="AK58" s="769">
        <f t="shared" si="28"/>
        <v>4500</v>
      </c>
      <c r="AL58" s="769">
        <f t="shared" si="28"/>
        <v>26875</v>
      </c>
      <c r="AM58" s="769">
        <f t="shared" si="28"/>
        <v>26550</v>
      </c>
      <c r="AN58" s="769">
        <f>SUM(AN41:AN57)</f>
        <v>0</v>
      </c>
      <c r="AO58" s="769">
        <f t="shared" si="28"/>
        <v>0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211075</v>
      </c>
      <c r="BF58" s="508"/>
    </row>
    <row r="59" spans="1:149" s="59" customFormat="1" ht="15" customHeight="1">
      <c r="A59" s="1238" t="s">
        <v>1740</v>
      </c>
      <c r="B59" s="1239"/>
      <c r="C59" s="1239"/>
      <c r="D59" s="1240"/>
      <c r="E59" s="113">
        <f t="shared" ref="E59:S59" si="29">SUM(E41:E57)</f>
        <v>3315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1062</v>
      </c>
      <c r="J59" s="113">
        <f t="shared" si="29"/>
        <v>26550</v>
      </c>
      <c r="K59" s="113">
        <f t="shared" si="29"/>
        <v>0</v>
      </c>
      <c r="L59" s="113">
        <f t="shared" si="29"/>
        <v>0</v>
      </c>
      <c r="M59" s="113">
        <f t="shared" si="29"/>
        <v>2253</v>
      </c>
      <c r="N59" s="113">
        <f t="shared" si="29"/>
        <v>56325</v>
      </c>
      <c r="O59" s="113">
        <f t="shared" si="29"/>
        <v>225600</v>
      </c>
      <c r="P59" s="113">
        <f t="shared" si="29"/>
        <v>0</v>
      </c>
      <c r="Q59" s="113">
        <f t="shared" si="29"/>
        <v>0</v>
      </c>
      <c r="R59" s="113">
        <f t="shared" si="29"/>
        <v>15040</v>
      </c>
      <c r="S59" s="113">
        <f t="shared" si="29"/>
        <v>52.795095676981994</v>
      </c>
      <c r="T59" s="1229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38" t="s">
        <v>1765</v>
      </c>
      <c r="B60" s="1239"/>
      <c r="C60" s="1239"/>
      <c r="D60" s="124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0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0" t="s">
        <v>1766</v>
      </c>
      <c r="B61" s="991"/>
      <c r="C61" s="991"/>
      <c r="D61" s="992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0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3" t="s">
        <v>1742</v>
      </c>
      <c r="B62" s="1244"/>
      <c r="C62" s="1244"/>
      <c r="D62" s="1245"/>
      <c r="E62" s="73">
        <f>SUM(E58:E60)</f>
        <v>3315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1062</v>
      </c>
      <c r="J62" s="73">
        <f t="shared" si="30"/>
        <v>26550</v>
      </c>
      <c r="K62" s="73">
        <f>SUM(K58:K60)</f>
        <v>0</v>
      </c>
      <c r="L62" s="73">
        <f t="shared" si="30"/>
        <v>0</v>
      </c>
      <c r="M62" s="549">
        <f t="shared" si="30"/>
        <v>2253</v>
      </c>
      <c r="N62" s="73">
        <f t="shared" si="30"/>
        <v>56325</v>
      </c>
      <c r="O62" s="1236">
        <f>SUM(O43:O57)</f>
        <v>225600</v>
      </c>
      <c r="P62" s="197"/>
      <c r="Q62" s="197"/>
      <c r="R62" s="1219">
        <f>SUM(R43:R57)</f>
        <v>15040</v>
      </c>
      <c r="S62" s="1219" t="s">
        <v>46</v>
      </c>
      <c r="T62" s="1241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6" t="s">
        <v>1743</v>
      </c>
      <c r="B63" s="1247"/>
      <c r="C63" s="1247"/>
      <c r="D63" s="1248"/>
      <c r="E63" s="70">
        <f>SUM(E58:E59)*25+E60*40</f>
        <v>82875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26550</v>
      </c>
      <c r="J63" s="70">
        <f>SUM(J58:J59)+J60</f>
        <v>26550</v>
      </c>
      <c r="K63" s="70">
        <f>+K62*25</f>
        <v>0</v>
      </c>
      <c r="L63" s="70">
        <f t="shared" si="31"/>
        <v>0</v>
      </c>
      <c r="M63" s="552">
        <f t="shared" si="31"/>
        <v>56325</v>
      </c>
      <c r="N63" s="70">
        <f>SUM(N58:N59)+N60</f>
        <v>56325</v>
      </c>
      <c r="O63" s="1237"/>
      <c r="P63" s="198"/>
      <c r="Q63" s="198"/>
      <c r="R63" s="1220"/>
      <c r="S63" s="1220"/>
      <c r="T63" s="1242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8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3"/>
  <sheetViews>
    <sheetView zoomScale="80" zoomScaleNormal="80" workbookViewId="0">
      <pane xSplit="5" ySplit="12" topLeftCell="F314" activePane="bottomRight" state="frozen"/>
      <selection activeCell="D283" sqref="D283"/>
      <selection pane="topRight" activeCell="D283" sqref="D283"/>
      <selection pane="bottomLeft" activeCell="D283" sqref="D283"/>
      <selection pane="bottomRight" activeCell="AM316" sqref="AM316:AM332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v>46158</v>
      </c>
      <c r="P3" s="1232"/>
      <c r="Q3" s="1232"/>
      <c r="R3" s="1232"/>
      <c r="S3" s="1232"/>
      <c r="T3" s="1232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3" t="s">
        <v>1700</v>
      </c>
      <c r="B10" s="1034" t="s">
        <v>1676</v>
      </c>
      <c r="C10" s="1034" t="s">
        <v>1677</v>
      </c>
      <c r="D10" s="1046" t="s">
        <v>1769</v>
      </c>
      <c r="E10" s="61" t="s">
        <v>0</v>
      </c>
      <c r="F10" s="1049" t="s">
        <v>1680</v>
      </c>
      <c r="G10" s="1054"/>
      <c r="H10" s="1050"/>
      <c r="I10" s="1049" t="s">
        <v>1681</v>
      </c>
      <c r="J10" s="1054"/>
      <c r="K10" s="1054"/>
      <c r="L10" s="1054"/>
      <c r="M10" s="1049" t="s">
        <v>1687</v>
      </c>
      <c r="N10" s="1050"/>
      <c r="O10" s="194" t="s">
        <v>1727</v>
      </c>
      <c r="P10" s="194"/>
      <c r="Q10" s="194"/>
      <c r="R10" s="194" t="s">
        <v>1728</v>
      </c>
      <c r="S10" s="1046" t="s">
        <v>1689</v>
      </c>
      <c r="T10" s="1173" t="s">
        <v>1692</v>
      </c>
      <c r="U10" s="999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4"/>
      <c r="B11" s="1035"/>
      <c r="C11" s="1035"/>
      <c r="D11" s="1047" t="s">
        <v>3</v>
      </c>
      <c r="E11" s="64" t="s">
        <v>1679</v>
      </c>
      <c r="F11" s="783" t="s">
        <v>2669</v>
      </c>
      <c r="G11" s="585" t="s">
        <v>1683</v>
      </c>
      <c r="H11" s="784" t="s">
        <v>1685</v>
      </c>
      <c r="I11" s="1049" t="s">
        <v>1684</v>
      </c>
      <c r="J11" s="1054"/>
      <c r="K11" s="585" t="s">
        <v>1688</v>
      </c>
      <c r="L11" s="784" t="s">
        <v>1686</v>
      </c>
      <c r="M11" s="1198" t="s">
        <v>1732</v>
      </c>
      <c r="N11" s="1249"/>
      <c r="O11" s="787" t="s">
        <v>1730</v>
      </c>
      <c r="P11" s="195"/>
      <c r="Q11" s="195"/>
      <c r="R11" s="787" t="s">
        <v>1731</v>
      </c>
      <c r="S11" s="1047"/>
      <c r="T11" s="1174"/>
      <c r="U11" s="1000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5"/>
      <c r="B12" s="1036"/>
      <c r="C12" s="1036"/>
      <c r="D12" s="1048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48"/>
      <c r="T12" s="1175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2478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/>
      <c r="Y13" s="454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2479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74715</v>
      </c>
      <c r="Q14" s="350">
        <f>SUM(O16,O26:O41)</f>
        <v>166140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/>
      <c r="Y14" s="455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2480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6" si="6">M15*25</f>
        <v>0</v>
      </c>
      <c r="O15" s="357">
        <f t="shared" ref="O15:O86" si="7">SUM(X15:BB15)</f>
        <v>0</v>
      </c>
      <c r="P15" s="350">
        <f>SUM(N18:N20,N55,N58:N59,N82:N82,N89:N96,N57,N83,N54)</f>
        <v>201300</v>
      </c>
      <c r="Q15" s="350">
        <f>SUM(O18:O20,O55,O58:O59,O82:O82,O89:O96,O57,O83,O54)</f>
        <v>846235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/>
      <c r="Y15" s="455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BC255+BC324+BC323+BC37+BC16+BC18+BC20+BC38+SUM(BC89:BC109)+SUM(BC178:BC178)+BC254+BC252+BC296+BC36+BC256+BC118+BC123+BC124+BC181+BC183+BC262+BC126+BC253+BC263+BC19+BC125</f>
        <v>901940</v>
      </c>
      <c r="BH15" s="505" t="s">
        <v>792</v>
      </c>
    </row>
    <row r="16" spans="1:61" s="289" customFormat="1" ht="15" customHeight="1">
      <c r="A16" s="91">
        <v>4</v>
      </c>
      <c r="B16" s="710" t="s">
        <v>2481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SUM(N13:N150)-P13-P14-P15-P17-P18-P19</f>
        <v>514975</v>
      </c>
      <c r="Q16" s="350">
        <f>SUM(O13:O150)-Q13-Q14-Q15-Q17-Q18-Q19</f>
        <v>2059590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/>
      <c r="Y16" s="45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+SUM(BC13:BC14)+SUM(BC23:BC24)+SUM(BC39:BC39)+SUM(BC110:BC132)+SUM(BC179:BC185)+SUM(BC257:BC266)+SUM(BC297:BC299)+SUM(BC325:BC327)-BC118-BC123-BC124-BC181-BC183-BC263-BC262-BC126-BC125</f>
        <v>2315940</v>
      </c>
      <c r="BG16" s="38"/>
      <c r="BH16" s="505" t="s">
        <v>793</v>
      </c>
      <c r="BI16" s="432">
        <f>+BF15+BF16+BF17</f>
        <v>4091930</v>
      </c>
    </row>
    <row r="17" spans="1:151" s="289" customFormat="1" ht="15" customHeight="1">
      <c r="A17" s="91">
        <v>5</v>
      </c>
      <c r="B17" s="886" t="s">
        <v>2482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+N17+SUM(N43:N46,N114:N126,N98:N103)-N115+SUM(N104:N109)</f>
        <v>255675</v>
      </c>
      <c r="Q17" s="350">
        <f>+O17+SUM(O43:O46,O114:O126,O98:O103)-O115+SUM(O104:O109)</f>
        <v>1401830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/>
      <c r="Y17" s="45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+BC15+BC25+SUM(BC133:BC144)+SUM(BC186:BC188)+SUM(BC267:BC275)+SUM(BC300:BC301)</f>
        <v>874050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2483</v>
      </c>
      <c r="C18" s="286" t="s">
        <v>40</v>
      </c>
      <c r="D18" s="287">
        <v>25</v>
      </c>
      <c r="E18" s="356">
        <v>35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15</v>
      </c>
      <c r="J18" s="100">
        <f>SUMIF(data!$D:$D,$B18&amp;$D18,data!$K:$K)</f>
        <v>375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20</v>
      </c>
      <c r="N18" s="354">
        <f t="shared" si="6"/>
        <v>500</v>
      </c>
      <c r="O18" s="357">
        <f t="shared" si="7"/>
        <v>1500</v>
      </c>
      <c r="P18" s="350">
        <f>+SUM(N64:N75,N60:N61,N47:N52)</f>
        <v>118150</v>
      </c>
      <c r="Q18" s="350">
        <f>+SUM(O64:O75,O60:O61,O47:O52)</f>
        <v>324800</v>
      </c>
      <c r="R18" s="356">
        <f>O18/INTGRATE!$N$293</f>
        <v>100</v>
      </c>
      <c r="S18" s="349">
        <f t="shared" si="0"/>
        <v>5</v>
      </c>
      <c r="T18" s="472"/>
      <c r="U18" s="288"/>
      <c r="V18" s="956" t="str">
        <f t="shared" si="1"/>
        <v>550S (5*5)25</v>
      </c>
      <c r="W18" s="943">
        <v>312001</v>
      </c>
      <c r="X18" s="456"/>
      <c r="Y18" s="456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>
        <v>775</v>
      </c>
      <c r="AK18" s="100">
        <v>125</v>
      </c>
      <c r="AL18" s="100">
        <v>225</v>
      </c>
      <c r="AM18" s="100">
        <v>375</v>
      </c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3" si="8">SUM(X18:BB18)</f>
        <v>1500</v>
      </c>
      <c r="BD18" s="896">
        <f t="shared" ref="BD18:BD83" si="9">COUNTIF(X18:BB18,"&gt;0")</f>
        <v>4</v>
      </c>
      <c r="BE18" s="896">
        <f t="shared" ref="BE18:BE83" si="10">IFERROR(BC18/BD18,0)</f>
        <v>375</v>
      </c>
      <c r="BF18" s="432">
        <f>BC228+BC227+BC50+BC221+BC222+BC49+BC46+BC53+BC45+BC233+BC231+BC42+BC47++BC48+BC51++BC52+BC55+BC57+BC61+BC169+BC318+BC170+BC223+BC230+BC225+BC219+BC224+BC220+BC229+BC226+BC54+BC232</f>
        <v>988915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2484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+N42+N51+N52+N62+N63</f>
        <v>20225</v>
      </c>
      <c r="Q19" s="350">
        <f>+O42+O51+O52+O62+O63</f>
        <v>412770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/>
      <c r="Y19" s="456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2477</v>
      </c>
      <c r="C20" s="286" t="s">
        <v>40</v>
      </c>
      <c r="D20" s="287">
        <v>25</v>
      </c>
      <c r="E20" s="356">
        <v>53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37</v>
      </c>
      <c r="J20" s="100">
        <f>SUMIF(data!$D:$D,$B20&amp;$D20,data!$K:$K)</f>
        <v>925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16</v>
      </c>
      <c r="N20" s="354">
        <f t="shared" si="6"/>
        <v>400</v>
      </c>
      <c r="O20" s="357">
        <f t="shared" si="7"/>
        <v>6025</v>
      </c>
      <c r="P20" s="350"/>
      <c r="Q20" s="350"/>
      <c r="R20" s="356">
        <f>O20/INTGRATE!$N$293</f>
        <v>401.66666666666669</v>
      </c>
      <c r="S20" s="349">
        <f t="shared" si="0"/>
        <v>0.99585062240663891</v>
      </c>
      <c r="T20" s="472"/>
      <c r="U20" s="288"/>
      <c r="V20" s="956" t="str">
        <f t="shared" si="1"/>
        <v>551 (5*5)25</v>
      </c>
      <c r="W20" s="943">
        <v>314001</v>
      </c>
      <c r="X20" s="456"/>
      <c r="Y20" s="456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>
        <v>325</v>
      </c>
      <c r="AK20" s="100">
        <v>75</v>
      </c>
      <c r="AL20" s="100">
        <v>825</v>
      </c>
      <c r="AM20" s="100">
        <v>925</v>
      </c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6025</v>
      </c>
      <c r="BD20" s="896">
        <f t="shared" si="9"/>
        <v>10</v>
      </c>
      <c r="BE20" s="896">
        <f t="shared" si="10"/>
        <v>602.5</v>
      </c>
      <c r="BF20" s="432">
        <f>BC71+BC215+BC217+BC320+BC214+BC216+BC72+BC209+BC66+BC67+BC294+BC30+BC33+BC64+BC65+BC68+BC73+BC74+BC75+BC34+BC35+BC69+BC208+BC32+BC218+BC316+BC319+BC317+BC212+BC210+BC70+BC292+BC213+BC295+BC31+BC293+BC211</f>
        <v>454550</v>
      </c>
      <c r="BG20" s="38" t="s">
        <v>141</v>
      </c>
      <c r="BH20" s="505" t="s">
        <v>796</v>
      </c>
      <c r="BI20" s="432">
        <f>+BF18+BF20+BF21</f>
        <v>1550940</v>
      </c>
    </row>
    <row r="21" spans="1:151" s="294" customFormat="1" ht="15" customHeight="1">
      <c r="A21" s="91">
        <v>9</v>
      </c>
      <c r="B21" s="428" t="s">
        <v>2485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/>
      <c r="Y21" s="457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>
        <v>0</v>
      </c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+BC17+BC43+BC44+BC58+BC59+BC60</f>
        <v>107475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2486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/>
      <c r="Y22" s="457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>
        <v>0</v>
      </c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+BC76+BC82+BC87+BC247+BC251+BC83+BC84+BC172+BC85+BC86+BC173+BC171+BC321+BC322+BC249+BC248+BC250+BC174</f>
        <v>447925</v>
      </c>
      <c r="BG22" s="684"/>
      <c r="BH22" s="685" t="s">
        <v>798</v>
      </c>
      <c r="BI22" s="85">
        <f>+BF22+BF23+BF27+BF29</f>
        <v>517175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P15+P169+P218+P297+P321</f>
        <v>208325</v>
      </c>
      <c r="Q23" s="350">
        <f>Q15+Q169+Q218+Q297+Q321</f>
        <v>895810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/>
      <c r="Y23" s="455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>
        <v>0</v>
      </c>
      <c r="AK23" s="100">
        <v>0</v>
      </c>
      <c r="AL23" s="100">
        <v>0</v>
      </c>
      <c r="AM23" s="100">
        <v>0</v>
      </c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+BC88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>
        <v>0</v>
      </c>
      <c r="AK24" s="100">
        <v>0</v>
      </c>
      <c r="AL24" s="100">
        <v>0</v>
      </c>
      <c r="AM24" s="100">
        <v>0</v>
      </c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+BC26+BC29+BC27+BC234+BC62+BC63+BC28</f>
        <v>190745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+P17+P171+P234+P298+P325</f>
        <v>283625</v>
      </c>
      <c r="Q25" s="350">
        <f>+Q17+Q171+Q234+Q298+Q325</f>
        <v>1756890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/>
      <c r="Y25" s="455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>
        <v>0</v>
      </c>
      <c r="AK25" s="100">
        <v>0</v>
      </c>
      <c r="AL25" s="100">
        <v>0</v>
      </c>
      <c r="AM25" s="100">
        <v>0</v>
      </c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BC239+BC243+BC244+BC245+BC240+BC241+BC242+BC237+BC238+BC246+BC235+BC21+BC22+BC40+BC145+BC150+BC167+BC168+BC194+BC189+BC191+BC41+BC147+BC148+BC190+BC149+BC328+BC331+BC329+BC330+BC236+BC146</f>
        <v>529820</v>
      </c>
      <c r="BH25" s="505" t="s">
        <v>802</v>
      </c>
      <c r="BI25" s="85">
        <f>+BF24+BF25+BF26-BF32</f>
        <v>679595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522</v>
      </c>
      <c r="F26" s="100">
        <f>SUMIF(pro!$A:$A,$V:$V,pro!$N:$N)</f>
        <v>990</v>
      </c>
      <c r="G26" s="356"/>
      <c r="H26" s="100">
        <f>SUMIF(CBIN!$A:$A,BRAN!$V:$V,CBIN!$G:$G)</f>
        <v>0</v>
      </c>
      <c r="I26" s="100">
        <f>SUMIF(data!$D:$D,$B26&amp;$D26,data!$J:$J)</f>
        <v>518</v>
      </c>
      <c r="J26" s="100">
        <f>SUMIF(data!$D:$D,$B26&amp;$D26,data!$K:$K)</f>
        <v>12950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994</v>
      </c>
      <c r="N26" s="354">
        <f t="shared" si="6"/>
        <v>24850</v>
      </c>
      <c r="O26" s="357">
        <f t="shared" si="7"/>
        <v>70875</v>
      </c>
      <c r="P26" s="350"/>
      <c r="Q26" s="350"/>
      <c r="R26" s="356">
        <f>O26/INTGRATE!$N$293</f>
        <v>4725</v>
      </c>
      <c r="S26" s="349">
        <f t="shared" si="0"/>
        <v>5.2592592592592595</v>
      </c>
      <c r="T26" s="472"/>
      <c r="U26" s="139"/>
      <c r="V26" s="956" t="str">
        <f t="shared" si="1"/>
        <v>30125</v>
      </c>
      <c r="W26" s="943">
        <v>542000</v>
      </c>
      <c r="X26" s="455"/>
      <c r="Y26" s="455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>
        <v>9525</v>
      </c>
      <c r="AK26" s="100">
        <v>2600</v>
      </c>
      <c r="AL26" s="100">
        <v>500</v>
      </c>
      <c r="AM26" s="100">
        <v>12950</v>
      </c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70875</v>
      </c>
      <c r="BD26" s="896">
        <f t="shared" si="9"/>
        <v>13</v>
      </c>
      <c r="BE26" s="896">
        <f t="shared" si="10"/>
        <v>5451.9230769230771</v>
      </c>
      <c r="BF26" s="85">
        <f>+BC192+BC193+BC332</f>
        <v>12600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/>
      <c r="Y27" s="455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>
        <v>0</v>
      </c>
      <c r="AK27" s="100">
        <v>0</v>
      </c>
      <c r="AL27" s="100">
        <v>0</v>
      </c>
      <c r="AM27" s="100">
        <v>0</v>
      </c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+BC79+BC277+BC176+BC80+BC78+BC81+BC177+BC276+BC175</f>
        <v>69250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2663</v>
      </c>
      <c r="C28" s="163" t="s">
        <v>39</v>
      </c>
      <c r="D28" s="164">
        <v>25</v>
      </c>
      <c r="E28" s="100">
        <v>0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0</v>
      </c>
      <c r="P28" s="350"/>
      <c r="Q28" s="350"/>
      <c r="R28" s="356">
        <f>O28/INTGRATE!$N$293</f>
        <v>0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>
        <v>0</v>
      </c>
      <c r="AK28" s="100">
        <v>0</v>
      </c>
      <c r="AL28" s="100">
        <v>0</v>
      </c>
      <c r="AM28" s="100">
        <v>0</v>
      </c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0</v>
      </c>
      <c r="BD28" s="896">
        <f t="shared" ref="BD28" si="16">COUNTIF(X28:BB28,"&gt;0")</f>
        <v>0</v>
      </c>
      <c r="BE28" s="896">
        <f t="shared" ref="BE28" si="17">IFERROR(BC28/BD28,0)</f>
        <v>0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1150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157</v>
      </c>
      <c r="J29" s="100">
        <f>SUMIF(data!$D:$D,$B29&amp;$D29,data!$K:$K)</f>
        <v>3925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993</v>
      </c>
      <c r="N29" s="354">
        <f t="shared" si="6"/>
        <v>24825</v>
      </c>
      <c r="O29" s="357">
        <f t="shared" si="7"/>
        <v>19325</v>
      </c>
      <c r="P29" s="350"/>
      <c r="Q29" s="350"/>
      <c r="R29" s="356">
        <f>O29/INTGRATE!$N$293</f>
        <v>1288.3333333333333</v>
      </c>
      <c r="S29" s="349">
        <f t="shared" si="0"/>
        <v>19.269081500646831</v>
      </c>
      <c r="T29" s="472"/>
      <c r="U29" s="139"/>
      <c r="V29" s="956" t="str">
        <f t="shared" si="1"/>
        <v>30225</v>
      </c>
      <c r="W29" s="943">
        <v>546000</v>
      </c>
      <c r="X29" s="455"/>
      <c r="Y29" s="455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>
        <v>100</v>
      </c>
      <c r="AK29" s="100">
        <v>0</v>
      </c>
      <c r="AL29" s="100">
        <v>0</v>
      </c>
      <c r="AM29" s="100">
        <v>3925</v>
      </c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19325</v>
      </c>
      <c r="BD29" s="896">
        <f t="shared" si="9"/>
        <v>10</v>
      </c>
      <c r="BE29" s="896">
        <f t="shared" si="10"/>
        <v>1932.5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/>
      <c r="Y30" s="455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>
        <v>0</v>
      </c>
      <c r="AK30" s="100">
        <v>0</v>
      </c>
      <c r="AL30" s="100">
        <v>0</v>
      </c>
      <c r="AM30" s="100">
        <v>0</v>
      </c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BC255+BC97+BC93+BC116+BC136+BC140+BC143+BC90+BC103+BC108+BC137+BC142+BC113+BC119+BC128+BC129+BC135+BC124+BC121+BC272+BC268+BC258+BC263+BC253+BC269+BC265+BC273+BC106+BC111+BC131+BC95+BC261+BC125+BC102+BC274+BC115+BC99</f>
        <v>794390</v>
      </c>
      <c r="BG30" s="38"/>
      <c r="BH30" s="505" t="s">
        <v>959</v>
      </c>
      <c r="BI30" s="85">
        <f>+BI16-BF30</f>
        <v>3297540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/>
      <c r="Y31" s="455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>
        <v>0</v>
      </c>
      <c r="AK31" s="100">
        <v>0</v>
      </c>
      <c r="AL31" s="100">
        <v>0</v>
      </c>
      <c r="AM31" s="100">
        <v>0</v>
      </c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/>
      <c r="Y32" s="455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+BC63</f>
        <v>53570</v>
      </c>
      <c r="BG32" s="38"/>
      <c r="BH32" s="505" t="s">
        <v>1964</v>
      </c>
      <c r="BI32" s="85">
        <f>BF24-BF32</f>
        <v>137175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/>
      <c r="Y33" s="455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BC71+BC215+BC50+BC214+BC221+BC34+BC65+BC68+BC74+BC48+BC52+BC35+BC218+BC317+BC212+BC210+BC292+BC31+BC293+BC294+BC211+BC209+BC224+BC220+BC229+BC226+BC233+BC56</f>
        <v>68970</v>
      </c>
      <c r="BG33" s="38"/>
      <c r="BH33" s="505" t="s">
        <v>1170</v>
      </c>
      <c r="BI33" s="85">
        <f>+BI20-BF33</f>
        <v>1481970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/>
      <c r="Y34" s="455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94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/>
      <c r="AO34" s="494"/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BC85+BC86+BC249+BC248</f>
        <v>0</v>
      </c>
      <c r="BG34" s="38"/>
      <c r="BH34" s="505" t="s">
        <v>1323</v>
      </c>
      <c r="BI34" s="85">
        <f>+BI22-BF34</f>
        <v>517175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/>
      <c r="Y35" s="455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94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/>
      <c r="AO35" s="494"/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+BC241+BC240+BC244</f>
        <v>141820</v>
      </c>
      <c r="BG35" s="38"/>
      <c r="BH35" s="505" t="s">
        <v>2643</v>
      </c>
      <c r="BI35" s="85">
        <f>+BF25-BF35</f>
        <v>388000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2493</v>
      </c>
      <c r="C36" s="175" t="s">
        <v>39</v>
      </c>
      <c r="D36" s="168">
        <v>10</v>
      </c>
      <c r="E36" s="356">
        <v>9</v>
      </c>
      <c r="F36" s="100">
        <f>SUMIF(pro!$A:$A,$V:$V,pro!$N:$N)</f>
        <v>0</v>
      </c>
      <c r="G36" s="356"/>
      <c r="H36" s="100">
        <v>490</v>
      </c>
      <c r="I36" s="100">
        <f>SUMIF(data!$D:$D,$B36&amp;$D36,data!$J:$J)</f>
        <v>410</v>
      </c>
      <c r="J36" s="100">
        <f>SUMIF(data!$D:$D,$B36&amp;$D36,data!$K:$K)</f>
        <v>4100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4" si="18">E36+F36+H36-I36-L36+G36-K36</f>
        <v>89</v>
      </c>
      <c r="N36" s="354">
        <f>+M36*D36</f>
        <v>890</v>
      </c>
      <c r="O36" s="357">
        <f t="shared" si="7"/>
        <v>6290</v>
      </c>
      <c r="P36" s="350"/>
      <c r="Q36" s="350"/>
      <c r="R36" s="356">
        <f>O36/INTGRATE!$N$293</f>
        <v>419.33333333333331</v>
      </c>
      <c r="S36" s="349">
        <f t="shared" si="0"/>
        <v>2.12241653418124</v>
      </c>
      <c r="T36" s="472" t="s">
        <v>1094</v>
      </c>
      <c r="U36" s="139"/>
      <c r="V36" s="956" t="str">
        <f t="shared" si="1"/>
        <v>550P10</v>
      </c>
      <c r="W36" s="943"/>
      <c r="X36" s="455"/>
      <c r="Y36" s="455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>
        <v>0</v>
      </c>
      <c r="AK36" s="100">
        <v>20</v>
      </c>
      <c r="AL36" s="100">
        <v>0</v>
      </c>
      <c r="AM36" s="100">
        <v>4100</v>
      </c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6290</v>
      </c>
      <c r="BD36" s="896">
        <f t="shared" si="9"/>
        <v>8</v>
      </c>
      <c r="BE36" s="896">
        <f t="shared" si="10"/>
        <v>786.25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/>
      <c r="Y37" s="455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6893210</v>
      </c>
      <c r="BI37" s="85">
        <f>+BH37-BJ37</f>
        <v>5834460</v>
      </c>
      <c r="BJ37" s="85">
        <f>BF34+BF33+BF32+BF30+BF35</f>
        <v>1058750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/>
      <c r="Y38" s="455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+BH37-BC334</f>
        <v>-13530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88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25</v>
      </c>
      <c r="J39" s="100">
        <f>SUMIF(data!$D:$D,$B39&amp;$D39,data!$K:$K)</f>
        <v>625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63</v>
      </c>
      <c r="N39" s="354">
        <f t="shared" si="6"/>
        <v>1575</v>
      </c>
      <c r="O39" s="357">
        <f t="shared" si="7"/>
        <v>6900</v>
      </c>
      <c r="P39" s="350"/>
      <c r="Q39" s="350"/>
      <c r="R39" s="356">
        <f>O39/INTGRATE!$N$293</f>
        <v>460</v>
      </c>
      <c r="S39" s="349">
        <f t="shared" si="0"/>
        <v>3.4239130434782608</v>
      </c>
      <c r="T39" s="472"/>
      <c r="U39" s="139"/>
      <c r="V39" s="956" t="str">
        <f t="shared" si="1"/>
        <v>35225</v>
      </c>
      <c r="W39" s="943">
        <v>321000</v>
      </c>
      <c r="X39" s="455"/>
      <c r="Y39" s="455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>
        <v>1000</v>
      </c>
      <c r="AK39" s="100">
        <v>375</v>
      </c>
      <c r="AL39" s="100">
        <v>1750</v>
      </c>
      <c r="AM39" s="100">
        <v>625</v>
      </c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6900</v>
      </c>
      <c r="BD39" s="896">
        <f t="shared" si="9"/>
        <v>10</v>
      </c>
      <c r="BE39" s="896">
        <f t="shared" si="10"/>
        <v>690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1119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220</v>
      </c>
      <c r="J40" s="100">
        <f>SUMIF(data!$D:$D,$B40&amp;$D40,data!$K:$K)</f>
        <v>5500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899</v>
      </c>
      <c r="N40" s="354">
        <f t="shared" si="6"/>
        <v>22475</v>
      </c>
      <c r="O40" s="357">
        <f t="shared" si="7"/>
        <v>55000</v>
      </c>
      <c r="P40" s="350"/>
      <c r="Q40" s="350"/>
      <c r="R40" s="356">
        <f>O40/INTGRATE!$N$293</f>
        <v>3666.6666666666665</v>
      </c>
      <c r="S40" s="349">
        <f t="shared" si="0"/>
        <v>6.1295454545454549</v>
      </c>
      <c r="T40" s="584"/>
      <c r="U40" s="139"/>
      <c r="V40" s="956" t="str">
        <f t="shared" si="1"/>
        <v>38425</v>
      </c>
      <c r="W40" s="943">
        <v>433000</v>
      </c>
      <c r="X40" s="455"/>
      <c r="Y40" s="455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>
        <v>9875</v>
      </c>
      <c r="AK40" s="100">
        <v>1000</v>
      </c>
      <c r="AL40" s="100">
        <v>0</v>
      </c>
      <c r="AM40" s="100">
        <v>5500</v>
      </c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55000</v>
      </c>
      <c r="BD40" s="896">
        <f t="shared" si="9"/>
        <v>10</v>
      </c>
      <c r="BE40" s="896">
        <f t="shared" si="10"/>
        <v>5500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4</v>
      </c>
      <c r="N41" s="354">
        <f t="shared" si="6"/>
        <v>100</v>
      </c>
      <c r="O41" s="357">
        <f t="shared" si="7"/>
        <v>7750</v>
      </c>
      <c r="P41" s="350"/>
      <c r="Q41" s="350"/>
      <c r="R41" s="356">
        <f>O41/INTGRATE!$N$293</f>
        <v>516.66666666666663</v>
      </c>
      <c r="S41" s="349">
        <f t="shared" si="0"/>
        <v>0.19354838709677422</v>
      </c>
      <c r="T41" s="578"/>
      <c r="U41" s="139"/>
      <c r="V41" s="956" t="str">
        <f t="shared" si="1"/>
        <v>385S25</v>
      </c>
      <c r="W41" s="943">
        <v>433010</v>
      </c>
      <c r="X41" s="455"/>
      <c r="Y41" s="455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382</v>
      </c>
      <c r="F42" s="100">
        <f>SUMIF(pro!$A:$A,$V:$V,pro!$N:$N)</f>
        <v>440</v>
      </c>
      <c r="G42" s="356"/>
      <c r="H42" s="100">
        <f>SUMIF(CBIN!$A:$A,BRAN!$V:$V,CBIN!$G:$G)</f>
        <v>0</v>
      </c>
      <c r="I42" s="100">
        <f>SUMIF(data!$D:$D,$B42&amp;$D42,data!$J:$J)</f>
        <v>381</v>
      </c>
      <c r="J42" s="100">
        <f>SUMIF(data!$D:$D,$B42&amp;$D42,data!$K:$K)</f>
        <v>9525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441</v>
      </c>
      <c r="N42" s="354">
        <f t="shared" si="6"/>
        <v>11025</v>
      </c>
      <c r="O42" s="357">
        <f t="shared" si="7"/>
        <v>312225</v>
      </c>
      <c r="P42" s="350"/>
      <c r="Q42" s="350"/>
      <c r="R42" s="356">
        <f>O42/INTGRATE!$N$293</f>
        <v>20815</v>
      </c>
      <c r="S42" s="349">
        <f t="shared" si="0"/>
        <v>0.52966610617343257</v>
      </c>
      <c r="T42" s="578"/>
      <c r="U42" s="139"/>
      <c r="V42" s="956" t="str">
        <f t="shared" si="1"/>
        <v>51025</v>
      </c>
      <c r="W42" s="943">
        <v>112001</v>
      </c>
      <c r="X42" s="455"/>
      <c r="Y42" s="455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>
        <v>33475</v>
      </c>
      <c r="AK42" s="100">
        <v>4150</v>
      </c>
      <c r="AL42" s="100">
        <v>16400</v>
      </c>
      <c r="AM42" s="100">
        <v>9525</v>
      </c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312225</v>
      </c>
      <c r="BD42" s="896">
        <f t="shared" si="9"/>
        <v>14</v>
      </c>
      <c r="BE42" s="896">
        <f t="shared" si="10"/>
        <v>22301.785714285714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/>
      <c r="Y43" s="455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>
        <v>0</v>
      </c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57</v>
      </c>
      <c r="F44" s="100">
        <f>SUMIF(pro!$A:$A,$V:$V,pro!$N:$N)</f>
        <v>446</v>
      </c>
      <c r="G44" s="356"/>
      <c r="H44" s="100">
        <f>SUMIF(CBIN!$A:$A,BRAN!$V:$V,CBIN!$G:$G)</f>
        <v>0</v>
      </c>
      <c r="I44" s="100">
        <f>SUMIF(data!$D:$D,$B44&amp;$D44,data!$J:$J)</f>
        <v>157</v>
      </c>
      <c r="J44" s="100">
        <f>SUMIF(data!$D:$D,$B44&amp;$D44,data!$K:$K)</f>
        <v>3925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346</v>
      </c>
      <c r="N44" s="354">
        <f t="shared" si="6"/>
        <v>8650</v>
      </c>
      <c r="O44" s="357">
        <f t="shared" si="7"/>
        <v>33375</v>
      </c>
      <c r="P44" s="350"/>
      <c r="Q44" s="350"/>
      <c r="R44" s="356">
        <f>O44/INTGRATE!$N$293</f>
        <v>2225</v>
      </c>
      <c r="S44" s="349">
        <f t="shared" si="0"/>
        <v>3.8876404494382024</v>
      </c>
      <c r="T44" s="472"/>
      <c r="U44" s="139"/>
      <c r="V44" s="956" t="str">
        <f t="shared" si="1"/>
        <v>510M25</v>
      </c>
      <c r="W44" s="943">
        <v>161201</v>
      </c>
      <c r="X44" s="455"/>
      <c r="Y44" s="455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>
        <v>3575</v>
      </c>
      <c r="AK44" s="100">
        <v>625</v>
      </c>
      <c r="AL44" s="100">
        <v>1000</v>
      </c>
      <c r="AM44" s="100">
        <v>3925</v>
      </c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33375</v>
      </c>
      <c r="BD44" s="896">
        <f t="shared" si="9"/>
        <v>14</v>
      </c>
      <c r="BE44" s="896">
        <f t="shared" si="10"/>
        <v>2383.9285714285716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247</v>
      </c>
      <c r="F45" s="100">
        <f>SUMIF(pro!$A:$A,$V:$V,pro!$N:$N)</f>
        <v>591</v>
      </c>
      <c r="G45" s="356"/>
      <c r="H45" s="100">
        <f>SUMIF(CBIN!$A:$A,BRAN!$V:$V,CBIN!$G:$G)</f>
        <v>0</v>
      </c>
      <c r="I45" s="100">
        <f>SUMIF(data!$D:$D,$B45&amp;$D45,data!$J:$J)</f>
        <v>340</v>
      </c>
      <c r="J45" s="100">
        <f>SUMIF(data!$D:$D,$B45&amp;$D45,data!$K:$K)</f>
        <v>8500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498</v>
      </c>
      <c r="N45" s="354">
        <f t="shared" si="6"/>
        <v>12450</v>
      </c>
      <c r="O45" s="357">
        <f t="shared" si="7"/>
        <v>25725</v>
      </c>
      <c r="P45" s="350"/>
      <c r="Q45" s="350"/>
      <c r="R45" s="356">
        <f>O45/INTGRATE!$N$293</f>
        <v>1715</v>
      </c>
      <c r="S45" s="349">
        <f t="shared" si="0"/>
        <v>7.259475218658892</v>
      </c>
      <c r="T45" s="472"/>
      <c r="U45" s="139"/>
      <c r="V45" s="956" t="str">
        <f>B45&amp;D45</f>
        <v>510S25</v>
      </c>
      <c r="W45" s="943">
        <v>112301</v>
      </c>
      <c r="X45" s="455"/>
      <c r="Y45" s="455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>
        <v>0</v>
      </c>
      <c r="AK45" s="100">
        <v>0</v>
      </c>
      <c r="AL45" s="100">
        <v>0</v>
      </c>
      <c r="AM45" s="100">
        <v>8500</v>
      </c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25725</v>
      </c>
      <c r="BD45" s="896">
        <f t="shared" si="9"/>
        <v>4</v>
      </c>
      <c r="BE45" s="896">
        <f t="shared" si="10"/>
        <v>6431.25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/>
      <c r="Y46" s="455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>
        <v>0</v>
      </c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196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17</v>
      </c>
      <c r="J47" s="100">
        <f>SUMIF(data!$D:$D,$B47&amp;$D47,data!$K:$K)</f>
        <v>425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179</v>
      </c>
      <c r="N47" s="354">
        <f t="shared" si="6"/>
        <v>4475</v>
      </c>
      <c r="O47" s="357">
        <f t="shared" si="7"/>
        <v>25750</v>
      </c>
      <c r="P47" s="350"/>
      <c r="Q47" s="350"/>
      <c r="R47" s="356">
        <f>O47/INTGRATE!$N$293</f>
        <v>1716.6666666666667</v>
      </c>
      <c r="S47" s="349">
        <f t="shared" si="0"/>
        <v>2.6067961165048543</v>
      </c>
      <c r="T47" s="472"/>
      <c r="U47" s="139"/>
      <c r="V47" s="956" t="str">
        <f t="shared" si="1"/>
        <v>51125</v>
      </c>
      <c r="W47" s="943">
        <v>114001</v>
      </c>
      <c r="X47" s="455"/>
      <c r="Y47" s="455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>
        <v>1875</v>
      </c>
      <c r="AK47" s="100">
        <v>250</v>
      </c>
      <c r="AL47" s="100">
        <v>375</v>
      </c>
      <c r="AM47" s="100">
        <v>425</v>
      </c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25750</v>
      </c>
      <c r="BD47" s="896">
        <f t="shared" si="9"/>
        <v>13</v>
      </c>
      <c r="BE47" s="896">
        <f t="shared" si="10"/>
        <v>1980.7692307692307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/>
      <c r="Y48" s="455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94">
        <v>0</v>
      </c>
      <c r="AI48" s="100">
        <v>0</v>
      </c>
      <c r="AJ48" s="100">
        <v>0</v>
      </c>
      <c r="AK48" s="100">
        <v>0</v>
      </c>
      <c r="AL48" s="100">
        <v>0</v>
      </c>
      <c r="AM48" s="100">
        <v>0</v>
      </c>
      <c r="AN48" s="100"/>
      <c r="AO48" s="494"/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105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105</v>
      </c>
      <c r="N49" s="354">
        <f>M49*25</f>
        <v>2625</v>
      </c>
      <c r="O49" s="357">
        <f>SUM(X49:BB49)</f>
        <v>30000</v>
      </c>
      <c r="P49" s="350"/>
      <c r="Q49" s="350"/>
      <c r="R49" s="356">
        <f>O49/INTGRATE!$N$293</f>
        <v>2000</v>
      </c>
      <c r="S49" s="349">
        <f t="shared" si="0"/>
        <v>1.3125</v>
      </c>
      <c r="T49" s="472"/>
      <c r="U49" s="139"/>
      <c r="V49" s="956" t="str">
        <f t="shared" si="1"/>
        <v>511S25</v>
      </c>
      <c r="W49" s="943">
        <v>114301</v>
      </c>
      <c r="X49" s="455"/>
      <c r="Y49" s="455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94">
        <v>6000</v>
      </c>
      <c r="AI49" s="100">
        <v>0</v>
      </c>
      <c r="AJ49" s="100">
        <v>0</v>
      </c>
      <c r="AK49" s="100">
        <v>6000</v>
      </c>
      <c r="AL49" s="100">
        <v>0</v>
      </c>
      <c r="AM49" s="100">
        <v>0</v>
      </c>
      <c r="AN49" s="100"/>
      <c r="AO49" s="494"/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30000</v>
      </c>
      <c r="BD49" s="896">
        <f t="shared" si="9"/>
        <v>5</v>
      </c>
      <c r="BE49" s="896">
        <f t="shared" si="10"/>
        <v>6000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/>
      <c r="Y50" s="455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94">
        <v>0</v>
      </c>
      <c r="AI50" s="100">
        <v>0</v>
      </c>
      <c r="AJ50" s="100">
        <v>0</v>
      </c>
      <c r="AK50" s="100">
        <v>0</v>
      </c>
      <c r="AL50" s="100">
        <v>0</v>
      </c>
      <c r="AM50" s="100">
        <v>0</v>
      </c>
      <c r="AN50" s="100"/>
      <c r="AO50" s="494"/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6" si="19">IF(R51=0,0,N51/R51)</f>
        <v>0</v>
      </c>
      <c r="T51" s="578"/>
      <c r="U51" s="139"/>
      <c r="V51" s="956" t="str">
        <f t="shared" ref="V51:V107" si="20">B51&amp;D51</f>
        <v>511A25</v>
      </c>
      <c r="W51" s="943">
        <v>113001</v>
      </c>
      <c r="X51" s="455"/>
      <c r="Y51" s="455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>
        <v>0</v>
      </c>
      <c r="AK51" s="100">
        <v>0</v>
      </c>
      <c r="AL51" s="100">
        <v>0</v>
      </c>
      <c r="AM51" s="100">
        <v>0</v>
      </c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/>
      <c r="Y52" s="455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94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/>
      <c r="AO52" s="494"/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/>
      <c r="Y53" s="455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94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/>
      <c r="AO53" s="494"/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976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300</v>
      </c>
      <c r="J54" s="100">
        <f>SUMIF(data!$D:$D,$B54&amp;$D54,data!$K:$K)</f>
        <v>7500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676</v>
      </c>
      <c r="N54" s="354">
        <f t="shared" si="6"/>
        <v>16900</v>
      </c>
      <c r="O54" s="357">
        <f t="shared" si="7"/>
        <v>62275</v>
      </c>
      <c r="P54" s="350"/>
      <c r="Q54" s="350"/>
      <c r="R54" s="356">
        <f>O54/INTGRATE!$N$293</f>
        <v>4151.666666666667</v>
      </c>
      <c r="S54" s="349">
        <f t="shared" si="19"/>
        <v>4.0706543556804498</v>
      </c>
      <c r="T54" s="630"/>
      <c r="U54" s="139"/>
      <c r="V54" s="956" t="str">
        <f t="shared" si="20"/>
        <v>511AS25</v>
      </c>
      <c r="W54" s="943">
        <v>113301</v>
      </c>
      <c r="X54" s="455"/>
      <c r="Y54" s="455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94">
        <v>0</v>
      </c>
      <c r="AI54" s="100">
        <v>0</v>
      </c>
      <c r="AJ54" s="100">
        <v>250</v>
      </c>
      <c r="AK54" s="100">
        <v>7650</v>
      </c>
      <c r="AL54" s="100">
        <v>0</v>
      </c>
      <c r="AM54" s="100">
        <v>7500</v>
      </c>
      <c r="AN54" s="100"/>
      <c r="AO54" s="494"/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62275</v>
      </c>
      <c r="BD54" s="896">
        <f t="shared" si="9"/>
        <v>8</v>
      </c>
      <c r="BE54" s="896">
        <f t="shared" si="10"/>
        <v>7784.375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5558</v>
      </c>
      <c r="F55" s="100">
        <f>SUMIF(pro!$A:$A,$V:$V,pro!$N:$N)</f>
        <v>0</v>
      </c>
      <c r="G55" s="356"/>
      <c r="H55" s="100">
        <f>SUMIF(CBIN!$A:$A,BRAN!$V:$V,CBIN!$G:$G)</f>
        <v>0</v>
      </c>
      <c r="I55" s="100">
        <f>SUMIF(data!$D:$D,$B55&amp;$D55,data!$J:$J)</f>
        <v>1688</v>
      </c>
      <c r="J55" s="100">
        <f>SUMIF(data!$D:$D,$B55&amp;$D55,data!$K:$K)</f>
        <v>42200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3870</v>
      </c>
      <c r="N55" s="354">
        <f t="shared" si="6"/>
        <v>96750</v>
      </c>
      <c r="O55" s="357">
        <f t="shared" si="7"/>
        <v>396825</v>
      </c>
      <c r="P55" s="350"/>
      <c r="Q55" s="350"/>
      <c r="R55" s="356">
        <f>O55/INTGRATE!$N$293</f>
        <v>26455</v>
      </c>
      <c r="S55" s="349">
        <f t="shared" si="19"/>
        <v>3.6571536571536574</v>
      </c>
      <c r="T55" s="578"/>
      <c r="U55" s="139"/>
      <c r="V55" s="956" t="str">
        <f t="shared" si="20"/>
        <v>511B25</v>
      </c>
      <c r="W55" s="943" t="s">
        <v>881</v>
      </c>
      <c r="X55" s="455"/>
      <c r="Y55" s="455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>
        <v>53100</v>
      </c>
      <c r="AK55" s="100">
        <v>21525</v>
      </c>
      <c r="AL55" s="100">
        <v>12050</v>
      </c>
      <c r="AM55" s="100">
        <v>42200</v>
      </c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396825</v>
      </c>
      <c r="BD55" s="896">
        <f t="shared" si="9"/>
        <v>14</v>
      </c>
      <c r="BE55" s="896">
        <f t="shared" si="10"/>
        <v>28344.642857142859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95</v>
      </c>
      <c r="C56" s="174" t="s">
        <v>40</v>
      </c>
      <c r="D56" s="173" t="s">
        <v>81</v>
      </c>
      <c r="E56" s="356"/>
      <c r="F56" s="494">
        <f>+J56</f>
        <v>0</v>
      </c>
      <c r="G56" s="356"/>
      <c r="H56" s="100"/>
      <c r="I56" s="100"/>
      <c r="J56" s="100">
        <f>SUMIF(data!$D:$D,$B56&amp;$D56,data!$K:$K)</f>
        <v>0</v>
      </c>
      <c r="K56" s="356"/>
      <c r="L56" s="356"/>
      <c r="M56" s="540"/>
      <c r="N56" s="354"/>
      <c r="O56" s="357">
        <f t="shared" ref="O56" si="21">SUM(X56:BB56)</f>
        <v>13530</v>
      </c>
      <c r="P56" s="350"/>
      <c r="Q56" s="350"/>
      <c r="R56" s="356">
        <f>O56/INTGRATE!$N$293</f>
        <v>902</v>
      </c>
      <c r="S56" s="349">
        <f t="shared" ref="S56" si="22">IF(R56=0,0,N56/R56)</f>
        <v>0</v>
      </c>
      <c r="T56" s="578"/>
      <c r="U56" s="139"/>
      <c r="V56" s="956" t="str">
        <f t="shared" si="20"/>
        <v>511BSILO</v>
      </c>
      <c r="W56" s="943" t="s">
        <v>881</v>
      </c>
      <c r="X56" s="455"/>
      <c r="Y56" s="455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>
        <v>0</v>
      </c>
      <c r="AK56" s="100">
        <v>0</v>
      </c>
      <c r="AL56" s="100">
        <v>0</v>
      </c>
      <c r="AM56" s="100">
        <v>0</v>
      </c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13530</v>
      </c>
      <c r="BD56" s="896">
        <f t="shared" ref="BD56" si="23">COUNTIF(X56:BB56,"&gt;0")</f>
        <v>1</v>
      </c>
      <c r="BE56" s="896">
        <f t="shared" ref="BE56" si="24">IFERROR(BC56/BD56,0)</f>
        <v>13530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66</v>
      </c>
      <c r="C57" s="172" t="s">
        <v>40</v>
      </c>
      <c r="D57" s="173">
        <v>25</v>
      </c>
      <c r="E57" s="356">
        <v>0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0</v>
      </c>
      <c r="N57" s="354">
        <f t="shared" si="6"/>
        <v>0</v>
      </c>
      <c r="O57" s="357">
        <f t="shared" si="7"/>
        <v>0</v>
      </c>
      <c r="P57" s="350"/>
      <c r="Q57" s="350"/>
      <c r="R57" s="356">
        <f>O57/INTGRATE!$N$293</f>
        <v>0</v>
      </c>
      <c r="S57" s="349">
        <f t="shared" si="19"/>
        <v>0</v>
      </c>
      <c r="T57" s="472"/>
      <c r="U57" s="139"/>
      <c r="V57" s="956" t="str">
        <f t="shared" si="20"/>
        <v>511C25</v>
      </c>
      <c r="W57" s="943">
        <v>114001</v>
      </c>
      <c r="X57" s="455"/>
      <c r="Y57" s="455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0</v>
      </c>
      <c r="BD57" s="896">
        <f t="shared" si="9"/>
        <v>0</v>
      </c>
      <c r="BE57" s="896">
        <f t="shared" si="10"/>
        <v>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8</v>
      </c>
      <c r="C58" s="169" t="s">
        <v>40</v>
      </c>
      <c r="D58" s="173">
        <v>25</v>
      </c>
      <c r="E58" s="356">
        <v>206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78</v>
      </c>
      <c r="J58" s="100">
        <f>SUMIF(data!$D:$D,$B58&amp;$D58,data!$K:$K)</f>
        <v>1950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128</v>
      </c>
      <c r="N58" s="354">
        <f t="shared" si="6"/>
        <v>3200</v>
      </c>
      <c r="O58" s="357">
        <f t="shared" si="7"/>
        <v>17850</v>
      </c>
      <c r="P58" s="350"/>
      <c r="Q58" s="350"/>
      <c r="R58" s="356">
        <f>O58/INTGRATE!$N$293</f>
        <v>1190</v>
      </c>
      <c r="S58" s="349">
        <f t="shared" si="19"/>
        <v>2.6890756302521011</v>
      </c>
      <c r="T58" s="472"/>
      <c r="U58" s="139"/>
      <c r="V58" s="956" t="str">
        <f t="shared" si="20"/>
        <v>511L25</v>
      </c>
      <c r="W58" s="943">
        <v>162001</v>
      </c>
      <c r="X58" s="455"/>
      <c r="Y58" s="455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>
        <v>350</v>
      </c>
      <c r="AK58" s="100">
        <v>125</v>
      </c>
      <c r="AL58" s="100">
        <v>1250</v>
      </c>
      <c r="AM58" s="100">
        <v>1950</v>
      </c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17850</v>
      </c>
      <c r="BD58" s="896">
        <f t="shared" si="9"/>
        <v>12</v>
      </c>
      <c r="BE58" s="896">
        <f t="shared" si="10"/>
        <v>1487.5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111</v>
      </c>
      <c r="C59" s="204" t="s">
        <v>40</v>
      </c>
      <c r="D59" s="173">
        <v>25</v>
      </c>
      <c r="E59" s="356">
        <v>579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114</v>
      </c>
      <c r="J59" s="100">
        <f>SUMIF(data!$D:$D,$B59&amp;$D59,data!$K:$K)</f>
        <v>2850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465</v>
      </c>
      <c r="N59" s="354">
        <f t="shared" si="6"/>
        <v>11625</v>
      </c>
      <c r="O59" s="357">
        <f t="shared" si="7"/>
        <v>56250</v>
      </c>
      <c r="P59" s="350"/>
      <c r="Q59" s="350"/>
      <c r="R59" s="356">
        <f>O59/INTGRATE!$N$293</f>
        <v>3750</v>
      </c>
      <c r="S59" s="349">
        <f t="shared" si="19"/>
        <v>3.1</v>
      </c>
      <c r="T59" s="472"/>
      <c r="U59" s="139"/>
      <c r="V59" s="956" t="str">
        <f t="shared" si="20"/>
        <v>511M25</v>
      </c>
      <c r="W59" s="943">
        <v>162201</v>
      </c>
      <c r="X59" s="455"/>
      <c r="Y59" s="455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>
        <v>8000</v>
      </c>
      <c r="AK59" s="100">
        <v>250</v>
      </c>
      <c r="AL59" s="100">
        <v>1600</v>
      </c>
      <c r="AM59" s="100">
        <v>2850</v>
      </c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56250</v>
      </c>
      <c r="BD59" s="896">
        <f t="shared" si="9"/>
        <v>14</v>
      </c>
      <c r="BE59" s="896">
        <f t="shared" si="10"/>
        <v>4017.8571428571427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 t="s">
        <v>113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512M25</v>
      </c>
      <c r="W60" s="943">
        <v>162301</v>
      </c>
      <c r="X60" s="455"/>
      <c r="Y60" s="455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72">
        <v>513</v>
      </c>
      <c r="C61" s="172" t="s">
        <v>115</v>
      </c>
      <c r="D61" s="173">
        <v>25</v>
      </c>
      <c r="E61" s="356">
        <v>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0</v>
      </c>
      <c r="P61" s="350"/>
      <c r="Q61" s="350"/>
      <c r="R61" s="356">
        <f>O61/INTGRATE!$N$293</f>
        <v>0</v>
      </c>
      <c r="S61" s="349">
        <f t="shared" si="19"/>
        <v>0</v>
      </c>
      <c r="T61" s="472"/>
      <c r="U61" s="139"/>
      <c r="V61" s="956" t="str">
        <f t="shared" si="20"/>
        <v>51325</v>
      </c>
      <c r="W61" s="943">
        <v>115001</v>
      </c>
      <c r="X61" s="455"/>
      <c r="Y61" s="455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0</v>
      </c>
      <c r="BD61" s="896">
        <f t="shared" si="9"/>
        <v>0</v>
      </c>
      <c r="BE61" s="896">
        <f t="shared" si="10"/>
        <v>0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164">
        <v>25</v>
      </c>
      <c r="E62" s="356">
        <v>299</v>
      </c>
      <c r="F62" s="100">
        <f>SUMIF(pro!$A:$A,$V:$V,pro!$N:$N)</f>
        <v>368</v>
      </c>
      <c r="G62" s="356"/>
      <c r="H62" s="100">
        <f>SUMIF(CBIN!$A:$A,BRAN!$V:$V,CBIN!$G:$G)</f>
        <v>0</v>
      </c>
      <c r="I62" s="100">
        <f>SUMIF(data!$D:$D,$B62&amp;$D62,data!$J:$J)</f>
        <v>299</v>
      </c>
      <c r="J62" s="100">
        <f>SUMIF(data!$D:$D,$B62&amp;$D62,data!$K:$K)</f>
        <v>7475</v>
      </c>
      <c r="K62" s="356">
        <f>SUMIF(AJOUT!$A:$A,BRAN!$V:$V,AJOUT!$L:$L)</f>
        <v>0</v>
      </c>
      <c r="L62" s="356">
        <f>SUMIF(CBOUT!$A:$A,BRAN!$V:$V,CBOUT!$G:$G)</f>
        <v>0</v>
      </c>
      <c r="M62" s="540">
        <f t="shared" si="18"/>
        <v>368</v>
      </c>
      <c r="N62" s="354">
        <f t="shared" si="6"/>
        <v>9200</v>
      </c>
      <c r="O62" s="357">
        <f t="shared" si="7"/>
        <v>46975</v>
      </c>
      <c r="P62" s="350"/>
      <c r="Q62" s="350"/>
      <c r="R62" s="356">
        <f>O62/INTGRATE!$N$293</f>
        <v>3131.6666666666665</v>
      </c>
      <c r="S62" s="349">
        <f>IF(R62=0,0,N62/R62)</f>
        <v>2.9377328366152211</v>
      </c>
      <c r="T62" s="472"/>
      <c r="U62" s="139"/>
      <c r="V62" s="956" t="str">
        <f t="shared" si="20"/>
        <v>50225</v>
      </c>
      <c r="W62" s="943">
        <v>546001</v>
      </c>
      <c r="X62" s="455"/>
      <c r="Y62" s="455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>
        <v>7250</v>
      </c>
      <c r="AK62" s="100">
        <v>4250</v>
      </c>
      <c r="AL62" s="100">
        <v>750</v>
      </c>
      <c r="AM62" s="100">
        <v>7475</v>
      </c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46975</v>
      </c>
      <c r="BD62" s="896">
        <f t="shared" si="9"/>
        <v>9</v>
      </c>
      <c r="BE62" s="896">
        <f t="shared" si="10"/>
        <v>5219.4444444444443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63">
        <v>502</v>
      </c>
      <c r="C63" s="163" t="s">
        <v>1504</v>
      </c>
      <c r="D63" s="909" t="s">
        <v>81</v>
      </c>
      <c r="E63" s="356"/>
      <c r="F63" s="494">
        <f>+J63</f>
        <v>12930</v>
      </c>
      <c r="G63" s="494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12930</v>
      </c>
      <c r="K63" s="356"/>
      <c r="L63" s="356"/>
      <c r="M63" s="540"/>
      <c r="N63" s="354"/>
      <c r="O63" s="357">
        <f>SUM(X63:BB63)</f>
        <v>53570</v>
      </c>
      <c r="P63" s="350"/>
      <c r="Q63" s="350"/>
      <c r="R63" s="356">
        <f>O63/INTGRATE!$N$293</f>
        <v>3571.3333333333335</v>
      </c>
      <c r="S63" s="349">
        <f>IF(R63=0,0,N63/R63)</f>
        <v>0</v>
      </c>
      <c r="T63" s="472"/>
      <c r="U63" s="139"/>
      <c r="V63" s="956" t="str">
        <f>B63&amp;D63</f>
        <v>502SILO</v>
      </c>
      <c r="W63" s="943">
        <v>546001</v>
      </c>
      <c r="X63" s="455"/>
      <c r="Y63" s="455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>
        <v>0</v>
      </c>
      <c r="AK63" s="100">
        <v>0</v>
      </c>
      <c r="AL63" s="100">
        <v>0</v>
      </c>
      <c r="AM63" s="100">
        <v>12930</v>
      </c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53570</v>
      </c>
      <c r="BD63" s="896">
        <f t="shared" si="9"/>
        <v>4</v>
      </c>
      <c r="BE63" s="896">
        <f t="shared" si="10"/>
        <v>13392.5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>
        <v>25</v>
      </c>
      <c r="E64" s="356">
        <v>0</v>
      </c>
      <c r="F64" s="100">
        <f>SUMIF(pro!$A:$A,$V:$V,pro!$N:$N)</f>
        <v>0</v>
      </c>
      <c r="G64" s="356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 t="shared" si="18"/>
        <v>0</v>
      </c>
      <c r="N64" s="354">
        <f t="shared" si="6"/>
        <v>0</v>
      </c>
      <c r="O64" s="357">
        <f t="shared" si="7"/>
        <v>2775</v>
      </c>
      <c r="P64" s="350"/>
      <c r="Q64" s="350"/>
      <c r="R64" s="356">
        <f>O64/INTGRATE!$N$293</f>
        <v>185</v>
      </c>
      <c r="S64" s="349">
        <f t="shared" si="19"/>
        <v>0</v>
      </c>
      <c r="T64" s="472"/>
      <c r="U64" s="139"/>
      <c r="V64" s="956" t="str">
        <f t="shared" si="20"/>
        <v>52125</v>
      </c>
      <c r="W64" s="943">
        <v>122001</v>
      </c>
      <c r="X64" s="455"/>
      <c r="Y64" s="455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>
        <v>0</v>
      </c>
      <c r="AK64" s="100">
        <v>0</v>
      </c>
      <c r="AL64" s="100">
        <v>0</v>
      </c>
      <c r="AM64" s="100">
        <v>0</v>
      </c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2775</v>
      </c>
      <c r="BD64" s="896">
        <f t="shared" si="9"/>
        <v>1</v>
      </c>
      <c r="BE64" s="896">
        <f t="shared" si="10"/>
        <v>2775</v>
      </c>
      <c r="BF64" s="38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202">
        <v>521</v>
      </c>
      <c r="C65" s="202" t="s">
        <v>115</v>
      </c>
      <c r="D65" s="203" t="s">
        <v>81</v>
      </c>
      <c r="E65" s="494">
        <v>0</v>
      </c>
      <c r="F65" s="494">
        <f>+J65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 t="shared" si="19"/>
        <v>0</v>
      </c>
      <c r="T65" s="472"/>
      <c r="U65" s="139"/>
      <c r="V65" s="956" t="str">
        <f t="shared" si="20"/>
        <v>521SILO</v>
      </c>
      <c r="W65" s="943">
        <v>122001</v>
      </c>
      <c r="X65" s="455"/>
      <c r="Y65" s="455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94">
        <v>0</v>
      </c>
      <c r="AI65" s="100">
        <v>0</v>
      </c>
      <c r="AJ65" s="100">
        <v>0</v>
      </c>
      <c r="AK65" s="100">
        <v>0</v>
      </c>
      <c r="AL65" s="100">
        <v>0</v>
      </c>
      <c r="AM65" s="100">
        <v>0</v>
      </c>
      <c r="AN65" s="100"/>
      <c r="AO65" s="494"/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60" t="s">
        <v>1829</v>
      </c>
      <c r="C66" s="202" t="s">
        <v>115</v>
      </c>
      <c r="D66" s="203">
        <v>25</v>
      </c>
      <c r="E66" s="91">
        <v>62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62</v>
      </c>
      <c r="N66" s="354">
        <f t="shared" si="6"/>
        <v>1550</v>
      </c>
      <c r="O66" s="357">
        <f t="shared" si="7"/>
        <v>20375</v>
      </c>
      <c r="P66" s="417"/>
      <c r="Q66" s="417"/>
      <c r="R66" s="390">
        <f>O66/INTGRATE!$N$293</f>
        <v>1358.3333333333333</v>
      </c>
      <c r="S66" s="349">
        <f>IF(R66=0,0,N66/R66)</f>
        <v>1.1411042944785277</v>
      </c>
      <c r="T66" s="472"/>
      <c r="U66" s="139"/>
      <c r="V66" s="956" t="str">
        <f t="shared" si="20"/>
        <v>521SPro25</v>
      </c>
      <c r="W66" s="943">
        <v>121701</v>
      </c>
      <c r="X66" s="455"/>
      <c r="Y66" s="455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94">
        <v>0</v>
      </c>
      <c r="AI66" s="100">
        <v>0</v>
      </c>
      <c r="AJ66" s="100">
        <v>16625</v>
      </c>
      <c r="AK66" s="100">
        <v>0</v>
      </c>
      <c r="AL66" s="100">
        <v>0</v>
      </c>
      <c r="AM66" s="100">
        <v>0</v>
      </c>
      <c r="AN66" s="100"/>
      <c r="AO66" s="494"/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20375</v>
      </c>
      <c r="BD66" s="896">
        <f t="shared" si="9"/>
        <v>2</v>
      </c>
      <c r="BE66" s="896">
        <f t="shared" si="10"/>
        <v>10187.5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60" t="s">
        <v>1668</v>
      </c>
      <c r="C67" s="202" t="s">
        <v>115</v>
      </c>
      <c r="D67" s="203">
        <v>25</v>
      </c>
      <c r="E67" s="494">
        <v>0</v>
      </c>
      <c r="F67" s="100">
        <f>SUMIF(pro!$A:$A,$V:$V,pro!$N:$N)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521Pro25</v>
      </c>
      <c r="W67" s="943">
        <v>122721</v>
      </c>
      <c r="X67" s="455"/>
      <c r="Y67" s="455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94">
        <v>0</v>
      </c>
      <c r="AI67" s="100">
        <v>0</v>
      </c>
      <c r="AJ67" s="100">
        <v>0</v>
      </c>
      <c r="AK67" s="100">
        <v>0</v>
      </c>
      <c r="AL67" s="100">
        <v>0</v>
      </c>
      <c r="AM67" s="100">
        <v>0</v>
      </c>
      <c r="AN67" s="100"/>
      <c r="AO67" s="494"/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 t="s">
        <v>131</v>
      </c>
      <c r="C68" s="202" t="s">
        <v>115</v>
      </c>
      <c r="D68" s="203" t="s">
        <v>81</v>
      </c>
      <c r="E68" s="390">
        <v>0</v>
      </c>
      <c r="F68" s="494">
        <f>+J68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>E68+F68+H68-I68-L68+G68-K68</f>
        <v>0</v>
      </c>
      <c r="N68" s="354">
        <f t="shared" si="6"/>
        <v>0</v>
      </c>
      <c r="O68" s="357">
        <f t="shared" si="7"/>
        <v>0</v>
      </c>
      <c r="P68" s="417"/>
      <c r="Q68" s="417"/>
      <c r="R68" s="390">
        <f>O68/INTGRATE!$N$293</f>
        <v>0</v>
      </c>
      <c r="S68" s="349">
        <f t="shared" si="19"/>
        <v>0</v>
      </c>
      <c r="T68" s="472"/>
      <c r="U68" s="139"/>
      <c r="V68" s="956" t="str">
        <f t="shared" si="20"/>
        <v>522(silo)SILO</v>
      </c>
      <c r="W68" s="943">
        <v>123001</v>
      </c>
      <c r="X68" s="455"/>
      <c r="Y68" s="455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94">
        <v>0</v>
      </c>
      <c r="AI68" s="100">
        <v>0</v>
      </c>
      <c r="AJ68" s="100">
        <v>0</v>
      </c>
      <c r="AK68" s="100">
        <v>0</v>
      </c>
      <c r="AL68" s="100">
        <v>0</v>
      </c>
      <c r="AM68" s="100">
        <v>0</v>
      </c>
      <c r="AN68" s="100"/>
      <c r="AO68" s="494"/>
      <c r="AP68" s="100"/>
      <c r="AQ68" s="494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0</v>
      </c>
      <c r="BD68" s="896">
        <f t="shared" si="9"/>
        <v>0</v>
      </c>
      <c r="BE68" s="896">
        <f t="shared" si="10"/>
        <v>0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>
        <v>522</v>
      </c>
      <c r="C69" s="636" t="s">
        <v>115</v>
      </c>
      <c r="D69" s="203">
        <v>25</v>
      </c>
      <c r="E69" s="642">
        <v>0</v>
      </c>
      <c r="F69" s="100">
        <f>SUMIF(pro!$A:$A,$V:$V,pro!$N:$N)</f>
        <v>231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ref="M69:M84" si="25">E69+F69+H69-I69-L69+G69-K69</f>
        <v>231</v>
      </c>
      <c r="N69" s="354">
        <f t="shared" si="6"/>
        <v>5775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 t="shared" si="19"/>
        <v>0</v>
      </c>
      <c r="T69" s="472"/>
      <c r="U69" s="139"/>
      <c r="V69" s="956" t="str">
        <f t="shared" si="20"/>
        <v>52225</v>
      </c>
      <c r="W69" s="943">
        <v>123001</v>
      </c>
      <c r="X69" s="455"/>
      <c r="Y69" s="455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>
        <v>0</v>
      </c>
      <c r="AK69" s="100">
        <v>0</v>
      </c>
      <c r="AL69" s="100">
        <v>0</v>
      </c>
      <c r="AM69" s="100">
        <v>0</v>
      </c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1616</v>
      </c>
      <c r="C70" s="636" t="s">
        <v>115</v>
      </c>
      <c r="D70" s="203">
        <v>25</v>
      </c>
      <c r="E70" s="642">
        <v>0</v>
      </c>
      <c r="F70" s="100">
        <f>SUMIF(pro!$A:$A,$V:$V,pro!$N:$N)</f>
        <v>0</v>
      </c>
      <c r="G70" s="494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356">
        <f>SUMIF(AJOUT!$A:$A,BRAN!$V:$V,AJOUT!$L:$L)</f>
        <v>0</v>
      </c>
      <c r="L70" s="356">
        <f>SUMIF(CBOUT!$A:$A,BRAN!$V:$V,CBOUT!$G:$G)</f>
        <v>0</v>
      </c>
      <c r="M70" s="540">
        <f t="shared" si="25"/>
        <v>0</v>
      </c>
      <c r="N70" s="354">
        <f t="shared" si="6"/>
        <v>0</v>
      </c>
      <c r="O70" s="357">
        <f t="shared" si="7"/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522Pro25</v>
      </c>
      <c r="W70" s="943">
        <v>123701</v>
      </c>
      <c r="X70" s="455"/>
      <c r="Y70" s="455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>
        <v>0</v>
      </c>
      <c r="AK70" s="100">
        <v>0</v>
      </c>
      <c r="AL70" s="100">
        <v>0</v>
      </c>
      <c r="AM70" s="100">
        <v>0</v>
      </c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2462</v>
      </c>
      <c r="C71" s="636" t="s">
        <v>115</v>
      </c>
      <c r="D71" s="203" t="s">
        <v>81</v>
      </c>
      <c r="E71" s="642"/>
      <c r="F71" s="100">
        <f>J71</f>
        <v>0</v>
      </c>
      <c r="G71" s="494"/>
      <c r="H71" s="100"/>
      <c r="I71" s="100"/>
      <c r="J71" s="100">
        <f>SUMIF(data!$D:$D,$B71&amp;$D71,data!$K:$K)</f>
        <v>0</v>
      </c>
      <c r="K71" s="356"/>
      <c r="L71" s="356"/>
      <c r="M71" s="540"/>
      <c r="N71" s="354"/>
      <c r="O71" s="357">
        <f t="shared" ref="O71" si="26">SUM(X71:BB71)</f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522PProSILO</v>
      </c>
      <c r="W71" s="943">
        <v>12370832</v>
      </c>
      <c r="X71" s="455"/>
      <c r="Y71" s="455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>
        <v>0</v>
      </c>
      <c r="AK71" s="100">
        <v>0</v>
      </c>
      <c r="AL71" s="100">
        <v>0</v>
      </c>
      <c r="AM71" s="100">
        <v>0</v>
      </c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60" t="s">
        <v>1892</v>
      </c>
      <c r="C72" s="636" t="s">
        <v>115</v>
      </c>
      <c r="D72" s="203">
        <v>25</v>
      </c>
      <c r="E72" s="642">
        <v>183</v>
      </c>
      <c r="F72" s="100">
        <f>SUMIF(pro!$A:$A,$V:$V,pro!$N:$N)</f>
        <v>0</v>
      </c>
      <c r="G72" s="494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356">
        <f>SUMIF(AJOUT!$A:$A,BRAN!$V:$V,AJOUT!$L:$L)</f>
        <v>0</v>
      </c>
      <c r="L72" s="356">
        <f>SUMIF(CBOUT!$A:$A,BRAN!$V:$V,CBOUT!$G:$G)</f>
        <v>0</v>
      </c>
      <c r="M72" s="540">
        <f>E72+F72+H72-I72-L72+G72-K72</f>
        <v>183</v>
      </c>
      <c r="N72" s="354">
        <f t="shared" si="6"/>
        <v>4575</v>
      </c>
      <c r="O72" s="357">
        <f t="shared" si="7"/>
        <v>3725</v>
      </c>
      <c r="P72" s="350"/>
      <c r="Q72" s="350"/>
      <c r="R72" s="356">
        <f>O72/INTGRATE!$N$293</f>
        <v>248.33333333333334</v>
      </c>
      <c r="S72" s="349">
        <f>IF(R72=0,0,N72/R72)</f>
        <v>18.422818791946309</v>
      </c>
      <c r="T72" s="472"/>
      <c r="U72" s="139"/>
      <c r="V72" s="956" t="str">
        <f t="shared" si="20"/>
        <v>524P25</v>
      </c>
      <c r="W72" s="943">
        <v>127008</v>
      </c>
      <c r="X72" s="455"/>
      <c r="Y72" s="455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>
        <v>0</v>
      </c>
      <c r="AK72" s="100">
        <v>0</v>
      </c>
      <c r="AL72" s="100">
        <v>3725</v>
      </c>
      <c r="AM72" s="100">
        <v>0</v>
      </c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3725</v>
      </c>
      <c r="BD72" s="896">
        <f t="shared" si="9"/>
        <v>1</v>
      </c>
      <c r="BE72" s="896">
        <f t="shared" si="10"/>
        <v>3725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202">
        <v>524</v>
      </c>
      <c r="C73" s="202" t="s">
        <v>115</v>
      </c>
      <c r="D73" s="203">
        <v>25</v>
      </c>
      <c r="E73" s="356">
        <v>4346</v>
      </c>
      <c r="F73" s="100">
        <f>SUMIF(pro!$A:$A,$V:$V,pro!$N:$N)</f>
        <v>0</v>
      </c>
      <c r="G73" s="356"/>
      <c r="H73" s="100">
        <f>SUMIF(CBIN!$A:$A,BRAN!$V:$V,CBIN!$G:$G)</f>
        <v>0</v>
      </c>
      <c r="I73" s="100">
        <f>SUMIF(data!$D:$D,$B73&amp;$D73,data!$J:$J)</f>
        <v>380</v>
      </c>
      <c r="J73" s="100">
        <f>SUMIF(data!$D:$D,$B73&amp;$D73,data!$K:$K)</f>
        <v>9500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5"/>
        <v>3966</v>
      </c>
      <c r="N73" s="354">
        <f t="shared" si="6"/>
        <v>99150</v>
      </c>
      <c r="O73" s="357">
        <f t="shared" si="7"/>
        <v>242175</v>
      </c>
      <c r="P73" s="350"/>
      <c r="Q73" s="350"/>
      <c r="R73" s="356">
        <f>O73/INTGRATE!$N$293</f>
        <v>16145</v>
      </c>
      <c r="S73" s="349">
        <f t="shared" si="19"/>
        <v>6.1412201920099099</v>
      </c>
      <c r="T73" s="472"/>
      <c r="U73" s="139"/>
      <c r="V73" s="956" t="str">
        <f t="shared" si="20"/>
        <v>52425</v>
      </c>
      <c r="W73" s="943">
        <v>127001</v>
      </c>
      <c r="X73" s="455"/>
      <c r="Y73" s="455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>
        <v>20375</v>
      </c>
      <c r="AK73" s="100">
        <v>30900</v>
      </c>
      <c r="AL73" s="100">
        <v>16875</v>
      </c>
      <c r="AM73" s="100">
        <v>9500</v>
      </c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242175</v>
      </c>
      <c r="BD73" s="896">
        <f t="shared" si="9"/>
        <v>14</v>
      </c>
      <c r="BE73" s="896">
        <f t="shared" si="10"/>
        <v>17298.214285714286</v>
      </c>
      <c r="BF73" s="85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127</v>
      </c>
      <c r="C74" s="202" t="s">
        <v>115</v>
      </c>
      <c r="D74" s="203" t="s">
        <v>81</v>
      </c>
      <c r="E74" s="390">
        <v>0</v>
      </c>
      <c r="F74" s="494">
        <f>J74</f>
        <v>0</v>
      </c>
      <c r="G74" s="39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5"/>
        <v>0</v>
      </c>
      <c r="N74" s="354">
        <f t="shared" si="6"/>
        <v>0</v>
      </c>
      <c r="O74" s="357">
        <f t="shared" si="7"/>
        <v>0</v>
      </c>
      <c r="P74" s="417"/>
      <c r="Q74" s="417"/>
      <c r="R74" s="390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524(silo)SILO</v>
      </c>
      <c r="W74" s="943">
        <v>127001</v>
      </c>
      <c r="X74" s="455"/>
      <c r="Y74" s="455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60" t="s">
        <v>136</v>
      </c>
      <c r="C75" s="360" t="s">
        <v>115</v>
      </c>
      <c r="D75" s="203">
        <v>25</v>
      </c>
      <c r="E75" s="356">
        <v>0</v>
      </c>
      <c r="F75" s="100">
        <f>SUMIF(pro!$A:$A,$V:$V,pro!$N:$N)</f>
        <v>0</v>
      </c>
      <c r="G75" s="41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5"/>
        <v>0</v>
      </c>
      <c r="N75" s="354">
        <f t="shared" si="6"/>
        <v>0</v>
      </c>
      <c r="O75" s="357">
        <f t="shared" si="7"/>
        <v>0</v>
      </c>
      <c r="P75" s="415"/>
      <c r="Q75" s="415"/>
      <c r="R75" s="416">
        <f>O75/INTGRATE!$N$293</f>
        <v>0</v>
      </c>
      <c r="S75" s="349">
        <f t="shared" si="19"/>
        <v>0</v>
      </c>
      <c r="T75" s="472"/>
      <c r="U75" s="139"/>
      <c r="V75" s="956" t="str">
        <f t="shared" si="20"/>
        <v>524A25</v>
      </c>
      <c r="W75" s="943">
        <v>127061</v>
      </c>
      <c r="X75" s="455"/>
      <c r="Y75" s="455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0</v>
      </c>
      <c r="BD75" s="896">
        <f t="shared" si="9"/>
        <v>0</v>
      </c>
      <c r="BE75" s="896">
        <f t="shared" si="10"/>
        <v>0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61</v>
      </c>
      <c r="D76" s="97">
        <v>25</v>
      </c>
      <c r="E76" s="356">
        <v>96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5"/>
        <v>96</v>
      </c>
      <c r="N76" s="354">
        <f t="shared" si="6"/>
        <v>2400</v>
      </c>
      <c r="O76" s="357">
        <f t="shared" si="7"/>
        <v>16375</v>
      </c>
      <c r="P76" s="350"/>
      <c r="Q76" s="350"/>
      <c r="R76" s="356">
        <f>O76/INTGRATE!$N$293</f>
        <v>1091.6666666666667</v>
      </c>
      <c r="S76" s="349">
        <f t="shared" si="19"/>
        <v>2.1984732824427478</v>
      </c>
      <c r="T76" s="472"/>
      <c r="U76" s="139"/>
      <c r="V76" s="956" t="str">
        <f t="shared" si="20"/>
        <v>54025</v>
      </c>
      <c r="W76" s="943">
        <v>204101</v>
      </c>
      <c r="X76" s="455"/>
      <c r="Y76" s="455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>
        <v>5000</v>
      </c>
      <c r="AK76" s="100">
        <v>0</v>
      </c>
      <c r="AL76" s="100">
        <v>0</v>
      </c>
      <c r="AM76" s="100">
        <v>0</v>
      </c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16375</v>
      </c>
      <c r="BD76" s="896">
        <f t="shared" si="9"/>
        <v>4</v>
      </c>
      <c r="BE76" s="896">
        <f t="shared" si="10"/>
        <v>4093.75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61</v>
      </c>
      <c r="D77" s="97">
        <v>25</v>
      </c>
      <c r="E77" s="356">
        <v>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5"/>
        <v>0</v>
      </c>
      <c r="N77" s="354">
        <f t="shared" si="6"/>
        <v>0</v>
      </c>
      <c r="O77" s="357">
        <f t="shared" si="7"/>
        <v>0</v>
      </c>
      <c r="P77" s="350"/>
      <c r="Q77" s="350"/>
      <c r="R77" s="356">
        <f>O77/INTGRATE!$N$293</f>
        <v>0</v>
      </c>
      <c r="S77" s="349">
        <f t="shared" si="19"/>
        <v>0</v>
      </c>
      <c r="T77" s="472"/>
      <c r="U77" s="139"/>
      <c r="V77" s="956" t="str">
        <f t="shared" si="20"/>
        <v>54325</v>
      </c>
      <c r="W77" s="943">
        <v>226001</v>
      </c>
      <c r="X77" s="455"/>
      <c r="Y77" s="455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0</v>
      </c>
      <c r="BD77" s="896">
        <f t="shared" si="9"/>
        <v>0</v>
      </c>
      <c r="BE77" s="896">
        <f t="shared" si="10"/>
        <v>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7">
        <v>25</v>
      </c>
      <c r="E78" s="356">
        <v>180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179</v>
      </c>
      <c r="J78" s="100">
        <f>SUMIF(data!$D:$D,$B78&amp;$D78,data!$K:$K)</f>
        <v>4475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5"/>
        <v>1</v>
      </c>
      <c r="N78" s="354">
        <f t="shared" si="6"/>
        <v>25</v>
      </c>
      <c r="O78" s="357">
        <f t="shared" si="7"/>
        <v>63025</v>
      </c>
      <c r="P78" s="350"/>
      <c r="Q78" s="350"/>
      <c r="R78" s="356">
        <f>O78/INTGRATE!$N$293</f>
        <v>4201.666666666667</v>
      </c>
      <c r="S78" s="349">
        <f t="shared" si="19"/>
        <v>5.950019833399444E-3</v>
      </c>
      <c r="T78" s="472"/>
      <c r="U78" s="139"/>
      <c r="V78" s="956" t="str">
        <f t="shared" si="20"/>
        <v>54425</v>
      </c>
      <c r="W78" s="943">
        <v>216201</v>
      </c>
      <c r="X78" s="455"/>
      <c r="Y78" s="455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>
        <v>18075</v>
      </c>
      <c r="AK78" s="100">
        <v>250</v>
      </c>
      <c r="AL78" s="100">
        <v>2250</v>
      </c>
      <c r="AM78" s="100">
        <v>4475</v>
      </c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63025</v>
      </c>
      <c r="BD78" s="896">
        <f t="shared" si="9"/>
        <v>13</v>
      </c>
      <c r="BE78" s="896">
        <f t="shared" si="10"/>
        <v>4848.0769230769229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61</v>
      </c>
      <c r="D79" s="98">
        <v>40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5"/>
        <v>0</v>
      </c>
      <c r="N79" s="354">
        <f>+M79*D79</f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606"/>
      <c r="U79" s="139"/>
      <c r="V79" s="956" t="str">
        <f t="shared" si="20"/>
        <v>54440</v>
      </c>
      <c r="W79" s="943">
        <v>216201</v>
      </c>
      <c r="X79" s="455"/>
      <c r="Y79" s="455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25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5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54525</v>
      </c>
      <c r="W80" s="943">
        <v>216201</v>
      </c>
      <c r="X80" s="455"/>
      <c r="Y80" s="455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61</v>
      </c>
      <c r="D81" s="98">
        <v>40</v>
      </c>
      <c r="E81" s="356">
        <v>0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5"/>
        <v>0</v>
      </c>
      <c r="N81" s="354">
        <f t="shared" si="6"/>
        <v>0</v>
      </c>
      <c r="O81" s="357">
        <f t="shared" si="7"/>
        <v>0</v>
      </c>
      <c r="P81" s="350"/>
      <c r="Q81" s="350"/>
      <c r="R81" s="356">
        <f>O81/INTGRATE!$N$293</f>
        <v>0</v>
      </c>
      <c r="S81" s="349">
        <f t="shared" si="19"/>
        <v>0</v>
      </c>
      <c r="T81" s="472"/>
      <c r="U81" s="139"/>
      <c r="V81" s="956" t="str">
        <f t="shared" si="20"/>
        <v>54540</v>
      </c>
      <c r="W81" s="943">
        <v>216251</v>
      </c>
      <c r="X81" s="455"/>
      <c r="Y81" s="455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0</v>
      </c>
      <c r="BD81" s="896">
        <f t="shared" si="9"/>
        <v>0</v>
      </c>
      <c r="BE81" s="896">
        <f t="shared" si="10"/>
        <v>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205" t="s">
        <v>40</v>
      </c>
      <c r="D82" s="97">
        <v>25</v>
      </c>
      <c r="E82" s="356">
        <v>1039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115</v>
      </c>
      <c r="J82" s="100">
        <f>SUMIF(data!$D:$D,$B82&amp;$D82,data!$K:$K)</f>
        <v>2875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5"/>
        <v>924</v>
      </c>
      <c r="N82" s="354">
        <f t="shared" si="6"/>
        <v>23100</v>
      </c>
      <c r="O82" s="357">
        <f t="shared" si="7"/>
        <v>37525</v>
      </c>
      <c r="P82" s="350"/>
      <c r="Q82" s="350"/>
      <c r="R82" s="356">
        <f>O82/INTGRATE!$N$293</f>
        <v>2501.6666666666665</v>
      </c>
      <c r="S82" s="349">
        <f t="shared" si="19"/>
        <v>9.2338441039307142</v>
      </c>
      <c r="T82" s="472"/>
      <c r="U82" s="139"/>
      <c r="V82" s="956" t="str">
        <f t="shared" si="20"/>
        <v>54825</v>
      </c>
      <c r="W82" s="943">
        <v>201101</v>
      </c>
      <c r="X82" s="455"/>
      <c r="Y82" s="455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>
        <v>375</v>
      </c>
      <c r="AK82" s="100">
        <v>2000</v>
      </c>
      <c r="AL82" s="100">
        <v>425</v>
      </c>
      <c r="AM82" s="100">
        <v>2875</v>
      </c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37525</v>
      </c>
      <c r="BD82" s="896">
        <f t="shared" si="9"/>
        <v>13</v>
      </c>
      <c r="BE82" s="896">
        <f t="shared" si="10"/>
        <v>2886.5384615384614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1218</v>
      </c>
      <c r="C83" s="205" t="s">
        <v>40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5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548M25</v>
      </c>
      <c r="W83" s="943">
        <v>201201</v>
      </c>
      <c r="X83" s="455"/>
      <c r="Y83" s="455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si="8"/>
        <v>0</v>
      </c>
      <c r="BD83" s="896">
        <f t="shared" si="9"/>
        <v>0</v>
      </c>
      <c r="BE83" s="896">
        <f t="shared" si="10"/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>
        <v>25</v>
      </c>
      <c r="E84" s="356">
        <v>0</v>
      </c>
      <c r="F84" s="100">
        <f>SUMIF(pro!$A:$A,$V:$V,pro!$N:$N)</f>
        <v>0</v>
      </c>
      <c r="G84" s="356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356">
        <f>SUMIF(AJOUT!$A:$A,BRAN!$V:$V,AJOUT!$L:$L)</f>
        <v>0</v>
      </c>
      <c r="L84" s="356">
        <f>SUMIF(CBOUT!$A:$A,BRAN!$V:$V,CBOUT!$G:$G)</f>
        <v>0</v>
      </c>
      <c r="M84" s="540">
        <f t="shared" si="25"/>
        <v>0</v>
      </c>
      <c r="N84" s="354">
        <f t="shared" si="6"/>
        <v>0</v>
      </c>
      <c r="O84" s="357">
        <f t="shared" si="7"/>
        <v>0</v>
      </c>
      <c r="P84" s="350"/>
      <c r="Q84" s="350"/>
      <c r="R84" s="356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549M25</v>
      </c>
      <c r="W84" s="943">
        <v>203201</v>
      </c>
      <c r="X84" s="455"/>
      <c r="Y84" s="455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>
        <v>0</v>
      </c>
      <c r="AK84" s="100">
        <v>0</v>
      </c>
      <c r="AL84" s="100">
        <v>0</v>
      </c>
      <c r="AM84" s="100">
        <v>0</v>
      </c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ref="BC84:BC147" si="27">SUM(X84:BB84)</f>
        <v>0</v>
      </c>
      <c r="BD84" s="896">
        <f t="shared" ref="BD84:BD147" si="28">COUNTIF(X84:BB84,"&gt;0")</f>
        <v>0</v>
      </c>
      <c r="BE84" s="896">
        <f t="shared" ref="BE84:BE147" si="29">IFERROR(BC84/BD84,0)</f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1219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549MSILO</v>
      </c>
      <c r="W85" s="943">
        <v>203201</v>
      </c>
      <c r="X85" s="455"/>
      <c r="Y85" s="455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94">
        <v>0</v>
      </c>
      <c r="AI85" s="100">
        <v>0</v>
      </c>
      <c r="AJ85" s="100">
        <v>0</v>
      </c>
      <c r="AK85" s="100">
        <v>0</v>
      </c>
      <c r="AL85" s="100">
        <v>0</v>
      </c>
      <c r="AM85" s="100">
        <v>0</v>
      </c>
      <c r="AN85" s="100"/>
      <c r="AO85" s="494"/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7"/>
        <v>0</v>
      </c>
      <c r="BD85" s="896">
        <f t="shared" si="28"/>
        <v>0</v>
      </c>
      <c r="BE85" s="896">
        <f t="shared" si="29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 t="s">
        <v>81</v>
      </c>
      <c r="E86" s="494"/>
      <c r="F86" s="494">
        <f>+J86</f>
        <v>0</v>
      </c>
      <c r="G86" s="494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604"/>
      <c r="N86" s="354">
        <f t="shared" si="6"/>
        <v>0</v>
      </c>
      <c r="O86" s="357">
        <f t="shared" si="7"/>
        <v>0</v>
      </c>
      <c r="P86" s="496"/>
      <c r="Q86" s="496"/>
      <c r="R86" s="494">
        <f>O86/INTGRATE!$N$293</f>
        <v>0</v>
      </c>
      <c r="S86" s="349">
        <f t="shared" si="19"/>
        <v>0</v>
      </c>
      <c r="T86" s="472"/>
      <c r="U86" s="139"/>
      <c r="V86" s="956" t="str">
        <f t="shared" si="20"/>
        <v>549SILO</v>
      </c>
      <c r="W86" s="943">
        <v>203201</v>
      </c>
      <c r="X86" s="455"/>
      <c r="Y86" s="455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94">
        <v>0</v>
      </c>
      <c r="AI86" s="100">
        <v>0</v>
      </c>
      <c r="AJ86" s="100">
        <v>0</v>
      </c>
      <c r="AK86" s="100">
        <v>0</v>
      </c>
      <c r="AL86" s="100">
        <v>0</v>
      </c>
      <c r="AM86" s="100">
        <v>0</v>
      </c>
      <c r="AN86" s="100"/>
      <c r="AO86" s="494"/>
      <c r="AP86" s="100"/>
      <c r="AQ86" s="494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7"/>
        <v>0</v>
      </c>
      <c r="BD86" s="896">
        <f t="shared" si="28"/>
        <v>0</v>
      </c>
      <c r="BE86" s="896">
        <f t="shared" si="29"/>
        <v>0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61</v>
      </c>
      <c r="D87" s="97">
        <v>25</v>
      </c>
      <c r="E87" s="356">
        <v>328</v>
      </c>
      <c r="F87" s="100">
        <f>SUMIF(pro!$A:$A,$V:$V,pro!$N:$N)</f>
        <v>0</v>
      </c>
      <c r="G87" s="356"/>
      <c r="H87" s="100">
        <f>SUMIF(CBIN!$A:$A,BRAN!$V:$V,CBIN!$G:$G)</f>
        <v>1</v>
      </c>
      <c r="I87" s="100">
        <f>SUMIF(data!$D:$D,$B87&amp;$D87,data!$J:$J)</f>
        <v>198</v>
      </c>
      <c r="J87" s="100">
        <f>SUMIF(data!$D:$D,$B87&amp;$D87,data!$K:$K)</f>
        <v>4950</v>
      </c>
      <c r="K87" s="642">
        <f>SUMIF(AJOUT!$A:$A,BRAN!$V:$V,AJOUT!$L:$L)</f>
        <v>0</v>
      </c>
      <c r="L87" s="642">
        <f>SUMIF(CBOUT!$A:$A,BRAN!$V:$V,CBOUT!$G:$G)</f>
        <v>4</v>
      </c>
      <c r="M87" s="540">
        <f>E87+F87+H87-I87-L87+G87-K87</f>
        <v>127</v>
      </c>
      <c r="N87" s="354">
        <f t="shared" ref="N87:N150" si="30">M87*25</f>
        <v>3175</v>
      </c>
      <c r="O87" s="357">
        <f t="shared" ref="O87:O150" si="31">SUM(X87:BB87)</f>
        <v>84400</v>
      </c>
      <c r="P87" s="350"/>
      <c r="Q87" s="350"/>
      <c r="R87" s="356">
        <f>O87/INTGRATE!$N$293</f>
        <v>5626.666666666667</v>
      </c>
      <c r="S87" s="349">
        <f t="shared" si="19"/>
        <v>0.56427725118483407</v>
      </c>
      <c r="T87" s="606"/>
      <c r="U87" s="139"/>
      <c r="V87" s="956" t="str">
        <f t="shared" si="20"/>
        <v>54925</v>
      </c>
      <c r="W87" s="943">
        <v>203101</v>
      </c>
      <c r="X87" s="455"/>
      <c r="Y87" s="455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>
        <v>14700</v>
      </c>
      <c r="AK87" s="100">
        <v>1125</v>
      </c>
      <c r="AL87" s="100">
        <v>2000</v>
      </c>
      <c r="AM87" s="100">
        <v>4950</v>
      </c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7"/>
        <v>84400</v>
      </c>
      <c r="BD87" s="896">
        <f t="shared" si="28"/>
        <v>14</v>
      </c>
      <c r="BE87" s="896">
        <f t="shared" si="29"/>
        <v>6028.5714285714284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869" t="s">
        <v>1825</v>
      </c>
      <c r="C88" s="96" t="s">
        <v>61</v>
      </c>
      <c r="D88" s="870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642">
        <f>SUMIF(AJOUT!$A:$A,BRAN!$V:$V,AJOUT!$L:$L)</f>
        <v>0</v>
      </c>
      <c r="L88" s="642">
        <f>SUMIF(CBOUT!$A:$A,BRAN!$V:$V,CBOUT!$G:$G)</f>
        <v>0</v>
      </c>
      <c r="M88" s="540">
        <f>E88+F88+H88-I88-L88+G88-K88</f>
        <v>0</v>
      </c>
      <c r="N88" s="354">
        <f t="shared" si="30"/>
        <v>0</v>
      </c>
      <c r="O88" s="357">
        <f t="shared" si="31"/>
        <v>0</v>
      </c>
      <c r="P88" s="350"/>
      <c r="Q88" s="350"/>
      <c r="R88" s="356">
        <f>O88/INTGRATE!$N$293</f>
        <v>0</v>
      </c>
      <c r="S88" s="349">
        <f>IF(R88=0,0,N88/R88)</f>
        <v>0</v>
      </c>
      <c r="T88" s="606"/>
      <c r="U88" s="139"/>
      <c r="V88" s="956" t="str">
        <f t="shared" si="20"/>
        <v>PP2025</v>
      </c>
      <c r="W88" s="943">
        <v>226501</v>
      </c>
      <c r="X88" s="455"/>
      <c r="Y88" s="455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>
        <v>0</v>
      </c>
      <c r="AK88" s="100">
        <v>0</v>
      </c>
      <c r="AL88" s="100">
        <v>0</v>
      </c>
      <c r="AM88" s="100">
        <v>0</v>
      </c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7"/>
        <v>0</v>
      </c>
      <c r="BD88" s="896">
        <f t="shared" si="28"/>
        <v>0</v>
      </c>
      <c r="BE88" s="896">
        <f t="shared" si="29"/>
        <v>0</v>
      </c>
      <c r="BF88" s="38"/>
      <c r="BG88" s="38"/>
      <c r="BH88" s="505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5" t="s">
        <v>583</v>
      </c>
      <c r="C89" s="617" t="s">
        <v>40</v>
      </c>
      <c r="D89" s="168">
        <v>25</v>
      </c>
      <c r="E89" s="356">
        <v>0</v>
      </c>
      <c r="F89" s="100">
        <f>SUMIF(pro!$A:$A,$V:$V,pro!$N:$N)</f>
        <v>0</v>
      </c>
      <c r="G89" s="356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540">
        <f>E89+F89+H89-I89-L89+G89-K89</f>
        <v>0</v>
      </c>
      <c r="N89" s="354">
        <f t="shared" si="30"/>
        <v>0</v>
      </c>
      <c r="O89" s="357">
        <f t="shared" si="31"/>
        <v>0</v>
      </c>
      <c r="P89" s="350"/>
      <c r="Q89" s="350"/>
      <c r="R89" s="356">
        <f>O89/INTGRATE!$N$293</f>
        <v>0</v>
      </c>
      <c r="S89" s="349">
        <f t="shared" si="19"/>
        <v>0</v>
      </c>
      <c r="T89" s="472"/>
      <c r="U89" s="139"/>
      <c r="V89" s="956" t="str">
        <f t="shared" si="20"/>
        <v>550SBox25</v>
      </c>
      <c r="W89" s="943">
        <v>312001</v>
      </c>
      <c r="X89" s="455"/>
      <c r="Y89" s="455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>
        <v>0</v>
      </c>
      <c r="AK89" s="100">
        <v>0</v>
      </c>
      <c r="AL89" s="100">
        <v>0</v>
      </c>
      <c r="AM89" s="100">
        <v>0</v>
      </c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7"/>
        <v>0</v>
      </c>
      <c r="BD89" s="896">
        <f t="shared" si="28"/>
        <v>0</v>
      </c>
      <c r="BE89" s="896">
        <f t="shared" si="29"/>
        <v>0</v>
      </c>
      <c r="BH89" s="505"/>
    </row>
    <row r="90" spans="1:151" s="38" customFormat="1" ht="15" customHeight="1">
      <c r="A90" s="91">
        <v>78</v>
      </c>
      <c r="B90" s="175" t="s">
        <v>10</v>
      </c>
      <c r="C90" s="176" t="s">
        <v>40</v>
      </c>
      <c r="D90" s="701" t="s">
        <v>81</v>
      </c>
      <c r="E90" s="494"/>
      <c r="F90" s="494">
        <f>J90</f>
        <v>13910</v>
      </c>
      <c r="G90" s="494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13910</v>
      </c>
      <c r="K90" s="356">
        <f>SUMIF(AJOUT!$A:$A,BRAN!$V:$V,AJOUT!$L:$L)</f>
        <v>0</v>
      </c>
      <c r="L90" s="356">
        <f>SUMIF(CBOUT!$A:$A,BRAN!$V:$V,CBOUT!$G:$G)</f>
        <v>0</v>
      </c>
      <c r="M90" s="604"/>
      <c r="N90" s="354">
        <f t="shared" si="30"/>
        <v>0</v>
      </c>
      <c r="O90" s="357">
        <f t="shared" si="31"/>
        <v>78290</v>
      </c>
      <c r="P90" s="496"/>
      <c r="Q90" s="496"/>
      <c r="R90" s="494">
        <f>O90/INTGRATE!$N$293</f>
        <v>5219.333333333333</v>
      </c>
      <c r="S90" s="349">
        <f t="shared" si="19"/>
        <v>0</v>
      </c>
      <c r="T90" s="472"/>
      <c r="U90" s="139"/>
      <c r="V90" s="956" t="str">
        <f t="shared" si="20"/>
        <v>550SSILO</v>
      </c>
      <c r="W90" s="943">
        <v>312001</v>
      </c>
      <c r="X90" s="455"/>
      <c r="Y90" s="455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94">
        <v>22460</v>
      </c>
      <c r="AI90" s="100">
        <v>0</v>
      </c>
      <c r="AJ90" s="100">
        <v>0</v>
      </c>
      <c r="AK90" s="100">
        <v>0</v>
      </c>
      <c r="AL90" s="100">
        <v>0</v>
      </c>
      <c r="AM90" s="100">
        <v>13910</v>
      </c>
      <c r="AN90" s="100"/>
      <c r="AO90" s="494"/>
      <c r="AP90" s="100"/>
      <c r="AQ90" s="494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7"/>
        <v>78290</v>
      </c>
      <c r="BD90" s="896">
        <f t="shared" si="28"/>
        <v>5</v>
      </c>
      <c r="BE90" s="896">
        <f t="shared" si="29"/>
        <v>15658</v>
      </c>
      <c r="BH90" s="505"/>
    </row>
    <row r="91" spans="1:151" s="38" customFormat="1" ht="15" customHeight="1">
      <c r="A91" s="91">
        <v>79</v>
      </c>
      <c r="B91" s="175" t="s">
        <v>10</v>
      </c>
      <c r="C91" s="617" t="s">
        <v>40</v>
      </c>
      <c r="D91" s="168">
        <v>25</v>
      </c>
      <c r="E91" s="356">
        <v>727</v>
      </c>
      <c r="F91" s="100">
        <f>SUMIF(pro!$A:$A,$V:$V,pro!$N:$N)</f>
        <v>0</v>
      </c>
      <c r="G91" s="356"/>
      <c r="H91" s="100">
        <f>SUMIF(CBIN!$A:$A,BRAN!$V:$V,CBIN!$G:$G)</f>
        <v>0</v>
      </c>
      <c r="I91" s="100">
        <f>SUMIF(data!$D:$D,$B91&amp;$D91,data!$J:$J)</f>
        <v>37</v>
      </c>
      <c r="J91" s="100">
        <f>SUMIF(data!$D:$D,$B91&amp;$D91,data!$K:$K)</f>
        <v>925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690</v>
      </c>
      <c r="N91" s="354">
        <f t="shared" si="30"/>
        <v>17250</v>
      </c>
      <c r="O91" s="357">
        <f t="shared" si="31"/>
        <v>27175</v>
      </c>
      <c r="P91" s="350"/>
      <c r="Q91" s="350"/>
      <c r="R91" s="356">
        <f>O91/INTGRATE!$N$293</f>
        <v>1811.6666666666667</v>
      </c>
      <c r="S91" s="349">
        <f t="shared" si="19"/>
        <v>9.5216191352345909</v>
      </c>
      <c r="T91" s="472"/>
      <c r="U91" s="139"/>
      <c r="V91" s="956" t="str">
        <f t="shared" si="20"/>
        <v>550S25</v>
      </c>
      <c r="W91" s="943">
        <v>312001</v>
      </c>
      <c r="X91" s="455"/>
      <c r="Y91" s="455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>
        <v>1950</v>
      </c>
      <c r="AK91" s="100">
        <v>2725</v>
      </c>
      <c r="AL91" s="100">
        <v>550</v>
      </c>
      <c r="AM91" s="100">
        <v>925</v>
      </c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7"/>
        <v>27175</v>
      </c>
      <c r="BD91" s="896">
        <f t="shared" si="28"/>
        <v>14</v>
      </c>
      <c r="BE91" s="896">
        <f t="shared" si="29"/>
        <v>1941.0714285714287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168">
        <v>25</v>
      </c>
      <c r="E92" s="356">
        <v>0</v>
      </c>
      <c r="F92" s="100">
        <f>SUMIF(pro!$A:$A,$V:$V,pro!$N:$N)</f>
        <v>0</v>
      </c>
      <c r="G92" s="356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356">
        <f>SUMIF(AJOUT!$A:$A,BRAN!$V:$V,AJOUT!$L:$L)</f>
        <v>0</v>
      </c>
      <c r="L92" s="356">
        <f>SUMIF(CBOUT!$A:$A,BRAN!$V:$V,CBOUT!$G:$G)</f>
        <v>0</v>
      </c>
      <c r="M92" s="540">
        <f>E92+F92+H92-I92-L92+G92-K92</f>
        <v>0</v>
      </c>
      <c r="N92" s="354">
        <f t="shared" si="30"/>
        <v>0</v>
      </c>
      <c r="O92" s="357">
        <f t="shared" si="31"/>
        <v>21975</v>
      </c>
      <c r="P92" s="350"/>
      <c r="Q92" s="350"/>
      <c r="R92" s="356">
        <f>O92/INTGRATE!$N$293</f>
        <v>1465</v>
      </c>
      <c r="S92" s="349">
        <f>IF(R92=0,0,N92/R92)</f>
        <v>0</v>
      </c>
      <c r="T92" s="472"/>
      <c r="U92" s="139"/>
      <c r="V92" s="956" t="str">
        <f t="shared" si="20"/>
        <v>550SX25</v>
      </c>
      <c r="W92" s="943">
        <v>312008</v>
      </c>
      <c r="X92" s="455"/>
      <c r="Y92" s="455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>
        <v>0</v>
      </c>
      <c r="AK92" s="100">
        <v>0</v>
      </c>
      <c r="AL92" s="100">
        <v>0</v>
      </c>
      <c r="AM92" s="100">
        <v>0</v>
      </c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7"/>
        <v>21975</v>
      </c>
      <c r="BD92" s="896">
        <f t="shared" si="28"/>
        <v>2</v>
      </c>
      <c r="BE92" s="896">
        <f t="shared" si="29"/>
        <v>10987.5</v>
      </c>
      <c r="BF92" s="85"/>
      <c r="BH92" s="505"/>
    </row>
    <row r="93" spans="1:151" s="38" customFormat="1" ht="15" customHeight="1">
      <c r="A93" s="91">
        <v>81</v>
      </c>
      <c r="B93" s="175" t="s">
        <v>1649</v>
      </c>
      <c r="C93" s="617" t="s">
        <v>40</v>
      </c>
      <c r="D93" s="701" t="s">
        <v>81</v>
      </c>
      <c r="E93" s="356"/>
      <c r="F93" s="100">
        <f>+J93</f>
        <v>0</v>
      </c>
      <c r="G93" s="356"/>
      <c r="H93" s="100"/>
      <c r="I93" s="100">
        <f>SUMIF(data!$D:$D,$B93&amp;$D93,data!$J:$J)</f>
        <v>0</v>
      </c>
      <c r="J93" s="100">
        <f>SUMIF(data!$D:$D,$B93&amp;$D93,data!$K:$K)</f>
        <v>0</v>
      </c>
      <c r="K93" s="356"/>
      <c r="L93" s="356"/>
      <c r="M93" s="540"/>
      <c r="N93" s="354"/>
      <c r="O93" s="357">
        <f t="shared" ref="O93:O94" si="32">SUM(X93:BB93)</f>
        <v>13710</v>
      </c>
      <c r="P93" s="350"/>
      <c r="Q93" s="350"/>
      <c r="R93" s="356">
        <f>O93/INTGRATE!$N$293</f>
        <v>914</v>
      </c>
      <c r="S93" s="349">
        <f t="shared" ref="S93:S94" si="33">IF(R93=0,0,N93/R93)</f>
        <v>0</v>
      </c>
      <c r="T93" s="472"/>
      <c r="U93" s="139"/>
      <c r="V93" s="956" t="str">
        <f t="shared" si="20"/>
        <v>550SXSILO</v>
      </c>
      <c r="W93" s="943">
        <v>312008</v>
      </c>
      <c r="X93" s="455"/>
      <c r="Y93" s="455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>
        <v>6770</v>
      </c>
      <c r="AK93" s="100">
        <v>0</v>
      </c>
      <c r="AL93" s="100">
        <v>0</v>
      </c>
      <c r="AM93" s="100">
        <v>0</v>
      </c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7"/>
        <v>13710</v>
      </c>
      <c r="BD93" s="896">
        <f t="shared" si="28"/>
        <v>2</v>
      </c>
      <c r="BE93" s="896">
        <f t="shared" si="29"/>
        <v>6855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168">
        <v>25</v>
      </c>
      <c r="E94" s="356">
        <v>1305</v>
      </c>
      <c r="F94" s="100">
        <f>SUMIF(pro!$A:$A,$V:$V,pro!$N:$N)</f>
        <v>0</v>
      </c>
      <c r="G94" s="356"/>
      <c r="H94" s="100">
        <f>SUMIF(CBIN!$A:$A,BRAN!$V:$V,CBIN!$G:$G)</f>
        <v>0</v>
      </c>
      <c r="I94" s="100">
        <f>SUMIF(data!$D:$D,$B94&amp;$D94,data!$J:$J)</f>
        <v>42</v>
      </c>
      <c r="J94" s="100">
        <f>SUMIF(data!$D:$D,$B94&amp;$D94,data!$K:$K)</f>
        <v>1050</v>
      </c>
      <c r="K94" s="356">
        <f>SUMIF(AJOUT!$A:$A,BRAN!$V:$V,AJOUT!$L:$L)</f>
        <v>0</v>
      </c>
      <c r="L94" s="356">
        <f>SUMIF(CBOUT!$A:$A,BRAN!$V:$V,CBOUT!$G:$G)</f>
        <v>0</v>
      </c>
      <c r="M94" s="540">
        <f t="shared" ref="M94:M105" si="34">E94+F94+H94-I94-L94+G94-K94</f>
        <v>1263</v>
      </c>
      <c r="N94" s="354">
        <f t="shared" si="30"/>
        <v>31575</v>
      </c>
      <c r="O94" s="357">
        <f t="shared" si="32"/>
        <v>79125</v>
      </c>
      <c r="P94" s="350"/>
      <c r="Q94" s="350"/>
      <c r="R94" s="356">
        <f>O94/INTGRATE!$N$293</f>
        <v>5275</v>
      </c>
      <c r="S94" s="349">
        <f t="shared" si="33"/>
        <v>5.9857819905213274</v>
      </c>
      <c r="T94" s="472"/>
      <c r="U94" s="139"/>
      <c r="V94" s="956" t="str">
        <f t="shared" si="20"/>
        <v>550Pro25</v>
      </c>
      <c r="W94" s="943">
        <v>312021</v>
      </c>
      <c r="X94" s="455"/>
      <c r="Y94" s="455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>
        <v>4625</v>
      </c>
      <c r="AK94" s="100">
        <v>3175</v>
      </c>
      <c r="AL94" s="100">
        <v>3300</v>
      </c>
      <c r="AM94" s="100">
        <v>1050</v>
      </c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7"/>
        <v>79125</v>
      </c>
      <c r="BD94" s="896">
        <f t="shared" si="28"/>
        <v>14</v>
      </c>
      <c r="BE94" s="896">
        <f t="shared" si="29"/>
        <v>5651.7857142857147</v>
      </c>
      <c r="BF94" s="85"/>
      <c r="BH94" s="505"/>
    </row>
    <row r="95" spans="1:151" s="38" customFormat="1" ht="15" customHeight="1">
      <c r="A95" s="91">
        <v>83</v>
      </c>
      <c r="B95" s="175" t="s">
        <v>1456</v>
      </c>
      <c r="C95" s="617" t="s">
        <v>40</v>
      </c>
      <c r="D95" s="701" t="s">
        <v>901</v>
      </c>
      <c r="E95" s="356">
        <v>0</v>
      </c>
      <c r="F95" s="494">
        <f>+J95</f>
        <v>0</v>
      </c>
      <c r="G95" s="356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v>0</v>
      </c>
      <c r="N95" s="354">
        <f t="shared" si="30"/>
        <v>0</v>
      </c>
      <c r="O95" s="357">
        <f t="shared" si="31"/>
        <v>47710</v>
      </c>
      <c r="P95" s="350"/>
      <c r="Q95" s="350"/>
      <c r="R95" s="356">
        <f>O95/INTGRATE!$N$293</f>
        <v>3180.6666666666665</v>
      </c>
      <c r="S95" s="349">
        <f t="shared" si="19"/>
        <v>0</v>
      </c>
      <c r="T95" s="472"/>
      <c r="U95" s="139"/>
      <c r="V95" s="956" t="str">
        <f t="shared" si="20"/>
        <v>550Prosilo</v>
      </c>
      <c r="W95" s="943">
        <v>312021</v>
      </c>
      <c r="X95" s="455"/>
      <c r="Y95" s="455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/>
      <c r="AO95" s="494"/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7"/>
        <v>47710</v>
      </c>
      <c r="BD95" s="896">
        <f t="shared" si="28"/>
        <v>3</v>
      </c>
      <c r="BE95" s="896">
        <f t="shared" si="29"/>
        <v>15903.333333333334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63">
        <v>25</v>
      </c>
      <c r="E96" s="356">
        <v>0</v>
      </c>
      <c r="F96" s="100">
        <f>SUMIF(pro!$A:$A,$V:$V,pro!$N:$N)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>
        <f t="shared" si="34"/>
        <v>0</v>
      </c>
      <c r="N96" s="354">
        <f t="shared" si="30"/>
        <v>0</v>
      </c>
      <c r="O96" s="357">
        <f t="shared" si="31"/>
        <v>0</v>
      </c>
      <c r="P96" s="762"/>
      <c r="Q96" s="762"/>
      <c r="R96" s="642">
        <f>O96/INTGRATE!$N$293</f>
        <v>0</v>
      </c>
      <c r="S96" s="349">
        <f t="shared" si="19"/>
        <v>0</v>
      </c>
      <c r="T96" s="472"/>
      <c r="U96" s="139"/>
      <c r="V96" s="956" t="str">
        <f t="shared" si="20"/>
        <v>550XPro25</v>
      </c>
      <c r="W96" s="943">
        <v>312028</v>
      </c>
      <c r="X96" s="455"/>
      <c r="Y96" s="455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/>
      <c r="AO96" s="494"/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7"/>
        <v>0</v>
      </c>
      <c r="BD96" s="896">
        <f t="shared" si="28"/>
        <v>0</v>
      </c>
      <c r="BE96" s="896">
        <f t="shared" si="29"/>
        <v>0</v>
      </c>
      <c r="BF96" s="85"/>
      <c r="BH96" s="505"/>
    </row>
    <row r="97" spans="1:60" s="38" customFormat="1" ht="15" customHeight="1">
      <c r="A97" s="91">
        <v>85</v>
      </c>
      <c r="B97" s="175" t="s">
        <v>1640</v>
      </c>
      <c r="C97" s="617" t="s">
        <v>40</v>
      </c>
      <c r="D97" s="701" t="s">
        <v>901</v>
      </c>
      <c r="E97" s="356"/>
      <c r="F97" s="494">
        <f>+J97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/>
      <c r="N97" s="354">
        <f t="shared" ref="N97:N98" si="35">M97*25</f>
        <v>0</v>
      </c>
      <c r="O97" s="357">
        <f t="shared" ref="O97:O98" si="36">SUM(X97:BB97)</f>
        <v>6030</v>
      </c>
      <c r="P97" s="762"/>
      <c r="Q97" s="762"/>
      <c r="R97" s="642">
        <f>O97/INTGRATE!$N$293</f>
        <v>402</v>
      </c>
      <c r="S97" s="349">
        <f t="shared" ref="S97:S98" si="37">IF(R97=0,0,N97/R97)</f>
        <v>0</v>
      </c>
      <c r="T97" s="472"/>
      <c r="U97" s="139"/>
      <c r="V97" s="956" t="str">
        <f t="shared" ref="V97" si="38">B97&amp;D97</f>
        <v>550XProsilo</v>
      </c>
      <c r="W97" s="943">
        <v>312028</v>
      </c>
      <c r="X97" s="455"/>
      <c r="Y97" s="455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/>
      <c r="AO97" s="494"/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7"/>
        <v>6030</v>
      </c>
      <c r="BD97" s="896">
        <f t="shared" si="28"/>
        <v>1</v>
      </c>
      <c r="BE97" s="896">
        <f t="shared" si="29"/>
        <v>6030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63">
        <v>25</v>
      </c>
      <c r="E98" s="356">
        <v>0</v>
      </c>
      <c r="F98" s="100">
        <f>SUMIF(pro!$A:$A,$V:$V,pro!$N:$N)</f>
        <v>0</v>
      </c>
      <c r="G98" s="642"/>
      <c r="H98" s="100">
        <f>SUMIF(CBIN!$A:$A,BRAN!$V:$V,CBIN!$G:$G)</f>
        <v>0</v>
      </c>
      <c r="I98" s="100">
        <f>SUMIF(data!$D:$D,$B98&amp;$D98,data!$J:$J)</f>
        <v>0</v>
      </c>
      <c r="J98" s="100">
        <f>SUMIF(data!$D:$D,$B98&amp;$D98,data!$K:$K)</f>
        <v>0</v>
      </c>
      <c r="K98" s="356">
        <f>SUMIF(AJOUT!$A:$A,BRAN!$V:$V,AJOUT!$L:$L)</f>
        <v>0</v>
      </c>
      <c r="L98" s="356">
        <f>SUMIF(CBOUT!$A:$A,BRAN!$V:$V,CBOUT!$G:$G)</f>
        <v>0</v>
      </c>
      <c r="M98" s="540">
        <f t="shared" si="34"/>
        <v>0</v>
      </c>
      <c r="N98" s="354">
        <f t="shared" si="35"/>
        <v>0</v>
      </c>
      <c r="O98" s="357">
        <f t="shared" si="36"/>
        <v>28150</v>
      </c>
      <c r="P98" s="762"/>
      <c r="Q98" s="762"/>
      <c r="R98" s="642">
        <f>O98/INTGRATE!$N$293</f>
        <v>1876.6666666666667</v>
      </c>
      <c r="S98" s="349">
        <f t="shared" si="37"/>
        <v>0</v>
      </c>
      <c r="T98" s="472"/>
      <c r="U98" s="139"/>
      <c r="V98" s="956" t="str">
        <f t="shared" si="20"/>
        <v>551X25</v>
      </c>
      <c r="W98" s="943">
        <v>314008</v>
      </c>
      <c r="X98" s="455"/>
      <c r="Y98" s="455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>
        <v>0</v>
      </c>
      <c r="AK98" s="100">
        <v>0</v>
      </c>
      <c r="AL98" s="100">
        <v>0</v>
      </c>
      <c r="AM98" s="100">
        <v>0</v>
      </c>
      <c r="AN98" s="100"/>
      <c r="AO98" s="494"/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7"/>
        <v>28150</v>
      </c>
      <c r="BD98" s="896">
        <f t="shared" si="28"/>
        <v>3</v>
      </c>
      <c r="BE98" s="896">
        <f t="shared" si="29"/>
        <v>9383.3333333333339</v>
      </c>
      <c r="BF98" s="85"/>
      <c r="BH98" s="505"/>
    </row>
    <row r="99" spans="1:60" s="38" customFormat="1" ht="15" customHeight="1">
      <c r="A99" s="91">
        <v>87</v>
      </c>
      <c r="B99" s="175" t="s">
        <v>1639</v>
      </c>
      <c r="C99" s="617" t="s">
        <v>1314</v>
      </c>
      <c r="D99" s="701" t="s">
        <v>81</v>
      </c>
      <c r="E99" s="356"/>
      <c r="F99" s="100">
        <f>+J99</f>
        <v>0</v>
      </c>
      <c r="G99" s="642"/>
      <c r="H99" s="100"/>
      <c r="I99" s="100"/>
      <c r="J99" s="100">
        <f>SUMIF(data!$D:$D,$B99&amp;$D99,data!$K:$K)</f>
        <v>0</v>
      </c>
      <c r="K99" s="356"/>
      <c r="L99" s="356"/>
      <c r="M99" s="540"/>
      <c r="N99" s="354">
        <f t="shared" si="30"/>
        <v>0</v>
      </c>
      <c r="O99" s="357">
        <f t="shared" si="31"/>
        <v>0</v>
      </c>
      <c r="P99" s="762"/>
      <c r="Q99" s="762"/>
      <c r="R99" s="642"/>
      <c r="S99" s="349">
        <f t="shared" si="19"/>
        <v>0</v>
      </c>
      <c r="T99" s="472"/>
      <c r="U99" s="139"/>
      <c r="V99" s="956" t="str">
        <f t="shared" si="20"/>
        <v>551XSILO</v>
      </c>
      <c r="W99" s="943">
        <v>314008</v>
      </c>
      <c r="X99" s="455"/>
      <c r="Y99" s="455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/>
      <c r="AO99" s="494"/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7"/>
        <v>0</v>
      </c>
      <c r="BD99" s="896">
        <f t="shared" si="28"/>
        <v>0</v>
      </c>
      <c r="BE99" s="896">
        <f t="shared" si="29"/>
        <v>0</v>
      </c>
      <c r="BF99" s="85"/>
      <c r="BH99" s="505"/>
    </row>
    <row r="100" spans="1:60" s="38" customFormat="1" ht="15" customHeight="1">
      <c r="A100" s="91">
        <v>88</v>
      </c>
      <c r="B100" s="175" t="s">
        <v>1810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 t="shared" si="30"/>
        <v>0</v>
      </c>
      <c r="O100" s="357">
        <f t="shared" si="31"/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551X2625</v>
      </c>
      <c r="W100" s="943">
        <v>31400126</v>
      </c>
      <c r="X100" s="455"/>
      <c r="Y100" s="455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/>
      <c r="AO100" s="494"/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7"/>
        <v>0</v>
      </c>
      <c r="BD100" s="896">
        <f t="shared" si="28"/>
        <v>0</v>
      </c>
      <c r="BE100" s="896">
        <f t="shared" si="29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63">
        <v>25</v>
      </c>
      <c r="E101" s="356">
        <v>0</v>
      </c>
      <c r="F101" s="100">
        <f>SUMIF(pro!$A:$A,$V:$V,pro!$N:$N)</f>
        <v>0</v>
      </c>
      <c r="G101" s="642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356">
        <f>SUMIF(AJOUT!$A:$A,BRAN!$V:$V,AJOUT!$L:$L)</f>
        <v>0</v>
      </c>
      <c r="L101" s="356">
        <f>SUMIF(CBOUT!$A:$A,BRAN!$V:$V,CBOUT!$G:$G)</f>
        <v>0</v>
      </c>
      <c r="M101" s="540">
        <f>E101+F101+H101-I101-L101+G101-K101</f>
        <v>0</v>
      </c>
      <c r="N101" s="354">
        <f>M101*25</f>
        <v>0</v>
      </c>
      <c r="O101" s="357">
        <f>SUM(X101:BB101)</f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551XPRO25</v>
      </c>
      <c r="W101" s="943">
        <v>314028</v>
      </c>
      <c r="X101" s="455"/>
      <c r="Y101" s="455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/>
      <c r="AO101" s="494"/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7"/>
        <v>0</v>
      </c>
      <c r="BD101" s="896">
        <f t="shared" si="28"/>
        <v>0</v>
      </c>
      <c r="BE101" s="896">
        <f t="shared" si="29"/>
        <v>0</v>
      </c>
      <c r="BF101" s="85"/>
      <c r="BH101" s="505"/>
    </row>
    <row r="102" spans="1:60" s="38" customFormat="1" ht="15" customHeight="1">
      <c r="A102" s="91">
        <v>90</v>
      </c>
      <c r="B102" s="175" t="s">
        <v>1666</v>
      </c>
      <c r="C102" s="617" t="s">
        <v>1314</v>
      </c>
      <c r="D102" s="701" t="s">
        <v>81</v>
      </c>
      <c r="E102" s="356">
        <v>0</v>
      </c>
      <c r="F102" s="494">
        <f>+J102</f>
        <v>0</v>
      </c>
      <c r="G102" s="494"/>
      <c r="H102" s="100">
        <f>SUMIF(CBIN!$A:$A,BRAN!$V:$V,CBIN!$G:$G)</f>
        <v>0</v>
      </c>
      <c r="I102" s="494">
        <f>SUMIF(data!$D:$D,$B102&amp;$D102,data!$J:$J)</f>
        <v>0</v>
      </c>
      <c r="J102" s="494">
        <f>SUMIF(data!$D:$D,$B102&amp;$D102,data!$K:$K)</f>
        <v>0</v>
      </c>
      <c r="K102" s="356">
        <f>SUMIF(AJOUT!$A:$A,BRAN!$V:$V,AJOUT!$L:$L)</f>
        <v>0</v>
      </c>
      <c r="L102" s="494">
        <f>SUMIF(CBOUT!$A:$A,BRAN!$V:$V,CBOUT!$G:$G)</f>
        <v>0</v>
      </c>
      <c r="M102" s="604">
        <v>0</v>
      </c>
      <c r="N102" s="354">
        <f t="shared" si="30"/>
        <v>0</v>
      </c>
      <c r="O102" s="357">
        <f t="shared" si="31"/>
        <v>0</v>
      </c>
      <c r="P102" s="762"/>
      <c r="Q102" s="762"/>
      <c r="R102" s="642">
        <f>O102/INTGRATE!$N$293</f>
        <v>0</v>
      </c>
      <c r="S102" s="349">
        <f>IF(R102=0,0,N102/R102)</f>
        <v>0</v>
      </c>
      <c r="T102" s="472"/>
      <c r="U102" s="139"/>
      <c r="V102" s="956" t="str">
        <f t="shared" si="20"/>
        <v>551XPROSILO</v>
      </c>
      <c r="W102" s="943">
        <v>314028</v>
      </c>
      <c r="X102" s="455"/>
      <c r="Y102" s="455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/>
      <c r="AO102" s="494"/>
      <c r="AP102" s="100"/>
      <c r="AQ102" s="100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7"/>
        <v>0</v>
      </c>
      <c r="BD102" s="896">
        <f t="shared" si="28"/>
        <v>0</v>
      </c>
      <c r="BE102" s="896">
        <f t="shared" si="29"/>
        <v>0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701" t="s">
        <v>81</v>
      </c>
      <c r="E103" s="494">
        <v>0</v>
      </c>
      <c r="F103" s="494">
        <f>+J103</f>
        <v>0</v>
      </c>
      <c r="G103" s="494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356">
        <f>SUMIF(AJOUT!$A:$A,BRAN!$V:$V,AJOUT!$L:$L)</f>
        <v>0</v>
      </c>
      <c r="L103" s="356">
        <f>SUMIF(CBOUT!$A:$A,BRAN!$V:$V,CBOUT!$G:$G)</f>
        <v>0</v>
      </c>
      <c r="M103" s="540">
        <v>0</v>
      </c>
      <c r="N103" s="354">
        <f t="shared" si="30"/>
        <v>0</v>
      </c>
      <c r="O103" s="357">
        <f t="shared" si="31"/>
        <v>56520</v>
      </c>
      <c r="P103" s="496"/>
      <c r="Q103" s="496"/>
      <c r="R103" s="494">
        <f>O103/INTGRATE!$N$293</f>
        <v>3768</v>
      </c>
      <c r="S103" s="349">
        <f t="shared" si="19"/>
        <v>0</v>
      </c>
      <c r="T103" s="472"/>
      <c r="U103" s="139"/>
      <c r="V103" s="956" t="str">
        <f t="shared" si="20"/>
        <v>551SILO</v>
      </c>
      <c r="W103" s="943">
        <v>314001</v>
      </c>
      <c r="X103" s="455"/>
      <c r="Y103" s="455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94">
        <v>10000</v>
      </c>
      <c r="AI103" s="100">
        <v>0</v>
      </c>
      <c r="AJ103" s="100">
        <v>10020</v>
      </c>
      <c r="AK103" s="100">
        <v>0</v>
      </c>
      <c r="AL103" s="100">
        <v>9980</v>
      </c>
      <c r="AM103" s="100">
        <v>0</v>
      </c>
      <c r="AN103" s="100"/>
      <c r="AO103" s="494"/>
      <c r="AP103" s="100"/>
      <c r="AQ103" s="494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7"/>
        <v>56520</v>
      </c>
      <c r="BD103" s="896">
        <f t="shared" si="28"/>
        <v>7</v>
      </c>
      <c r="BE103" s="896">
        <f t="shared" si="29"/>
        <v>8074.2857142857147</v>
      </c>
      <c r="BF103" s="85"/>
      <c r="BH103" s="505"/>
    </row>
    <row r="104" spans="1:60" s="38" customFormat="1" ht="15" customHeight="1">
      <c r="A104" s="91">
        <v>92</v>
      </c>
      <c r="B104" s="175">
        <v>551</v>
      </c>
      <c r="C104" s="617" t="s">
        <v>1314</v>
      </c>
      <c r="D104" s="168">
        <v>25</v>
      </c>
      <c r="E104" s="100">
        <v>713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334</v>
      </c>
      <c r="J104" s="100">
        <f>SUMIF(data!$D:$D,$B104&amp;$D104,data!$K:$K)</f>
        <v>8350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4"/>
        <v>379</v>
      </c>
      <c r="N104" s="354">
        <f t="shared" si="30"/>
        <v>9475</v>
      </c>
      <c r="O104" s="357">
        <f t="shared" si="31"/>
        <v>148700</v>
      </c>
      <c r="P104" s="350"/>
      <c r="Q104" s="350"/>
      <c r="R104" s="356">
        <f>O104/INTGRATE!$N$293</f>
        <v>9913.3333333333339</v>
      </c>
      <c r="S104" s="349">
        <f t="shared" si="19"/>
        <v>0.95578345662407527</v>
      </c>
      <c r="T104" s="471"/>
      <c r="U104" s="139"/>
      <c r="V104" s="956" t="str">
        <f t="shared" si="20"/>
        <v>55125</v>
      </c>
      <c r="W104" s="943">
        <v>314001</v>
      </c>
      <c r="X104" s="455"/>
      <c r="Y104" s="455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>
        <v>8225</v>
      </c>
      <c r="AK104" s="100">
        <v>13475</v>
      </c>
      <c r="AL104" s="100">
        <v>4750</v>
      </c>
      <c r="AM104" s="100">
        <v>8350</v>
      </c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7"/>
        <v>148700</v>
      </c>
      <c r="BD104" s="896">
        <f t="shared" si="28"/>
        <v>14</v>
      </c>
      <c r="BE104" s="896">
        <f t="shared" si="29"/>
        <v>10621.428571428571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168">
        <v>25</v>
      </c>
      <c r="E105" s="100">
        <v>980</v>
      </c>
      <c r="F105" s="100">
        <f>SUMIF(pro!$A:$A,$V:$V,pro!$N:$N)</f>
        <v>0</v>
      </c>
      <c r="G105" s="356"/>
      <c r="H105" s="100">
        <f>SUMIF(CBIN!$A:$A,BRAN!$V:$V,CBIN!$G:$G)</f>
        <v>0</v>
      </c>
      <c r="I105" s="100">
        <f>SUMIF(data!$D:$D,$B105&amp;$D105,data!$J:$J)</f>
        <v>20</v>
      </c>
      <c r="J105" s="100">
        <f>SUMIF(data!$D:$D,$B105&amp;$D105,data!$K:$K)</f>
        <v>500</v>
      </c>
      <c r="K105" s="356">
        <f>SUMIF(AJOUT!$A:$A,BRAN!$V:$V,AJOUT!$L:$L)</f>
        <v>0</v>
      </c>
      <c r="L105" s="356">
        <f>SUMIF(CBOUT!$A:$A,BRAN!$V:$V,CBOUT!$G:$G)</f>
        <v>0</v>
      </c>
      <c r="M105" s="540">
        <f t="shared" si="34"/>
        <v>960</v>
      </c>
      <c r="N105" s="354">
        <f t="shared" si="30"/>
        <v>24000</v>
      </c>
      <c r="O105" s="357">
        <f t="shared" si="31"/>
        <v>46175</v>
      </c>
      <c r="P105" s="350"/>
      <c r="Q105" s="350"/>
      <c r="R105" s="356">
        <f>O105/INTGRATE!$N$293</f>
        <v>3078.3333333333335</v>
      </c>
      <c r="S105" s="349">
        <f t="shared" si="19"/>
        <v>7.7964266377910123</v>
      </c>
      <c r="T105" s="472"/>
      <c r="U105" s="139"/>
      <c r="V105" s="956" t="str">
        <f t="shared" si="20"/>
        <v>551Pro25</v>
      </c>
      <c r="W105" s="943">
        <v>314021</v>
      </c>
      <c r="X105" s="455"/>
      <c r="Y105" s="455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>
        <v>10375</v>
      </c>
      <c r="AK105" s="100">
        <v>0</v>
      </c>
      <c r="AL105" s="100">
        <v>0</v>
      </c>
      <c r="AM105" s="100">
        <v>500</v>
      </c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7"/>
        <v>46175</v>
      </c>
      <c r="BD105" s="896">
        <f t="shared" si="28"/>
        <v>11</v>
      </c>
      <c r="BE105" s="896">
        <f t="shared" si="29"/>
        <v>4197.727272727273</v>
      </c>
      <c r="BF105" s="85"/>
      <c r="BH105" s="505"/>
    </row>
    <row r="106" spans="1:60" s="38" customFormat="1" ht="15" customHeight="1">
      <c r="A106" s="91">
        <v>94</v>
      </c>
      <c r="B106" s="175" t="s">
        <v>1468</v>
      </c>
      <c r="C106" s="617" t="s">
        <v>1314</v>
      </c>
      <c r="D106" s="701" t="s">
        <v>901</v>
      </c>
      <c r="E106" s="100">
        <v>0</v>
      </c>
      <c r="F106" s="494">
        <f>+J106</f>
        <v>0</v>
      </c>
      <c r="G106" s="494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356">
        <f>SUMIF(AJOUT!$A:$A,BRAN!$V:$V,AJOUT!$L:$L)</f>
        <v>0</v>
      </c>
      <c r="L106" s="356">
        <f>SUMIF(CBOUT!$A:$A,BRAN!$V:$V,CBOUT!$G:$G)</f>
        <v>0</v>
      </c>
      <c r="M106" s="604">
        <v>0</v>
      </c>
      <c r="N106" s="354">
        <f t="shared" si="30"/>
        <v>0</v>
      </c>
      <c r="O106" s="357">
        <f t="shared" si="31"/>
        <v>12640</v>
      </c>
      <c r="P106" s="350"/>
      <c r="Q106" s="350"/>
      <c r="R106" s="356">
        <f>O106/INTGRATE!$N$293</f>
        <v>842.66666666666663</v>
      </c>
      <c r="S106" s="349">
        <f t="shared" si="19"/>
        <v>0</v>
      </c>
      <c r="T106" s="471"/>
      <c r="U106" s="139"/>
      <c r="V106" s="956" t="str">
        <f t="shared" si="20"/>
        <v>551Prosilo</v>
      </c>
      <c r="W106" s="943">
        <v>314021</v>
      </c>
      <c r="X106" s="455"/>
      <c r="Y106" s="455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/>
      <c r="AO106" s="494"/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7"/>
        <v>12640</v>
      </c>
      <c r="BD106" s="896">
        <f t="shared" si="28"/>
        <v>1</v>
      </c>
      <c r="BE106" s="896">
        <f t="shared" si="29"/>
        <v>12640</v>
      </c>
      <c r="BF106" s="85"/>
      <c r="BH106" s="505"/>
    </row>
    <row r="107" spans="1:60" s="38" customFormat="1" ht="15" customHeight="1">
      <c r="A107" s="91">
        <v>95</v>
      </c>
      <c r="B107" s="175" t="s">
        <v>2639</v>
      </c>
      <c r="C107" s="617" t="s">
        <v>1314</v>
      </c>
      <c r="D107" s="763">
        <v>25</v>
      </c>
      <c r="E107" s="100">
        <v>0</v>
      </c>
      <c r="F107" s="100">
        <f>SUMIF(pro!$A:$A,$V:$V,pro!$N:$N)</f>
        <v>0</v>
      </c>
      <c r="G107" s="494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356">
        <v>0</v>
      </c>
      <c r="L107" s="356">
        <f>SUMIF(CBOUT!$A:$A,BRAN!$V:$V,CBOUT!$G:$G)</f>
        <v>0</v>
      </c>
      <c r="M107" s="540">
        <f>E107+F107+H107-I107-L107+G107-K107</f>
        <v>0</v>
      </c>
      <c r="N107" s="354">
        <f t="shared" ref="N107" si="39">M107*25</f>
        <v>0</v>
      </c>
      <c r="O107" s="357">
        <f t="shared" ref="O107" si="40">SUM(X107:BB107)</f>
        <v>0</v>
      </c>
      <c r="P107" s="350"/>
      <c r="Q107" s="350"/>
      <c r="R107" s="356">
        <f>O107/INTGRATE!$N$293</f>
        <v>0</v>
      </c>
      <c r="S107" s="349">
        <f t="shared" ref="S107" si="41">IF(R107=0,0,N107/R107)</f>
        <v>0</v>
      </c>
      <c r="T107" s="471"/>
      <c r="U107" s="139"/>
      <c r="V107" s="956" t="str">
        <f t="shared" si="20"/>
        <v>551GPX25</v>
      </c>
      <c r="W107" s="943">
        <v>314018</v>
      </c>
      <c r="X107" s="455"/>
      <c r="Y107" s="455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/>
      <c r="AO107" s="494"/>
      <c r="AP107" s="100"/>
      <c r="AQ107" s="100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7"/>
        <v>0</v>
      </c>
      <c r="BD107" s="896">
        <f t="shared" si="28"/>
        <v>0</v>
      </c>
      <c r="BE107" s="896">
        <f t="shared" si="29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 t="s">
        <v>81</v>
      </c>
      <c r="E108" s="494">
        <v>0</v>
      </c>
      <c r="F108" s="494">
        <f>+J108</f>
        <v>14010</v>
      </c>
      <c r="G108" s="494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14010</v>
      </c>
      <c r="K108" s="356">
        <f>SUMIF(AJOUT!$A:$A,BRAN!$V:$V,AJOUT!$L:$L)</f>
        <v>0</v>
      </c>
      <c r="L108" s="356">
        <f>SUMIF(CBOUT!$A:$A,BRAN!$V:$V,CBOUT!$G:$G)</f>
        <v>0</v>
      </c>
      <c r="M108" s="604">
        <v>0</v>
      </c>
      <c r="N108" s="354">
        <f t="shared" si="30"/>
        <v>0</v>
      </c>
      <c r="O108" s="357">
        <f t="shared" si="31"/>
        <v>14010</v>
      </c>
      <c r="P108" s="496"/>
      <c r="Q108" s="496"/>
      <c r="R108" s="494">
        <f>O108/INTGRATE!$N$293</f>
        <v>934</v>
      </c>
      <c r="S108" s="349">
        <f t="shared" ref="S108:S150" si="42">IF(R108=0,0,N108/R108)</f>
        <v>0</v>
      </c>
      <c r="T108" s="472"/>
      <c r="U108" s="139"/>
      <c r="V108" s="956" t="str">
        <f t="shared" ref="V108:V151" si="43">B108&amp;D108</f>
        <v>551GPSILO</v>
      </c>
      <c r="W108" s="943">
        <v>31400127</v>
      </c>
      <c r="X108" s="455"/>
      <c r="Y108" s="455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94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14010</v>
      </c>
      <c r="AN108" s="100"/>
      <c r="AO108" s="494"/>
      <c r="AP108" s="100"/>
      <c r="AQ108" s="494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7"/>
        <v>14010</v>
      </c>
      <c r="BD108" s="896">
        <f t="shared" si="28"/>
        <v>1</v>
      </c>
      <c r="BE108" s="896">
        <f t="shared" si="29"/>
        <v>14010</v>
      </c>
      <c r="BF108" s="85"/>
      <c r="BH108" s="505"/>
    </row>
    <row r="109" spans="1:60" s="38" customFormat="1" ht="15" customHeight="1">
      <c r="A109" s="91">
        <v>97</v>
      </c>
      <c r="B109" s="175" t="s">
        <v>103</v>
      </c>
      <c r="C109" s="617" t="s">
        <v>1314</v>
      </c>
      <c r="D109" s="168">
        <v>25</v>
      </c>
      <c r="E109" s="100">
        <v>409</v>
      </c>
      <c r="F109" s="100">
        <f>SUMIF(pro!$A:$A,$V:$V,pro!$N:$N)</f>
        <v>31</v>
      </c>
      <c r="G109" s="356"/>
      <c r="H109" s="100">
        <f>SUMIF(CBIN!$A:$A,BRAN!$V:$V,CBIN!$G:$G)</f>
        <v>0</v>
      </c>
      <c r="I109" s="100">
        <f>SUMIF(data!$D:$D,$B109&amp;$D109,data!$J:$J)</f>
        <v>10</v>
      </c>
      <c r="J109" s="100">
        <f>SUMIF(data!$D:$D,$B109&amp;$D109,data!$K:$K)</f>
        <v>250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430</v>
      </c>
      <c r="N109" s="354">
        <f t="shared" si="30"/>
        <v>10750</v>
      </c>
      <c r="O109" s="357">
        <f t="shared" si="31"/>
        <v>21425</v>
      </c>
      <c r="P109" s="350"/>
      <c r="Q109" s="350"/>
      <c r="R109" s="356">
        <f>O109/INTGRATE!$N$293</f>
        <v>1428.3333333333333</v>
      </c>
      <c r="S109" s="349">
        <f t="shared" si="42"/>
        <v>7.5262543757292883</v>
      </c>
      <c r="T109" s="630"/>
      <c r="U109" s="139"/>
      <c r="V109" s="956" t="str">
        <f t="shared" si="43"/>
        <v>551GP25</v>
      </c>
      <c r="W109" s="943">
        <v>314011</v>
      </c>
      <c r="X109" s="455"/>
      <c r="Y109" s="455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>
        <v>7625</v>
      </c>
      <c r="AK109" s="100">
        <v>0</v>
      </c>
      <c r="AL109" s="100">
        <v>0</v>
      </c>
      <c r="AM109" s="100">
        <v>250</v>
      </c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7"/>
        <v>21425</v>
      </c>
      <c r="BD109" s="896">
        <f t="shared" si="28"/>
        <v>7</v>
      </c>
      <c r="BE109" s="896">
        <f t="shared" si="29"/>
        <v>3060.7142857142858</v>
      </c>
      <c r="BF109" s="85"/>
      <c r="BH109" s="505"/>
    </row>
    <row r="110" spans="1:60" s="38" customFormat="1" ht="15" customHeight="1">
      <c r="A110" s="91">
        <v>98</v>
      </c>
      <c r="B110" s="94">
        <v>552</v>
      </c>
      <c r="C110" s="94" t="s">
        <v>61</v>
      </c>
      <c r="D110" s="91">
        <v>25</v>
      </c>
      <c r="E110" s="100">
        <v>5399</v>
      </c>
      <c r="F110" s="100">
        <f>SUMIF(pro!$A:$A,$V:$V,pro!$N:$N)</f>
        <v>0</v>
      </c>
      <c r="G110" s="356"/>
      <c r="H110" s="100">
        <f>SUMIF(CBIN!$A:$A,BRAN!$V:$V,CBIN!$G:$G)</f>
        <v>0</v>
      </c>
      <c r="I110" s="100">
        <f>SUMIF(data!$D:$D,$B110&amp;$D110,data!$J:$J)</f>
        <v>878</v>
      </c>
      <c r="J110" s="100">
        <f>SUMIF(data!$D:$D,$B110&amp;$D110,data!$K:$K)</f>
        <v>21950</v>
      </c>
      <c r="K110" s="356">
        <f>SUMIF(AJOUT!$A:$A,BRAN!$V:$V,AJOUT!$L:$L)</f>
        <v>0</v>
      </c>
      <c r="L110" s="356">
        <f>SUMIF(CBOUT!$A:$A,BRAN!$V:$V,CBOUT!$G:$G)</f>
        <v>0</v>
      </c>
      <c r="M110" s="540">
        <f>E110+F110+H110-I110-L110+G110-K110</f>
        <v>4521</v>
      </c>
      <c r="N110" s="354">
        <f t="shared" si="30"/>
        <v>113025</v>
      </c>
      <c r="O110" s="357">
        <f t="shared" si="31"/>
        <v>356275</v>
      </c>
      <c r="P110" s="350"/>
      <c r="Q110" s="350"/>
      <c r="R110" s="356">
        <f>O110/INTGRATE!$N$293</f>
        <v>23751.666666666668</v>
      </c>
      <c r="S110" s="349">
        <f t="shared" si="42"/>
        <v>4.758613430636446</v>
      </c>
      <c r="T110" s="472"/>
      <c r="U110" s="139"/>
      <c r="V110" s="956" t="str">
        <f t="shared" si="43"/>
        <v>55225</v>
      </c>
      <c r="W110" s="943">
        <v>321001</v>
      </c>
      <c r="X110" s="455"/>
      <c r="Y110" s="455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>
        <v>41475</v>
      </c>
      <c r="AK110" s="100">
        <v>10500</v>
      </c>
      <c r="AL110" s="100">
        <v>30275</v>
      </c>
      <c r="AM110" s="100">
        <v>21950</v>
      </c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7"/>
        <v>356275</v>
      </c>
      <c r="BD110" s="896">
        <f t="shared" si="28"/>
        <v>14</v>
      </c>
      <c r="BE110" s="896">
        <f t="shared" si="29"/>
        <v>25448.214285714286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604" t="s">
        <v>81</v>
      </c>
      <c r="E111" s="100"/>
      <c r="F111" s="494">
        <f>+J111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/>
      <c r="L111" s="356"/>
      <c r="M111" s="540"/>
      <c r="N111" s="354">
        <f t="shared" si="30"/>
        <v>0</v>
      </c>
      <c r="O111" s="357">
        <f t="shared" si="31"/>
        <v>0</v>
      </c>
      <c r="P111" s="350"/>
      <c r="Q111" s="350"/>
      <c r="R111" s="356">
        <f>O111/INTGRATE!$N$293</f>
        <v>0</v>
      </c>
      <c r="S111" s="349">
        <f t="shared" si="42"/>
        <v>0</v>
      </c>
      <c r="T111" s="472"/>
      <c r="U111" s="139"/>
      <c r="V111" s="956" t="str">
        <f>B111&amp;D111</f>
        <v>552ProSILO</v>
      </c>
      <c r="W111" s="943">
        <v>321021</v>
      </c>
      <c r="X111" s="455"/>
      <c r="Y111" s="455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>
        <v>0</v>
      </c>
      <c r="AK111" s="100">
        <v>0</v>
      </c>
      <c r="AL111" s="100">
        <v>0</v>
      </c>
      <c r="AM111" s="100">
        <v>0</v>
      </c>
      <c r="AN111" s="100"/>
      <c r="AO111" s="494"/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7"/>
        <v>0</v>
      </c>
      <c r="BD111" s="896">
        <f t="shared" si="28"/>
        <v>0</v>
      </c>
      <c r="BE111" s="896">
        <f t="shared" si="29"/>
        <v>0</v>
      </c>
      <c r="BF111" s="85"/>
      <c r="BH111" s="505"/>
    </row>
    <row r="112" spans="1:60" s="38" customFormat="1" ht="15" customHeight="1">
      <c r="A112" s="91">
        <v>100</v>
      </c>
      <c r="B112" s="94" t="s">
        <v>1461</v>
      </c>
      <c r="C112" s="94" t="s">
        <v>61</v>
      </c>
      <c r="D112" s="91">
        <v>25</v>
      </c>
      <c r="E112" s="100">
        <v>577</v>
      </c>
      <c r="F112" s="100">
        <f>SUMIF(pro!$A:$A,$V:$V,pro!$N:$N)</f>
        <v>0</v>
      </c>
      <c r="G112" s="356"/>
      <c r="H112" s="100">
        <f>SUMIF(CBIN!$A:$A,BRAN!$V:$V,CBIN!$G:$G)</f>
        <v>0</v>
      </c>
      <c r="I112" s="100">
        <f>SUMIF(data!$D:$D,$B112&amp;$D112,data!$J:$J)</f>
        <v>115</v>
      </c>
      <c r="J112" s="100">
        <f>SUMIF(data!$D:$D,$B112&amp;$D112,data!$K:$K)</f>
        <v>2875</v>
      </c>
      <c r="K112" s="356">
        <f>SUMIF(AJOUT!$A:$A,BRAN!$V:$V,AJOUT!$L:$L)</f>
        <v>0</v>
      </c>
      <c r="L112" s="356">
        <f>SUMIF(CBOUT!$A:$A,BRAN!$V:$V,CBOUT!$G:$G)</f>
        <v>0</v>
      </c>
      <c r="M112" s="540">
        <f>E112+F112+H112-I112-L112+G112-K112</f>
        <v>462</v>
      </c>
      <c r="N112" s="354">
        <f t="shared" si="30"/>
        <v>11550</v>
      </c>
      <c r="O112" s="357">
        <f t="shared" si="31"/>
        <v>34325</v>
      </c>
      <c r="P112" s="350"/>
      <c r="Q112" s="350"/>
      <c r="R112" s="356">
        <f>O112/INTGRATE!$N$293</f>
        <v>2288.3333333333335</v>
      </c>
      <c r="S112" s="349">
        <f>IF(R112=0,0,N112/R112)</f>
        <v>5.04734158776402</v>
      </c>
      <c r="T112" s="531"/>
      <c r="U112" s="139"/>
      <c r="V112" s="956" t="str">
        <f t="shared" si="43"/>
        <v>552Pro25</v>
      </c>
      <c r="W112" s="943">
        <v>321012</v>
      </c>
      <c r="X112" s="455"/>
      <c r="Y112" s="455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>
        <v>5900</v>
      </c>
      <c r="AK112" s="100">
        <v>0</v>
      </c>
      <c r="AL112" s="100">
        <v>1250</v>
      </c>
      <c r="AM112" s="100">
        <v>2875</v>
      </c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7"/>
        <v>34325</v>
      </c>
      <c r="BD112" s="896">
        <f t="shared" si="28"/>
        <v>11</v>
      </c>
      <c r="BE112" s="896">
        <f t="shared" si="29"/>
        <v>3120.4545454545455</v>
      </c>
      <c r="BF112" s="85"/>
      <c r="BH112" s="505"/>
    </row>
    <row r="113" spans="1:60" s="38" customFormat="1" ht="15" customHeight="1">
      <c r="A113" s="91">
        <v>101</v>
      </c>
      <c r="B113" s="94">
        <v>552</v>
      </c>
      <c r="C113" s="123" t="s">
        <v>61</v>
      </c>
      <c r="D113" s="604" t="s">
        <v>81</v>
      </c>
      <c r="E113" s="100">
        <v>0</v>
      </c>
      <c r="F113" s="494">
        <f>+J113</f>
        <v>0</v>
      </c>
      <c r="G113" s="494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604">
        <v>0</v>
      </c>
      <c r="N113" s="354">
        <f t="shared" si="30"/>
        <v>0</v>
      </c>
      <c r="O113" s="357">
        <f t="shared" si="31"/>
        <v>69730</v>
      </c>
      <c r="P113" s="496"/>
      <c r="Q113" s="496"/>
      <c r="R113" s="494">
        <f>O113/INTGRATE!$N$293</f>
        <v>4648.666666666667</v>
      </c>
      <c r="S113" s="349">
        <f t="shared" si="42"/>
        <v>0</v>
      </c>
      <c r="T113" s="472"/>
      <c r="U113" s="139"/>
      <c r="V113" s="956" t="str">
        <f t="shared" si="43"/>
        <v>552SILO</v>
      </c>
      <c r="W113" s="943">
        <v>321012</v>
      </c>
      <c r="X113" s="455"/>
      <c r="Y113" s="455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94">
        <v>15060</v>
      </c>
      <c r="AI113" s="100">
        <v>3460</v>
      </c>
      <c r="AJ113" s="100">
        <v>0</v>
      </c>
      <c r="AK113" s="100">
        <v>0</v>
      </c>
      <c r="AL113" s="100">
        <v>8330</v>
      </c>
      <c r="AM113" s="100">
        <v>0</v>
      </c>
      <c r="AN113" s="100"/>
      <c r="AO113" s="494"/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7"/>
        <v>69730</v>
      </c>
      <c r="BD113" s="896">
        <f t="shared" si="28"/>
        <v>6</v>
      </c>
      <c r="BE113" s="896">
        <f t="shared" si="29"/>
        <v>11621.666666666666</v>
      </c>
      <c r="BF113" s="85"/>
      <c r="BH113" s="505"/>
    </row>
    <row r="114" spans="1:60" s="38" customFormat="1" ht="15" customHeight="1">
      <c r="A114" s="91">
        <v>102</v>
      </c>
      <c r="B114" s="94" t="s">
        <v>1864</v>
      </c>
      <c r="C114" s="123" t="s">
        <v>1314</v>
      </c>
      <c r="D114" s="587">
        <v>25</v>
      </c>
      <c r="E114" s="100">
        <v>47</v>
      </c>
      <c r="F114" s="100">
        <f>SUMIF(pro!$A:$A,$V:$V,pro!$N:$N)</f>
        <v>0</v>
      </c>
      <c r="G114" s="356"/>
      <c r="H114" s="100">
        <f>SUMIF(CBIN!$A:$A,BRAN!$V:$V,CBIN!$G:$G)</f>
        <v>0</v>
      </c>
      <c r="I114" s="100">
        <f>SUMIF(data!$D:$D,$B114&amp;$D114,data!$J:$J)</f>
        <v>47</v>
      </c>
      <c r="J114" s="100">
        <f>SUMIF(data!$D:$D,$B114&amp;$D114,data!$K:$K)</f>
        <v>1175</v>
      </c>
      <c r="K114" s="356">
        <f>SUMIF(AJOUT!$A:$A,BRAN!$V:$V,AJOUT!$L:$L)</f>
        <v>0</v>
      </c>
      <c r="L114" s="356">
        <f>SUMIF(CBOUT!$A:$A,BRAN!$V:$V,CBOUT!$G:$G)</f>
        <v>0</v>
      </c>
      <c r="M114" s="540">
        <f>E114+F114+H114-I114-L114+G114-K114</f>
        <v>0</v>
      </c>
      <c r="N114" s="354">
        <f t="shared" si="30"/>
        <v>0</v>
      </c>
      <c r="O114" s="357">
        <f t="shared" si="31"/>
        <v>17625</v>
      </c>
      <c r="P114" s="350"/>
      <c r="Q114" s="350"/>
      <c r="R114" s="356">
        <f>O114/INTGRATE!$N$293</f>
        <v>1175</v>
      </c>
      <c r="S114" s="349">
        <f>IF(R114=0,0,N114/R114)</f>
        <v>0</v>
      </c>
      <c r="T114" s="472"/>
      <c r="U114" s="139"/>
      <c r="V114" s="956" t="str">
        <f t="shared" si="43"/>
        <v>552E25</v>
      </c>
      <c r="W114" s="943">
        <v>321072</v>
      </c>
      <c r="X114" s="455"/>
      <c r="Y114" s="455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94">
        <v>625</v>
      </c>
      <c r="AI114" s="100">
        <v>0</v>
      </c>
      <c r="AJ114" s="100">
        <v>6450</v>
      </c>
      <c r="AK114" s="100">
        <v>0</v>
      </c>
      <c r="AL114" s="100">
        <v>0</v>
      </c>
      <c r="AM114" s="100">
        <v>1175</v>
      </c>
      <c r="AN114" s="100"/>
      <c r="AO114" s="494"/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7"/>
        <v>17625</v>
      </c>
      <c r="BD114" s="896">
        <f t="shared" si="28"/>
        <v>10</v>
      </c>
      <c r="BE114" s="896">
        <f t="shared" si="29"/>
        <v>1762.5</v>
      </c>
      <c r="BF114" s="85"/>
      <c r="BH114" s="505"/>
    </row>
    <row r="115" spans="1:60" s="38" customFormat="1" ht="15" customHeight="1">
      <c r="A115" s="91">
        <v>103</v>
      </c>
      <c r="B115" s="94" t="s">
        <v>1869</v>
      </c>
      <c r="C115" s="616" t="s">
        <v>61</v>
      </c>
      <c r="D115" s="703" t="s">
        <v>81</v>
      </c>
      <c r="E115" s="100"/>
      <c r="F115" s="100">
        <f>J115</f>
        <v>0</v>
      </c>
      <c r="G115" s="356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356"/>
      <c r="L115" s="356"/>
      <c r="M115" s="540"/>
      <c r="N115" s="354">
        <f t="shared" si="30"/>
        <v>0</v>
      </c>
      <c r="O115" s="357">
        <f t="shared" ref="O115:O116" si="44">SUM(X115:BB115)</f>
        <v>0</v>
      </c>
      <c r="P115" s="350"/>
      <c r="Q115" s="350"/>
      <c r="R115" s="356">
        <f>O115/INTGRATE!$N$293</f>
        <v>0</v>
      </c>
      <c r="S115" s="349">
        <f t="shared" ref="S115:S116" si="45">IF(R115=0,0,N115/R115)</f>
        <v>0</v>
      </c>
      <c r="T115" s="472"/>
      <c r="U115" s="139"/>
      <c r="V115" s="956" t="str">
        <f t="shared" si="43"/>
        <v>552XSILO</v>
      </c>
      <c r="W115" s="943"/>
      <c r="X115" s="455"/>
      <c r="Y115" s="455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94">
        <v>0</v>
      </c>
      <c r="AI115" s="100">
        <v>0</v>
      </c>
      <c r="AJ115" s="100">
        <v>0</v>
      </c>
      <c r="AK115" s="100">
        <v>0</v>
      </c>
      <c r="AL115" s="100">
        <v>0</v>
      </c>
      <c r="AM115" s="100">
        <v>0</v>
      </c>
      <c r="AN115" s="100"/>
      <c r="AO115" s="494"/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7"/>
        <v>0</v>
      </c>
      <c r="BD115" s="896">
        <f t="shared" si="28"/>
        <v>0</v>
      </c>
      <c r="BE115" s="896">
        <f t="shared" si="29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703" t="s">
        <v>81</v>
      </c>
      <c r="E116" s="100"/>
      <c r="F116" s="494">
        <f>J116</f>
        <v>0</v>
      </c>
      <c r="G116" s="356"/>
      <c r="H116" s="100"/>
      <c r="I116" s="100"/>
      <c r="J116" s="100">
        <f>SUMIF(data!$D:$D,$B116&amp;$D116,data!$K:$K)</f>
        <v>0</v>
      </c>
      <c r="K116" s="356"/>
      <c r="L116" s="356"/>
      <c r="M116" s="540"/>
      <c r="N116" s="354"/>
      <c r="O116" s="357">
        <f t="shared" si="44"/>
        <v>0</v>
      </c>
      <c r="P116" s="350"/>
      <c r="Q116" s="350"/>
      <c r="R116" s="356">
        <f>O116/INTGRATE!$N$293</f>
        <v>0</v>
      </c>
      <c r="S116" s="349">
        <f t="shared" si="45"/>
        <v>0</v>
      </c>
      <c r="T116" s="472"/>
      <c r="U116" s="139"/>
      <c r="V116" s="956" t="str">
        <f t="shared" ref="V116" si="46">B116&amp;D116</f>
        <v>552MSILO</v>
      </c>
      <c r="W116" s="943">
        <v>321012</v>
      </c>
      <c r="X116" s="455"/>
      <c r="Y116" s="455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94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/>
      <c r="AO116" s="494"/>
      <c r="AP116" s="100"/>
      <c r="AQ116" s="494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7"/>
        <v>0</v>
      </c>
      <c r="BD116" s="896">
        <f t="shared" si="28"/>
        <v>0</v>
      </c>
      <c r="BE116" s="896">
        <f t="shared" si="29"/>
        <v>0</v>
      </c>
      <c r="BF116" s="85"/>
      <c r="BH116" s="505"/>
    </row>
    <row r="117" spans="1:60" s="38" customFormat="1" ht="15" customHeight="1">
      <c r="A117" s="91">
        <v>105</v>
      </c>
      <c r="B117" s="94" t="s">
        <v>123</v>
      </c>
      <c r="C117" s="616" t="s">
        <v>1314</v>
      </c>
      <c r="D117" s="91">
        <v>25</v>
      </c>
      <c r="E117" s="356">
        <v>1148</v>
      </c>
      <c r="F117" s="100">
        <f>SUMIF(pro!$A:$A,$V:$V,pro!$N:$N)</f>
        <v>1290</v>
      </c>
      <c r="G117" s="356"/>
      <c r="H117" s="100">
        <f>SUMIF(CBIN!$A:$A,BRAN!$V:$V,CBIN!$G:$G)</f>
        <v>0</v>
      </c>
      <c r="I117" s="100">
        <f>SUMIF(data!$D:$D,$B117&amp;$D117,data!$J:$J)</f>
        <v>560</v>
      </c>
      <c r="J117" s="100">
        <f>SUMIF(data!$D:$D,$B117&amp;$D117,data!$K:$K)</f>
        <v>14000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1878</v>
      </c>
      <c r="N117" s="354">
        <f t="shared" si="30"/>
        <v>46950</v>
      </c>
      <c r="O117" s="357">
        <f t="shared" si="31"/>
        <v>204225</v>
      </c>
      <c r="P117" s="350"/>
      <c r="Q117" s="350"/>
      <c r="R117" s="356">
        <f>O117/INTGRATE!$N$293</f>
        <v>13615</v>
      </c>
      <c r="S117" s="349">
        <f t="shared" si="42"/>
        <v>3.4484024972456848</v>
      </c>
      <c r="T117" s="472"/>
      <c r="U117" s="139"/>
      <c r="V117" s="956" t="str">
        <f t="shared" si="43"/>
        <v>552M25</v>
      </c>
      <c r="W117" s="943">
        <v>321012</v>
      </c>
      <c r="X117" s="455"/>
      <c r="Y117" s="455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>
        <v>35250</v>
      </c>
      <c r="AK117" s="100">
        <v>10675</v>
      </c>
      <c r="AL117" s="100">
        <v>18750</v>
      </c>
      <c r="AM117" s="100">
        <v>14000</v>
      </c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7"/>
        <v>204225</v>
      </c>
      <c r="BD117" s="896">
        <f t="shared" si="28"/>
        <v>14</v>
      </c>
      <c r="BE117" s="896">
        <f t="shared" si="29"/>
        <v>14587.5</v>
      </c>
      <c r="BH117" s="505"/>
    </row>
    <row r="118" spans="1:60" s="38" customFormat="1" ht="15" customHeight="1">
      <c r="A118" s="91">
        <v>106</v>
      </c>
      <c r="B118" s="175" t="s">
        <v>1384</v>
      </c>
      <c r="C118" s="617" t="s">
        <v>1314</v>
      </c>
      <c r="D118" s="168">
        <v>25</v>
      </c>
      <c r="E118" s="356">
        <v>283</v>
      </c>
      <c r="F118" s="100">
        <f>SUMIF(pro!$A:$A,$V:$V,pro!$N:$N)</f>
        <v>0</v>
      </c>
      <c r="G118" s="356"/>
      <c r="H118" s="100">
        <f>SUMIF(CBIN!$A:$A,BRAN!$V:$V,CBIN!$G:$G)</f>
        <v>0</v>
      </c>
      <c r="I118" s="100">
        <f>SUMIF(data!$D:$D,$B118&amp;$D118,data!$J:$J)</f>
        <v>55</v>
      </c>
      <c r="J118" s="100">
        <f>SUMIF(data!$D:$D,$B118&amp;$D118,data!$K:$K)</f>
        <v>1375</v>
      </c>
      <c r="K118" s="356">
        <f>SUMIF(AJOUT!$A:$A,BRAN!$V:$V,AJOUT!$L:$L)</f>
        <v>0</v>
      </c>
      <c r="L118" s="356">
        <f>SUMIF(CBOUT!$A:$A,BRAN!$V:$V,CBOUT!$G:$G)</f>
        <v>0</v>
      </c>
      <c r="M118" s="540">
        <f>E118+F118+H118-I118-L118+G118-K118</f>
        <v>228</v>
      </c>
      <c r="N118" s="354">
        <f t="shared" si="30"/>
        <v>5700</v>
      </c>
      <c r="O118" s="357">
        <f t="shared" si="31"/>
        <v>13125</v>
      </c>
      <c r="P118" s="350"/>
      <c r="Q118" s="350"/>
      <c r="R118" s="356">
        <f>O118/INTGRATE!$N$293</f>
        <v>875</v>
      </c>
      <c r="S118" s="349">
        <f t="shared" si="42"/>
        <v>6.5142857142857142</v>
      </c>
      <c r="T118" s="472"/>
      <c r="U118" s="139"/>
      <c r="V118" s="956" t="str">
        <f t="shared" si="43"/>
        <v>552MX25</v>
      </c>
      <c r="W118" s="943">
        <v>321018</v>
      </c>
      <c r="X118" s="455"/>
      <c r="Y118" s="455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>
        <v>1250</v>
      </c>
      <c r="AK118" s="100">
        <v>2750</v>
      </c>
      <c r="AL118" s="100">
        <v>0</v>
      </c>
      <c r="AM118" s="100">
        <v>1375</v>
      </c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7"/>
        <v>13125</v>
      </c>
      <c r="BD118" s="896">
        <f t="shared" si="28"/>
        <v>9</v>
      </c>
      <c r="BE118" s="896">
        <f t="shared" si="29"/>
        <v>1458.3333333333333</v>
      </c>
      <c r="BH118" s="505"/>
    </row>
    <row r="119" spans="1:60" s="38" customFormat="1" ht="14.25" customHeight="1">
      <c r="A119" s="91">
        <v>107</v>
      </c>
      <c r="B119" s="94" t="s">
        <v>25</v>
      </c>
      <c r="C119" s="92" t="s">
        <v>1314</v>
      </c>
      <c r="D119" s="604" t="s">
        <v>81</v>
      </c>
      <c r="E119" s="494"/>
      <c r="F119" s="494">
        <f>+J119</f>
        <v>18450</v>
      </c>
      <c r="G119" s="494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18450</v>
      </c>
      <c r="K119" s="356">
        <f>SUMIF(AJOUT!$A:$A,BRAN!$V:$V,AJOUT!$L:$L)</f>
        <v>0</v>
      </c>
      <c r="L119" s="356">
        <f>SUMIF(CBOUT!$A:$A,BRAN!$V:$V,CBOUT!$G:$G)</f>
        <v>0</v>
      </c>
      <c r="M119" s="604"/>
      <c r="N119" s="354">
        <f t="shared" si="30"/>
        <v>0</v>
      </c>
      <c r="O119" s="357">
        <f t="shared" si="31"/>
        <v>120060</v>
      </c>
      <c r="P119" s="496"/>
      <c r="Q119" s="496"/>
      <c r="R119" s="494">
        <f>O119/INTGRATE!$N$293</f>
        <v>8004</v>
      </c>
      <c r="S119" s="349">
        <f t="shared" si="42"/>
        <v>0</v>
      </c>
      <c r="T119" s="584"/>
      <c r="U119" s="139"/>
      <c r="V119" s="956" t="str">
        <f t="shared" si="43"/>
        <v>552SSILO</v>
      </c>
      <c r="W119" s="943">
        <v>32000890</v>
      </c>
      <c r="X119" s="455"/>
      <c r="Y119" s="455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94">
        <v>0</v>
      </c>
      <c r="AI119" s="100">
        <v>0</v>
      </c>
      <c r="AJ119" s="100">
        <v>18510</v>
      </c>
      <c r="AK119" s="100">
        <v>0</v>
      </c>
      <c r="AL119" s="100">
        <v>0</v>
      </c>
      <c r="AM119" s="100">
        <v>18450</v>
      </c>
      <c r="AN119" s="100"/>
      <c r="AO119" s="494"/>
      <c r="AP119" s="100"/>
      <c r="AQ119" s="494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7"/>
        <v>120060</v>
      </c>
      <c r="BD119" s="896">
        <f t="shared" si="28"/>
        <v>6</v>
      </c>
      <c r="BE119" s="896">
        <f t="shared" si="29"/>
        <v>20010</v>
      </c>
      <c r="BH119" s="505"/>
    </row>
    <row r="120" spans="1:60" s="38" customFormat="1" ht="14.25" customHeight="1">
      <c r="A120" s="91">
        <v>108</v>
      </c>
      <c r="B120" s="94" t="s">
        <v>25</v>
      </c>
      <c r="C120" s="616" t="s">
        <v>1314</v>
      </c>
      <c r="D120" s="91">
        <v>25</v>
      </c>
      <c r="E120" s="100">
        <v>4231</v>
      </c>
      <c r="F120" s="100">
        <f>SUMIF(pro!$A:$A,$V:$V,pro!$N:$N)</f>
        <v>0</v>
      </c>
      <c r="G120" s="356"/>
      <c r="H120" s="100">
        <f>SUMIF(CBIN!$A:$A,BRAN!$V:$V,CBIN!$G:$G)</f>
        <v>0</v>
      </c>
      <c r="I120" s="100">
        <f>SUMIF(data!$D:$D,$B120&amp;$D120,data!$J:$J)</f>
        <v>1585</v>
      </c>
      <c r="J120" s="100">
        <f>SUMIF(data!$D:$D,$B120&amp;$D120,data!$K:$K)</f>
        <v>39625</v>
      </c>
      <c r="K120" s="356">
        <f>SUMIF(AJOUT!$A:$A,BRAN!$V:$V,AJOUT!$L:$L)</f>
        <v>0</v>
      </c>
      <c r="L120" s="356">
        <f>SUMIF(CBOUT!$A:$A,BRAN!$V:$V,CBOUT!$G:$G)</f>
        <v>0</v>
      </c>
      <c r="M120" s="540">
        <f>E120+F120+H120-I120-L120+G120-K120</f>
        <v>2646</v>
      </c>
      <c r="N120" s="354">
        <f t="shared" si="30"/>
        <v>66150</v>
      </c>
      <c r="O120" s="357">
        <f t="shared" si="31"/>
        <v>474025</v>
      </c>
      <c r="P120" s="350"/>
      <c r="Q120" s="350"/>
      <c r="R120" s="356">
        <f>O120/INTGRATE!$N$293</f>
        <v>31601.666666666668</v>
      </c>
      <c r="S120" s="349">
        <f t="shared" si="42"/>
        <v>2.0932440272137547</v>
      </c>
      <c r="T120" s="606"/>
      <c r="U120" s="139"/>
      <c r="V120" s="956" t="str">
        <f t="shared" si="43"/>
        <v>552S25</v>
      </c>
      <c r="W120" s="943">
        <v>320001</v>
      </c>
      <c r="X120" s="455"/>
      <c r="Y120" s="455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>
        <v>45000</v>
      </c>
      <c r="AK120" s="100">
        <v>25875</v>
      </c>
      <c r="AL120" s="100">
        <v>20500</v>
      </c>
      <c r="AM120" s="100">
        <v>39625</v>
      </c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7"/>
        <v>474025</v>
      </c>
      <c r="BD120" s="896">
        <f t="shared" si="28"/>
        <v>14</v>
      </c>
      <c r="BE120" s="896">
        <f t="shared" si="29"/>
        <v>33858.928571428572</v>
      </c>
      <c r="BF120" s="387"/>
      <c r="BH120" s="505"/>
    </row>
    <row r="121" spans="1:60" s="38" customFormat="1" ht="14.25" customHeight="1">
      <c r="A121" s="91">
        <v>109</v>
      </c>
      <c r="B121" s="94" t="s">
        <v>1453</v>
      </c>
      <c r="C121" s="92" t="s">
        <v>1314</v>
      </c>
      <c r="D121" s="604" t="s">
        <v>81</v>
      </c>
      <c r="E121" s="494"/>
      <c r="F121" s="494">
        <f>+J121</f>
        <v>0</v>
      </c>
      <c r="G121" s="494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/>
      <c r="M121" s="604"/>
      <c r="N121" s="354">
        <f t="shared" si="30"/>
        <v>0</v>
      </c>
      <c r="O121" s="357">
        <f t="shared" si="31"/>
        <v>0</v>
      </c>
      <c r="P121" s="496"/>
      <c r="Q121" s="496"/>
      <c r="R121" s="494">
        <f>O121/INTGRATE!$N$293</f>
        <v>0</v>
      </c>
      <c r="S121" s="349">
        <f>IF(R121=0,0,N121/R121)</f>
        <v>0</v>
      </c>
      <c r="T121" s="584"/>
      <c r="U121" s="139"/>
      <c r="V121" s="956" t="str">
        <f>B121&amp;D121</f>
        <v>552SProSILO</v>
      </c>
      <c r="W121" s="943">
        <v>320021</v>
      </c>
      <c r="X121" s="455"/>
      <c r="Y121" s="455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94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/>
      <c r="AO121" s="494"/>
      <c r="AP121" s="100"/>
      <c r="AQ121" s="494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7"/>
        <v>0</v>
      </c>
      <c r="BD121" s="896">
        <f t="shared" si="28"/>
        <v>0</v>
      </c>
      <c r="BE121" s="896">
        <f t="shared" si="29"/>
        <v>0</v>
      </c>
      <c r="BH121" s="505"/>
    </row>
    <row r="122" spans="1:60" s="38" customFormat="1" ht="14.25" customHeight="1">
      <c r="A122" s="91">
        <v>110</v>
      </c>
      <c r="B122" s="94" t="s">
        <v>1453</v>
      </c>
      <c r="C122" s="616" t="s">
        <v>1314</v>
      </c>
      <c r="D122" s="91">
        <v>25</v>
      </c>
      <c r="E122" s="100">
        <v>1204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255</v>
      </c>
      <c r="J122" s="100">
        <f>SUMIF(data!$D:$D,$B122&amp;$D122,data!$K:$K)</f>
        <v>6375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949</v>
      </c>
      <c r="N122" s="354">
        <f t="shared" si="30"/>
        <v>23725</v>
      </c>
      <c r="O122" s="357">
        <f t="shared" si="31"/>
        <v>68750</v>
      </c>
      <c r="P122" s="350"/>
      <c r="Q122" s="350"/>
      <c r="R122" s="356">
        <f>O122/INTGRATE!$N$293</f>
        <v>4583.333333333333</v>
      </c>
      <c r="S122" s="349">
        <f t="shared" si="42"/>
        <v>5.1763636363636367</v>
      </c>
      <c r="T122" s="531"/>
      <c r="U122" s="139"/>
      <c r="V122" s="956" t="str">
        <f t="shared" si="43"/>
        <v>552SPro25</v>
      </c>
      <c r="W122" s="943">
        <v>320021</v>
      </c>
      <c r="X122" s="455"/>
      <c r="Y122" s="455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>
        <v>5925</v>
      </c>
      <c r="AK122" s="100">
        <v>2500</v>
      </c>
      <c r="AL122" s="100">
        <v>2000</v>
      </c>
      <c r="AM122" s="100">
        <v>6375</v>
      </c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7"/>
        <v>68750</v>
      </c>
      <c r="BD122" s="896">
        <f t="shared" si="28"/>
        <v>13</v>
      </c>
      <c r="BE122" s="896">
        <f t="shared" si="29"/>
        <v>5288.4615384615381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168">
        <v>25</v>
      </c>
      <c r="E123" s="100">
        <v>2343</v>
      </c>
      <c r="F123" s="100">
        <f>SUMIF(pro!$A:$A,$V:$V,pro!$N:$N)</f>
        <v>0</v>
      </c>
      <c r="G123" s="356"/>
      <c r="H123" s="100">
        <f>SUMIF(CBIN!$A:$A,BRAN!$V:$V,CBIN!$G:$G)</f>
        <v>0</v>
      </c>
      <c r="I123" s="100">
        <f>SUMIF(data!$D:$D,$B123&amp;$D123,data!$J:$J)</f>
        <v>430</v>
      </c>
      <c r="J123" s="100">
        <f>SUMIF(data!$D:$D,$B123&amp;$D123,data!$K:$K)</f>
        <v>10750</v>
      </c>
      <c r="K123" s="356">
        <f>SUMIF(AJOUT!$A:$A,BRAN!$V:$V,AJOUT!$L:$L)</f>
        <v>0</v>
      </c>
      <c r="L123" s="356">
        <f>SUMIF(CBOUT!$A:$A,BRAN!$V:$V,CBOUT!$G:$G)</f>
        <v>0</v>
      </c>
      <c r="M123" s="540">
        <f>E123+F123+H123-I123-L123+G123-K123</f>
        <v>1913</v>
      </c>
      <c r="N123" s="354">
        <f t="shared" si="30"/>
        <v>47825</v>
      </c>
      <c r="O123" s="357">
        <f t="shared" si="31"/>
        <v>117300</v>
      </c>
      <c r="P123" s="350"/>
      <c r="Q123" s="350"/>
      <c r="R123" s="356">
        <f>O123/INTGRATE!$N$293</f>
        <v>7820</v>
      </c>
      <c r="S123" s="349">
        <f t="shared" si="42"/>
        <v>6.1157289002557542</v>
      </c>
      <c r="T123" s="472"/>
      <c r="U123" s="139"/>
      <c r="V123" s="956" t="str">
        <f t="shared" si="43"/>
        <v>552SX25</v>
      </c>
      <c r="W123" s="943">
        <v>320008</v>
      </c>
      <c r="X123" s="455"/>
      <c r="Y123" s="455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>
        <v>8500</v>
      </c>
      <c r="AK123" s="100">
        <v>13500</v>
      </c>
      <c r="AL123" s="100">
        <v>1075</v>
      </c>
      <c r="AM123" s="100">
        <v>10750</v>
      </c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7"/>
        <v>117300</v>
      </c>
      <c r="BD123" s="896">
        <f t="shared" si="28"/>
        <v>14</v>
      </c>
      <c r="BE123" s="896">
        <f t="shared" si="29"/>
        <v>8378.5714285714294</v>
      </c>
      <c r="BF123" s="387"/>
      <c r="BH123" s="505"/>
    </row>
    <row r="124" spans="1:60" s="38" customFormat="1" ht="15" customHeight="1">
      <c r="A124" s="91">
        <v>112</v>
      </c>
      <c r="B124" s="175" t="s">
        <v>1330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>
        <f>SUMIF(CBOUT!$A:$A,BRAN!$V:$V,CBOUT!$G:$G)</f>
        <v>0</v>
      </c>
      <c r="M124" s="540">
        <v>0</v>
      </c>
      <c r="N124" s="354">
        <f t="shared" si="30"/>
        <v>0</v>
      </c>
      <c r="O124" s="357">
        <f t="shared" si="31"/>
        <v>0</v>
      </c>
      <c r="P124" s="350"/>
      <c r="Q124" s="350"/>
      <c r="R124" s="356">
        <f>O124/INTGRATE!$N$293</f>
        <v>0</v>
      </c>
      <c r="S124" s="349">
        <f t="shared" si="42"/>
        <v>0</v>
      </c>
      <c r="T124" s="472"/>
      <c r="U124" s="139"/>
      <c r="V124" s="956" t="str">
        <f>B124&amp;D124</f>
        <v>552SXSILO</v>
      </c>
      <c r="W124" s="943">
        <v>320008</v>
      </c>
      <c r="X124" s="455"/>
      <c r="Y124" s="455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94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/>
      <c r="AO124" s="494"/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7"/>
        <v>0</v>
      </c>
      <c r="BD124" s="896">
        <f t="shared" si="28"/>
        <v>0</v>
      </c>
      <c r="BE124" s="896">
        <f t="shared" si="29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 t="s">
        <v>81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/>
      <c r="M125" s="540">
        <v>0</v>
      </c>
      <c r="N125" s="354">
        <f t="shared" si="30"/>
        <v>0</v>
      </c>
      <c r="O125" s="357">
        <f t="shared" si="31"/>
        <v>0</v>
      </c>
      <c r="P125" s="350"/>
      <c r="Q125" s="350"/>
      <c r="R125" s="356">
        <f>O125/INTGRATE!$N$293</f>
        <v>0</v>
      </c>
      <c r="S125" s="349">
        <f>IF(R125=0,0,N125/R125)</f>
        <v>0</v>
      </c>
      <c r="T125" s="472"/>
      <c r="U125" s="139"/>
      <c r="V125" s="956" t="str">
        <f>B125&amp;D125</f>
        <v>552SXProSILO</v>
      </c>
      <c r="W125" s="943"/>
      <c r="X125" s="455"/>
      <c r="Y125" s="455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94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/>
      <c r="AO125" s="494"/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7"/>
        <v>0</v>
      </c>
      <c r="BD125" s="896">
        <f t="shared" si="28"/>
        <v>0</v>
      </c>
      <c r="BE125" s="896">
        <f t="shared" si="29"/>
        <v>0</v>
      </c>
      <c r="BF125" s="387"/>
      <c r="BH125" s="505"/>
    </row>
    <row r="126" spans="1:60" s="38" customFormat="1" ht="15" customHeight="1">
      <c r="A126" s="91">
        <v>114</v>
      </c>
      <c r="B126" s="175" t="s">
        <v>1494</v>
      </c>
      <c r="C126" s="617" t="s">
        <v>1314</v>
      </c>
      <c r="D126" s="701">
        <v>25</v>
      </c>
      <c r="E126" s="100">
        <v>0</v>
      </c>
      <c r="F126" s="494">
        <f>+J126</f>
        <v>0</v>
      </c>
      <c r="G126" s="494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v>0</v>
      </c>
      <c r="N126" s="354">
        <f t="shared" si="30"/>
        <v>0</v>
      </c>
      <c r="O126" s="357">
        <f t="shared" si="31"/>
        <v>0</v>
      </c>
      <c r="P126" s="350"/>
      <c r="Q126" s="350"/>
      <c r="R126" s="356">
        <f>O126/INTGRATE!$N$293</f>
        <v>0</v>
      </c>
      <c r="S126" s="349">
        <f t="shared" si="42"/>
        <v>0</v>
      </c>
      <c r="T126" s="472"/>
      <c r="U126" s="139"/>
      <c r="V126" s="956" t="str">
        <f>B126&amp;D126</f>
        <v>552SXPro25</v>
      </c>
      <c r="W126" s="943"/>
      <c r="X126" s="455"/>
      <c r="Y126" s="455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94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/>
      <c r="AO126" s="494"/>
      <c r="AP126" s="100"/>
      <c r="AQ126" s="494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7"/>
        <v>0</v>
      </c>
      <c r="BD126" s="896">
        <f t="shared" si="28"/>
        <v>0</v>
      </c>
      <c r="BE126" s="896">
        <f t="shared" si="29"/>
        <v>0</v>
      </c>
      <c r="BF126" s="387"/>
      <c r="BH126" s="505"/>
    </row>
    <row r="127" spans="1:60" s="38" customFormat="1" ht="15" customHeight="1">
      <c r="A127" s="91">
        <v>115</v>
      </c>
      <c r="B127" s="94">
        <v>553</v>
      </c>
      <c r="C127" s="94" t="s">
        <v>61</v>
      </c>
      <c r="D127" s="91">
        <v>25</v>
      </c>
      <c r="E127" s="100">
        <v>1934</v>
      </c>
      <c r="F127" s="100">
        <f>SUMIF(pro!$A:$A,$V:$V,pro!$N:$N)</f>
        <v>0</v>
      </c>
      <c r="G127" s="356"/>
      <c r="H127" s="100">
        <f>SUMIF(CBIN!$A:$A,BRAN!$V:$V,CBIN!$G:$G)</f>
        <v>0</v>
      </c>
      <c r="I127" s="100">
        <f>SUMIF(data!$D:$D,$B127&amp;$D127,data!$J:$J)</f>
        <v>577</v>
      </c>
      <c r="J127" s="100">
        <f>SUMIF(data!$D:$D,$B127&amp;$D127,data!$K:$K)</f>
        <v>14425</v>
      </c>
      <c r="K127" s="356">
        <f>SUMIF(AJOUT!$A:$A,BRAN!$V:$V,AJOUT!$L:$L)</f>
        <v>0</v>
      </c>
      <c r="L127" s="356">
        <f>SUMIF(CBOUT!$A:$A,BRAN!$V:$V,CBOUT!$G:$G)</f>
        <v>0</v>
      </c>
      <c r="M127" s="540">
        <f>E127+F127+H127-I127-L127+G127-K127</f>
        <v>1357</v>
      </c>
      <c r="N127" s="354">
        <f t="shared" si="30"/>
        <v>33925</v>
      </c>
      <c r="O127" s="357">
        <f t="shared" si="31"/>
        <v>137325</v>
      </c>
      <c r="P127" s="350"/>
      <c r="Q127" s="350"/>
      <c r="R127" s="356">
        <f>O127/INTGRATE!$N$293</f>
        <v>9155</v>
      </c>
      <c r="S127" s="349">
        <f t="shared" si="42"/>
        <v>3.7056253413435281</v>
      </c>
      <c r="T127" s="472"/>
      <c r="U127" s="139"/>
      <c r="V127" s="956" t="str">
        <f t="shared" si="43"/>
        <v>55325</v>
      </c>
      <c r="W127" s="943">
        <v>332301</v>
      </c>
      <c r="X127" s="455"/>
      <c r="Y127" s="455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>
        <v>10375</v>
      </c>
      <c r="AK127" s="100">
        <v>2250</v>
      </c>
      <c r="AL127" s="100">
        <v>5500</v>
      </c>
      <c r="AM127" s="100">
        <v>14425</v>
      </c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7"/>
        <v>137325</v>
      </c>
      <c r="BD127" s="896">
        <f t="shared" si="28"/>
        <v>14</v>
      </c>
      <c r="BE127" s="896">
        <f t="shared" si="29"/>
        <v>9808.9285714285706</v>
      </c>
      <c r="BH127" s="505"/>
    </row>
    <row r="128" spans="1:60" s="38" customFormat="1" ht="15" customHeight="1">
      <c r="A128" s="91">
        <v>116</v>
      </c>
      <c r="B128" s="94">
        <v>553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30"/>
        <v>0</v>
      </c>
      <c r="O128" s="357">
        <f t="shared" si="31"/>
        <v>0</v>
      </c>
      <c r="P128" s="496"/>
      <c r="Q128" s="496"/>
      <c r="R128" s="494">
        <f>O128/INTGRATE!$N$293</f>
        <v>0</v>
      </c>
      <c r="S128" s="349">
        <f t="shared" si="42"/>
        <v>0</v>
      </c>
      <c r="T128" s="472"/>
      <c r="U128" s="139"/>
      <c r="V128" s="956" t="str">
        <f t="shared" si="43"/>
        <v>553SILO</v>
      </c>
      <c r="W128" s="943">
        <v>332301</v>
      </c>
      <c r="X128" s="455"/>
      <c r="Y128" s="455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94">
        <v>0</v>
      </c>
      <c r="AI128" s="100">
        <v>0</v>
      </c>
      <c r="AJ128" s="100">
        <v>0</v>
      </c>
      <c r="AK128" s="100">
        <v>0</v>
      </c>
      <c r="AL128" s="100">
        <v>0</v>
      </c>
      <c r="AM128" s="100">
        <v>0</v>
      </c>
      <c r="AN128" s="100"/>
      <c r="AO128" s="494"/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7"/>
        <v>0</v>
      </c>
      <c r="BD128" s="896">
        <f t="shared" si="28"/>
        <v>0</v>
      </c>
      <c r="BE128" s="896">
        <f t="shared" si="29"/>
        <v>0</v>
      </c>
      <c r="BH128" s="505"/>
    </row>
    <row r="129" spans="1:60" s="38" customFormat="1" ht="15" customHeight="1">
      <c r="A129" s="91">
        <v>117</v>
      </c>
      <c r="B129" s="94" t="s">
        <v>68</v>
      </c>
      <c r="C129" s="176" t="s">
        <v>61</v>
      </c>
      <c r="D129" s="604" t="s">
        <v>81</v>
      </c>
      <c r="E129" s="494">
        <v>0</v>
      </c>
      <c r="F129" s="494">
        <f>+J129</f>
        <v>0</v>
      </c>
      <c r="G129" s="494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604">
        <v>0</v>
      </c>
      <c r="N129" s="354">
        <f t="shared" si="30"/>
        <v>0</v>
      </c>
      <c r="O129" s="357">
        <f t="shared" si="31"/>
        <v>172000</v>
      </c>
      <c r="P129" s="496"/>
      <c r="Q129" s="496"/>
      <c r="R129" s="494">
        <f>O129/INTGRATE!$N$293</f>
        <v>11466.666666666666</v>
      </c>
      <c r="S129" s="349">
        <f t="shared" si="42"/>
        <v>0</v>
      </c>
      <c r="T129" s="472"/>
      <c r="U129" s="139"/>
      <c r="V129" s="956" t="str">
        <f t="shared" si="43"/>
        <v>553SSILO</v>
      </c>
      <c r="W129" s="943">
        <v>332302</v>
      </c>
      <c r="X129" s="455"/>
      <c r="Y129" s="455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94">
        <v>17730</v>
      </c>
      <c r="AI129" s="100">
        <v>14900</v>
      </c>
      <c r="AJ129" s="100">
        <v>29560</v>
      </c>
      <c r="AK129" s="100">
        <v>0</v>
      </c>
      <c r="AL129" s="100">
        <v>0</v>
      </c>
      <c r="AM129" s="100">
        <v>0</v>
      </c>
      <c r="AN129" s="100"/>
      <c r="AO129" s="494"/>
      <c r="AP129" s="100"/>
      <c r="AQ129" s="494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7"/>
        <v>172000</v>
      </c>
      <c r="BD129" s="896">
        <f t="shared" si="28"/>
        <v>9</v>
      </c>
      <c r="BE129" s="896">
        <f t="shared" si="29"/>
        <v>19111.111111111109</v>
      </c>
      <c r="BH129" s="505"/>
    </row>
    <row r="130" spans="1:60" s="38" customFormat="1" ht="15" customHeight="1">
      <c r="A130" s="91">
        <v>118</v>
      </c>
      <c r="B130" s="94" t="s">
        <v>1480</v>
      </c>
      <c r="C130" s="167" t="s">
        <v>1483</v>
      </c>
      <c r="D130" s="703">
        <v>25</v>
      </c>
      <c r="E130" s="642">
        <v>0</v>
      </c>
      <c r="F130" s="100">
        <f>SUMIF(pro!$A:$A,$V:$V,pro!$N:$N)</f>
        <v>0</v>
      </c>
      <c r="G130" s="356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>
        <f>SUMIF(AJOUT!$A:$A,BRAN!$V:$V,AJOUT!$L:$L)</f>
        <v>0</v>
      </c>
      <c r="L130" s="356">
        <f>SUMIF(CBOUT!$A:$A,BRAN!$V:$V,CBOUT!$G:$G)</f>
        <v>0</v>
      </c>
      <c r="M130" s="540">
        <f>E130+F130+H130-I130-L130+G130-K130</f>
        <v>0</v>
      </c>
      <c r="N130" s="354">
        <f t="shared" si="30"/>
        <v>0</v>
      </c>
      <c r="O130" s="357">
        <f t="shared" si="31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553SPro25</v>
      </c>
      <c r="W130" s="943">
        <v>332121</v>
      </c>
      <c r="X130" s="455"/>
      <c r="Y130" s="455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94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7"/>
        <v>0</v>
      </c>
      <c r="BD130" s="896">
        <f t="shared" si="28"/>
        <v>0</v>
      </c>
      <c r="BE130" s="896">
        <f t="shared" si="29"/>
        <v>0</v>
      </c>
      <c r="BH130" s="505"/>
    </row>
    <row r="131" spans="1:60" s="38" customFormat="1" ht="15" customHeight="1">
      <c r="A131" s="91">
        <v>119</v>
      </c>
      <c r="B131" s="94" t="s">
        <v>1480</v>
      </c>
      <c r="C131" s="176" t="s">
        <v>61</v>
      </c>
      <c r="D131" s="604" t="s">
        <v>81</v>
      </c>
      <c r="E131" s="642"/>
      <c r="F131" s="494">
        <f>+J131</f>
        <v>0</v>
      </c>
      <c r="G131" s="494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/>
      <c r="L131" s="356"/>
      <c r="M131" s="540"/>
      <c r="N131" s="354">
        <f t="shared" si="30"/>
        <v>0</v>
      </c>
      <c r="O131" s="357">
        <f t="shared" si="31"/>
        <v>0</v>
      </c>
      <c r="P131" s="350"/>
      <c r="Q131" s="350"/>
      <c r="R131" s="356">
        <f>O131/INTGRATE!$N$293</f>
        <v>0</v>
      </c>
      <c r="S131" s="349">
        <f>IF(R131=0,0,N131/R131)</f>
        <v>0</v>
      </c>
      <c r="T131" s="472"/>
      <c r="U131" s="139"/>
      <c r="V131" s="956" t="str">
        <f>B131&amp;D131</f>
        <v>553SProSILO</v>
      </c>
      <c r="W131" s="943">
        <v>332121</v>
      </c>
      <c r="X131" s="455"/>
      <c r="Y131" s="455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94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/>
      <c r="AO131" s="494"/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7"/>
        <v>0</v>
      </c>
      <c r="BD131" s="896">
        <f t="shared" si="28"/>
        <v>0</v>
      </c>
      <c r="BE131" s="896">
        <f t="shared" si="29"/>
        <v>0</v>
      </c>
      <c r="BH131" s="505"/>
    </row>
    <row r="132" spans="1:60" s="38" customFormat="1" ht="15" customHeight="1">
      <c r="A132" s="91">
        <v>120</v>
      </c>
      <c r="B132" s="94" t="s">
        <v>68</v>
      </c>
      <c r="C132" s="94" t="s">
        <v>61</v>
      </c>
      <c r="D132" s="91">
        <v>25</v>
      </c>
      <c r="E132" s="356">
        <v>1967</v>
      </c>
      <c r="F132" s="100">
        <f>SUMIF(pro!$A:$A,$V:$V,pro!$N:$N)</f>
        <v>2378</v>
      </c>
      <c r="G132" s="356"/>
      <c r="H132" s="100">
        <f>SUMIF(CBIN!$A:$A,BRAN!$V:$V,CBIN!$G:$G)</f>
        <v>0</v>
      </c>
      <c r="I132" s="100">
        <f>SUMIF(data!$D:$D,$B132&amp;$D132,data!$J:$J)</f>
        <v>760</v>
      </c>
      <c r="J132" s="100">
        <f>SUMIF(data!$D:$D,$B132&amp;$D132,data!$K:$K)</f>
        <v>19000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3585</v>
      </c>
      <c r="N132" s="354">
        <f t="shared" si="30"/>
        <v>89625</v>
      </c>
      <c r="O132" s="357">
        <f t="shared" si="31"/>
        <v>238200</v>
      </c>
      <c r="P132" s="350"/>
      <c r="Q132" s="350"/>
      <c r="R132" s="356">
        <f>O132/INTGRATE!$N$293</f>
        <v>15880</v>
      </c>
      <c r="S132" s="349">
        <f t="shared" si="42"/>
        <v>5.6438916876574305</v>
      </c>
      <c r="T132" s="472"/>
      <c r="U132" s="139"/>
      <c r="V132" s="956" t="str">
        <f t="shared" si="43"/>
        <v>553S25</v>
      </c>
      <c r="W132" s="943">
        <v>332101</v>
      </c>
      <c r="X132" s="455"/>
      <c r="Y132" s="455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>
        <v>13475</v>
      </c>
      <c r="AK132" s="100">
        <v>35700</v>
      </c>
      <c r="AL132" s="100">
        <v>15250</v>
      </c>
      <c r="AM132" s="100">
        <v>19000</v>
      </c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7"/>
        <v>238200</v>
      </c>
      <c r="BD132" s="896">
        <f t="shared" si="28"/>
        <v>13</v>
      </c>
      <c r="BE132" s="896">
        <f t="shared" si="29"/>
        <v>18323.076923076922</v>
      </c>
      <c r="BH132" s="505"/>
    </row>
    <row r="133" spans="1:60" s="38" customFormat="1" ht="15" customHeight="1">
      <c r="A133" s="91">
        <v>121</v>
      </c>
      <c r="B133" s="177">
        <v>562</v>
      </c>
      <c r="C133" s="178" t="s">
        <v>61</v>
      </c>
      <c r="D133" s="179">
        <v>25</v>
      </c>
      <c r="E133" s="356">
        <v>0</v>
      </c>
      <c r="F133" s="100">
        <f>SUMIF(pro!$A:$A,$V:$V,pro!$N:$N)</f>
        <v>963</v>
      </c>
      <c r="G133" s="356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963</v>
      </c>
      <c r="N133" s="354">
        <f t="shared" si="30"/>
        <v>24075</v>
      </c>
      <c r="O133" s="357">
        <f t="shared" si="31"/>
        <v>73100</v>
      </c>
      <c r="P133" s="356"/>
      <c r="Q133" s="356"/>
      <c r="R133" s="356">
        <f>O133/INTGRATE!$N$293</f>
        <v>4873.333333333333</v>
      </c>
      <c r="S133" s="349">
        <f t="shared" si="42"/>
        <v>4.9401504787961699</v>
      </c>
      <c r="T133" s="472"/>
      <c r="U133" s="139"/>
      <c r="V133" s="956" t="str">
        <f t="shared" si="43"/>
        <v>56225</v>
      </c>
      <c r="W133" s="943">
        <v>362001</v>
      </c>
      <c r="X133" s="455"/>
      <c r="Y133" s="455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>
        <v>0</v>
      </c>
      <c r="AK133" s="100">
        <v>24900</v>
      </c>
      <c r="AL133" s="100">
        <v>0</v>
      </c>
      <c r="AM133" s="100">
        <v>0</v>
      </c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7"/>
        <v>73100</v>
      </c>
      <c r="BD133" s="896">
        <f t="shared" si="28"/>
        <v>4</v>
      </c>
      <c r="BE133" s="896">
        <f t="shared" si="29"/>
        <v>18275</v>
      </c>
      <c r="BF133" s="387"/>
      <c r="BH133" s="505"/>
    </row>
    <row r="134" spans="1:60" s="38" customFormat="1" ht="15" customHeight="1">
      <c r="A134" s="91">
        <v>122</v>
      </c>
      <c r="B134" s="177" t="s">
        <v>102</v>
      </c>
      <c r="C134" s="178" t="s">
        <v>61</v>
      </c>
      <c r="D134" s="179">
        <v>25</v>
      </c>
      <c r="E134" s="356">
        <v>156</v>
      </c>
      <c r="F134" s="100">
        <f>SUMIF(pro!$A:$A,$V:$V,pro!$N:$N)</f>
        <v>0</v>
      </c>
      <c r="G134" s="356"/>
      <c r="H134" s="100">
        <f>SUMIF(CBIN!$A:$A,BRAN!$V:$V,CBIN!$G:$G)</f>
        <v>0</v>
      </c>
      <c r="I134" s="100">
        <f>SUMIF(data!$D:$D,$B134&amp;$D134,data!$J:$J)</f>
        <v>0</v>
      </c>
      <c r="J134" s="100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540">
        <f>E134+F134+H134-I134-L134+G134-K134</f>
        <v>156</v>
      </c>
      <c r="N134" s="354">
        <f t="shared" si="30"/>
        <v>3900</v>
      </c>
      <c r="O134" s="357">
        <f t="shared" si="31"/>
        <v>10475</v>
      </c>
      <c r="P134" s="356"/>
      <c r="Q134" s="356"/>
      <c r="R134" s="356">
        <f>O134/INTGRATE!$N$293</f>
        <v>698.33333333333337</v>
      </c>
      <c r="S134" s="349">
        <f t="shared" si="42"/>
        <v>5.5847255369928401</v>
      </c>
      <c r="T134" s="472"/>
      <c r="U134" s="139"/>
      <c r="V134" s="956" t="str">
        <f t="shared" si="43"/>
        <v>562P25</v>
      </c>
      <c r="W134" s="943">
        <v>364201</v>
      </c>
      <c r="X134" s="455"/>
      <c r="Y134" s="455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>
        <v>650</v>
      </c>
      <c r="AK134" s="100">
        <v>0</v>
      </c>
      <c r="AL134" s="100">
        <v>1000</v>
      </c>
      <c r="AM134" s="100">
        <v>0</v>
      </c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7"/>
        <v>10475</v>
      </c>
      <c r="BD134" s="896">
        <f t="shared" si="28"/>
        <v>10</v>
      </c>
      <c r="BE134" s="896">
        <f t="shared" si="29"/>
        <v>1047.5</v>
      </c>
      <c r="BH134" s="505"/>
    </row>
    <row r="135" spans="1:60" s="38" customFormat="1" ht="15" customHeight="1">
      <c r="A135" s="91">
        <v>123</v>
      </c>
      <c r="B135" s="177" t="s">
        <v>102</v>
      </c>
      <c r="C135" s="178" t="s">
        <v>61</v>
      </c>
      <c r="D135" s="700" t="s">
        <v>81</v>
      </c>
      <c r="E135" s="356">
        <v>0</v>
      </c>
      <c r="F135" s="494">
        <f>+J135</f>
        <v>0</v>
      </c>
      <c r="G135" s="494"/>
      <c r="H135" s="100">
        <f>SUMIF(CBIN!$A:$A,BRAN!$V:$V,CBIN!$G:$G)</f>
        <v>0</v>
      </c>
      <c r="I135" s="100">
        <f>SUMIF(data!$D:$D,$B135&amp;$D135,data!$J:$J)</f>
        <v>0</v>
      </c>
      <c r="J135" s="494">
        <f>SUMIF(data!$D:$D,$B135&amp;$D135,data!$K:$K)</f>
        <v>0</v>
      </c>
      <c r="K135" s="356">
        <f>SUMIF(AJOUT!$A:$A,BRAN!$V:$V,AJOUT!$L:$L)</f>
        <v>0</v>
      </c>
      <c r="L135" s="356">
        <f>SUMIF(CBOUT!$A:$A,BRAN!$V:$V,CBOUT!$G:$G)</f>
        <v>0</v>
      </c>
      <c r="M135" s="604">
        <v>0</v>
      </c>
      <c r="N135" s="354">
        <f t="shared" si="30"/>
        <v>0</v>
      </c>
      <c r="O135" s="357">
        <f t="shared" si="31"/>
        <v>12040</v>
      </c>
      <c r="P135" s="494"/>
      <c r="Q135" s="494"/>
      <c r="R135" s="494">
        <f>O135/INTGRATE!$N$293</f>
        <v>802.66666666666663</v>
      </c>
      <c r="S135" s="349">
        <f t="shared" si="42"/>
        <v>0</v>
      </c>
      <c r="T135" s="472"/>
      <c r="U135" s="139"/>
      <c r="V135" s="956" t="str">
        <f t="shared" si="43"/>
        <v>562PSILO</v>
      </c>
      <c r="W135" s="943">
        <v>364201</v>
      </c>
      <c r="X135" s="455"/>
      <c r="Y135" s="455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94">
        <v>0</v>
      </c>
      <c r="AI135" s="100">
        <v>0</v>
      </c>
      <c r="AJ135" s="100">
        <v>0</v>
      </c>
      <c r="AK135" s="100">
        <v>0</v>
      </c>
      <c r="AL135" s="100">
        <v>0</v>
      </c>
      <c r="AM135" s="100">
        <v>0</v>
      </c>
      <c r="AN135" s="100"/>
      <c r="AO135" s="494"/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7"/>
        <v>12040</v>
      </c>
      <c r="BD135" s="896">
        <f t="shared" si="28"/>
        <v>1</v>
      </c>
      <c r="BE135" s="896">
        <f t="shared" si="29"/>
        <v>12040</v>
      </c>
      <c r="BH135" s="505"/>
    </row>
    <row r="136" spans="1:60" s="38" customFormat="1" ht="15" customHeight="1">
      <c r="A136" s="91">
        <v>124</v>
      </c>
      <c r="B136" s="177" t="s">
        <v>1925</v>
      </c>
      <c r="C136" s="178" t="s">
        <v>61</v>
      </c>
      <c r="D136" s="700" t="s">
        <v>81</v>
      </c>
      <c r="E136" s="356"/>
      <c r="F136" s="494">
        <f>+J136</f>
        <v>0</v>
      </c>
      <c r="G136" s="494"/>
      <c r="H136" s="100"/>
      <c r="I136" s="100"/>
      <c r="J136" s="494">
        <f>SUMIF(data!$D:$D,$B136&amp;$D136,data!$K:$K)</f>
        <v>0</v>
      </c>
      <c r="K136" s="356"/>
      <c r="L136" s="356"/>
      <c r="M136" s="604"/>
      <c r="N136" s="354"/>
      <c r="O136" s="357">
        <f>SUM(X136:BB136)</f>
        <v>0</v>
      </c>
      <c r="P136" s="494"/>
      <c r="Q136" s="494"/>
      <c r="R136" s="494">
        <f>O136/INTGRATE!$N$293</f>
        <v>0</v>
      </c>
      <c r="S136" s="349">
        <f>IF(R136=0,0,N136/R136)</f>
        <v>0</v>
      </c>
      <c r="T136" s="472"/>
      <c r="U136" s="139"/>
      <c r="V136" s="956" t="str">
        <f t="shared" si="43"/>
        <v>562PXSILO</v>
      </c>
      <c r="W136" s="943">
        <v>364208</v>
      </c>
      <c r="X136" s="455"/>
      <c r="Y136" s="455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94">
        <v>0</v>
      </c>
      <c r="AI136" s="100">
        <v>0</v>
      </c>
      <c r="AJ136" s="100">
        <v>0</v>
      </c>
      <c r="AK136" s="100">
        <v>0</v>
      </c>
      <c r="AL136" s="100">
        <v>0</v>
      </c>
      <c r="AM136" s="100">
        <v>0</v>
      </c>
      <c r="AN136" s="100"/>
      <c r="AO136" s="494"/>
      <c r="AP136" s="100"/>
      <c r="AQ136" s="494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7"/>
        <v>0</v>
      </c>
      <c r="BD136" s="896">
        <f t="shared" si="28"/>
        <v>0</v>
      </c>
      <c r="BE136" s="896">
        <f t="shared" si="29"/>
        <v>0</v>
      </c>
      <c r="BH136" s="505"/>
    </row>
    <row r="137" spans="1:60" s="38" customFormat="1" ht="15" customHeight="1">
      <c r="A137" s="91">
        <v>125</v>
      </c>
      <c r="B137" s="177">
        <v>566</v>
      </c>
      <c r="C137" s="178" t="s">
        <v>61</v>
      </c>
      <c r="D137" s="700" t="s">
        <v>81</v>
      </c>
      <c r="E137" s="494">
        <v>0</v>
      </c>
      <c r="F137" s="494">
        <f>+J137</f>
        <v>0</v>
      </c>
      <c r="G137" s="494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604">
        <v>0</v>
      </c>
      <c r="N137" s="354">
        <f t="shared" si="30"/>
        <v>0</v>
      </c>
      <c r="O137" s="357">
        <f t="shared" si="31"/>
        <v>36390</v>
      </c>
      <c r="P137" s="494"/>
      <c r="Q137" s="494"/>
      <c r="R137" s="494">
        <f>O137/INTGRATE!$N$293</f>
        <v>2426</v>
      </c>
      <c r="S137" s="349">
        <f t="shared" si="42"/>
        <v>0</v>
      </c>
      <c r="T137" s="472"/>
      <c r="U137" s="139"/>
      <c r="V137" s="956" t="str">
        <f t="shared" si="43"/>
        <v>566SILO</v>
      </c>
      <c r="W137" s="943">
        <v>364201</v>
      </c>
      <c r="X137" s="455"/>
      <c r="Y137" s="455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7"/>
        <v>36390</v>
      </c>
      <c r="BD137" s="896">
        <f t="shared" si="28"/>
        <v>3</v>
      </c>
      <c r="BE137" s="896">
        <f t="shared" si="29"/>
        <v>12130</v>
      </c>
      <c r="BH137" s="505"/>
    </row>
    <row r="138" spans="1:60" s="38" customFormat="1" ht="15" customHeight="1">
      <c r="A138" s="91">
        <v>126</v>
      </c>
      <c r="B138" s="177">
        <v>566</v>
      </c>
      <c r="C138" s="178" t="s">
        <v>61</v>
      </c>
      <c r="D138" s="179">
        <v>25</v>
      </c>
      <c r="E138" s="100">
        <v>2308</v>
      </c>
      <c r="F138" s="100">
        <f>SUMIF(pro!$A:$A,$V:$V,pro!$N:$N)</f>
        <v>2200</v>
      </c>
      <c r="G138" s="356"/>
      <c r="H138" s="100">
        <f>SUMIF(CBIN!$A:$A,BRAN!$V:$V,CBIN!$G:$G)</f>
        <v>0</v>
      </c>
      <c r="I138" s="100">
        <f>SUMIF(data!$D:$D,$B138&amp;$D138,data!$J:$J)</f>
        <v>722</v>
      </c>
      <c r="J138" s="100">
        <f>SUMIF(data!$D:$D,$B138&amp;$D138,data!$K:$K)</f>
        <v>18050</v>
      </c>
      <c r="K138" s="356">
        <f>SUMIF(AJOUT!$A:$A,BRAN!$V:$V,AJOUT!$L:$L)</f>
        <v>0</v>
      </c>
      <c r="L138" s="356">
        <f>SUMIF(CBOUT!$A:$A,BRAN!$V:$V,CBOUT!$G:$G)</f>
        <v>0</v>
      </c>
      <c r="M138" s="540">
        <f>E138+F138+H138-I138-L138+G138-K138</f>
        <v>3786</v>
      </c>
      <c r="N138" s="354">
        <f t="shared" si="30"/>
        <v>94650</v>
      </c>
      <c r="O138" s="357">
        <f t="shared" si="31"/>
        <v>263075</v>
      </c>
      <c r="P138" s="356"/>
      <c r="Q138" s="356"/>
      <c r="R138" s="356">
        <f>O138/INTGRATE!$N$293</f>
        <v>17538.333333333332</v>
      </c>
      <c r="S138" s="349">
        <f t="shared" si="42"/>
        <v>5.3967499762425168</v>
      </c>
      <c r="T138" s="472"/>
      <c r="U138" s="139"/>
      <c r="V138" s="956" t="str">
        <f t="shared" si="43"/>
        <v>56625</v>
      </c>
      <c r="W138" s="943">
        <v>366201</v>
      </c>
      <c r="X138" s="455"/>
      <c r="Y138" s="455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>
        <v>27425</v>
      </c>
      <c r="AK138" s="100">
        <v>14000</v>
      </c>
      <c r="AL138" s="100">
        <v>6750</v>
      </c>
      <c r="AM138" s="100">
        <v>18050</v>
      </c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7"/>
        <v>263075</v>
      </c>
      <c r="BD138" s="896">
        <f t="shared" si="28"/>
        <v>14</v>
      </c>
      <c r="BE138" s="896">
        <f t="shared" si="29"/>
        <v>18791.071428571428</v>
      </c>
      <c r="BH138" s="505"/>
    </row>
    <row r="139" spans="1:60" s="38" customFormat="1" ht="15" customHeight="1">
      <c r="A139" s="91">
        <v>127</v>
      </c>
      <c r="B139" s="177" t="s">
        <v>1876</v>
      </c>
      <c r="C139" s="178" t="s">
        <v>61</v>
      </c>
      <c r="D139" s="179">
        <v>25</v>
      </c>
      <c r="E139" s="100">
        <v>0</v>
      </c>
      <c r="F139" s="100">
        <f>SUMIF(pro!$A:$A,$V:$V,pro!$N:$N)</f>
        <v>0</v>
      </c>
      <c r="G139" s="356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356">
        <f>SUMIF(AJOUT!$A:$A,BRAN!$V:$V,AJOUT!$L:$L)</f>
        <v>0</v>
      </c>
      <c r="L139" s="356"/>
      <c r="M139" s="540">
        <f>E139+F139+H139-I139-L139+G139-K139</f>
        <v>0</v>
      </c>
      <c r="N139" s="354">
        <f t="shared" si="30"/>
        <v>0</v>
      </c>
      <c r="O139" s="357">
        <f t="shared" si="31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43"/>
        <v>566X25</v>
      </c>
      <c r="W139" s="943">
        <v>366208</v>
      </c>
      <c r="X139" s="455"/>
      <c r="Y139" s="455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7"/>
        <v>0</v>
      </c>
      <c r="BD139" s="896">
        <f t="shared" si="28"/>
        <v>0</v>
      </c>
      <c r="BE139" s="896">
        <f t="shared" si="29"/>
        <v>0</v>
      </c>
      <c r="BH139" s="505"/>
    </row>
    <row r="140" spans="1:60" s="38" customFormat="1" ht="15" customHeight="1">
      <c r="A140" s="91">
        <v>128</v>
      </c>
      <c r="B140" s="177" t="s">
        <v>1876</v>
      </c>
      <c r="C140" s="178" t="s">
        <v>61</v>
      </c>
      <c r="D140" s="702" t="s">
        <v>81</v>
      </c>
      <c r="E140" s="100"/>
      <c r="F140" s="100">
        <f>J140</f>
        <v>0</v>
      </c>
      <c r="G140" s="356"/>
      <c r="H140" s="100"/>
      <c r="I140" s="100"/>
      <c r="J140" s="100">
        <f>SUMIF(data!$D:$D,$B140&amp;$D140,data!$K:$K)</f>
        <v>0</v>
      </c>
      <c r="K140" s="356"/>
      <c r="L140" s="356"/>
      <c r="M140" s="540"/>
      <c r="N140" s="354">
        <f t="shared" si="30"/>
        <v>0</v>
      </c>
      <c r="O140" s="357">
        <f t="shared" si="31"/>
        <v>0</v>
      </c>
      <c r="P140" s="356"/>
      <c r="Q140" s="356"/>
      <c r="R140" s="356">
        <f>O140/INTGRATE!$N$293</f>
        <v>0</v>
      </c>
      <c r="S140" s="349">
        <f>IF(R140=0,0,N140/R140)</f>
        <v>0</v>
      </c>
      <c r="T140" s="472"/>
      <c r="U140" s="139"/>
      <c r="V140" s="956" t="str">
        <f t="shared" si="43"/>
        <v>566XSILO</v>
      </c>
      <c r="W140" s="943">
        <v>366208</v>
      </c>
      <c r="X140" s="455"/>
      <c r="Y140" s="455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7"/>
        <v>0</v>
      </c>
      <c r="BD140" s="896">
        <f t="shared" si="28"/>
        <v>0</v>
      </c>
      <c r="BE140" s="896">
        <f t="shared" si="29"/>
        <v>0</v>
      </c>
      <c r="BH140" s="505"/>
    </row>
    <row r="141" spans="1:60" s="38" customFormat="1" ht="15" customHeight="1">
      <c r="A141" s="91">
        <v>129</v>
      </c>
      <c r="B141" s="177">
        <f>567</f>
        <v>567</v>
      </c>
      <c r="C141" s="178" t="s">
        <v>61</v>
      </c>
      <c r="D141" s="179">
        <v>25</v>
      </c>
      <c r="E141" s="356">
        <v>792</v>
      </c>
      <c r="F141" s="100">
        <f>SUMIF(pro!$A:$A,$V:$V,pro!$N:$N)</f>
        <v>0</v>
      </c>
      <c r="G141" s="356"/>
      <c r="H141" s="100">
        <f>SUMIF(CBIN!$A:$A,BRAN!$V:$V,CBIN!$G:$G)</f>
        <v>0</v>
      </c>
      <c r="I141" s="100">
        <f>SUMIF(data!$D:$D,$B141&amp;$D141,data!$J:$J)</f>
        <v>176</v>
      </c>
      <c r="J141" s="100">
        <f>SUMIF(data!$D:$D,$B141&amp;$D141,data!$K:$K)</f>
        <v>4400</v>
      </c>
      <c r="K141" s="356">
        <f>SUMIF(AJOUT!$A:$A,BRAN!$V:$V,AJOUT!$L:$L)</f>
        <v>0</v>
      </c>
      <c r="L141" s="356">
        <f>SUMIF(CBOUT!$A:$A,BRAN!$V:$V,CBOUT!$G:$G)</f>
        <v>0</v>
      </c>
      <c r="M141" s="540">
        <f>E141+F141+H141-I141-L141+G141-K141</f>
        <v>616</v>
      </c>
      <c r="N141" s="354">
        <f t="shared" si="30"/>
        <v>15400</v>
      </c>
      <c r="O141" s="357">
        <f t="shared" si="31"/>
        <v>69450</v>
      </c>
      <c r="P141" s="356"/>
      <c r="Q141" s="356"/>
      <c r="R141" s="356">
        <f>O141/INTGRATE!$N$293</f>
        <v>4630</v>
      </c>
      <c r="S141" s="349">
        <f t="shared" si="42"/>
        <v>3.3261339092872571</v>
      </c>
      <c r="T141" s="471"/>
      <c r="U141" s="139"/>
      <c r="V141" s="956" t="str">
        <f t="shared" si="43"/>
        <v>56725</v>
      </c>
      <c r="W141" s="943">
        <v>367201</v>
      </c>
      <c r="X141" s="455"/>
      <c r="Y141" s="455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>
        <v>8900</v>
      </c>
      <c r="AK141" s="100">
        <v>1125</v>
      </c>
      <c r="AL141" s="100">
        <v>2700</v>
      </c>
      <c r="AM141" s="100">
        <v>4400</v>
      </c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7"/>
        <v>69450</v>
      </c>
      <c r="BD141" s="896">
        <f t="shared" si="28"/>
        <v>14</v>
      </c>
      <c r="BE141" s="896">
        <f t="shared" si="29"/>
        <v>4960.7142857142853</v>
      </c>
      <c r="BH141" s="505"/>
    </row>
    <row r="142" spans="1:60" s="38" customFormat="1" ht="15" customHeight="1">
      <c r="A142" s="91">
        <v>130</v>
      </c>
      <c r="B142" s="177" t="s">
        <v>60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356">
        <f>SUMIF(AJOUT!$A:$A,BRAN!$V:$V,AJOUT!$L:$L)</f>
        <v>0</v>
      </c>
      <c r="L142" s="356">
        <f>SUMIF(CBOUT!$A:$A,BRAN!$V:$V,CBOUT!$G:$G)</f>
        <v>0</v>
      </c>
      <c r="M142" s="604"/>
      <c r="N142" s="354">
        <f t="shared" si="30"/>
        <v>0</v>
      </c>
      <c r="O142" s="357">
        <f t="shared" si="31"/>
        <v>12020</v>
      </c>
      <c r="P142" s="494"/>
      <c r="Q142" s="494"/>
      <c r="R142" s="494">
        <f>O142/INTGRATE!$N$293</f>
        <v>801.33333333333337</v>
      </c>
      <c r="S142" s="349">
        <f t="shared" si="42"/>
        <v>0</v>
      </c>
      <c r="T142" s="472"/>
      <c r="U142" s="139"/>
      <c r="V142" s="956" t="str">
        <f t="shared" si="43"/>
        <v>567SSILO</v>
      </c>
      <c r="W142" s="943">
        <v>367101</v>
      </c>
      <c r="X142" s="455"/>
      <c r="Y142" s="455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94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/>
      <c r="AO142" s="494"/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7"/>
        <v>12020</v>
      </c>
      <c r="BD142" s="896">
        <f t="shared" si="28"/>
        <v>1</v>
      </c>
      <c r="BE142" s="896">
        <f t="shared" si="29"/>
        <v>12020</v>
      </c>
      <c r="BH142" s="505"/>
    </row>
    <row r="143" spans="1:60" s="38" customFormat="1" ht="15" customHeight="1">
      <c r="A143" s="91">
        <v>131</v>
      </c>
      <c r="B143" s="177" t="s">
        <v>1882</v>
      </c>
      <c r="C143" s="178" t="s">
        <v>61</v>
      </c>
      <c r="D143" s="700" t="s">
        <v>81</v>
      </c>
      <c r="E143" s="605"/>
      <c r="F143" s="494">
        <f>+J143</f>
        <v>0</v>
      </c>
      <c r="G143" s="494"/>
      <c r="H143" s="100"/>
      <c r="I143" s="100"/>
      <c r="J143" s="494">
        <f>SUMIF(data!$D:$D,$B143&amp;$D143,data!$K:$K)</f>
        <v>0</v>
      </c>
      <c r="K143" s="356"/>
      <c r="L143" s="356"/>
      <c r="M143" s="604"/>
      <c r="N143" s="354">
        <f t="shared" si="30"/>
        <v>0</v>
      </c>
      <c r="O143" s="357">
        <f t="shared" si="31"/>
        <v>0</v>
      </c>
      <c r="P143" s="494"/>
      <c r="Q143" s="494"/>
      <c r="R143" s="494">
        <f>O143/INTGRATE!$N$293</f>
        <v>0</v>
      </c>
      <c r="S143" s="349">
        <f>IF(R143=0,0,N143/R143)</f>
        <v>0</v>
      </c>
      <c r="T143" s="472"/>
      <c r="U143" s="139"/>
      <c r="V143" s="956" t="str">
        <f t="shared" si="43"/>
        <v>567SXSILO</v>
      </c>
      <c r="W143" s="943">
        <v>367108</v>
      </c>
      <c r="X143" s="455"/>
      <c r="Y143" s="455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94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/>
      <c r="AO143" s="494"/>
      <c r="AP143" s="100"/>
      <c r="AQ143" s="494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7"/>
        <v>0</v>
      </c>
      <c r="BD143" s="896">
        <f t="shared" si="28"/>
        <v>0</v>
      </c>
      <c r="BE143" s="896">
        <f t="shared" si="29"/>
        <v>0</v>
      </c>
      <c r="BH143" s="505"/>
    </row>
    <row r="144" spans="1:60" s="38" customFormat="1" ht="15" customHeight="1">
      <c r="A144" s="91">
        <v>132</v>
      </c>
      <c r="B144" s="177" t="s">
        <v>60</v>
      </c>
      <c r="C144" s="178" t="s">
        <v>61</v>
      </c>
      <c r="D144" s="179">
        <v>25</v>
      </c>
      <c r="E144" s="359">
        <v>3406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334</v>
      </c>
      <c r="J144" s="100">
        <f>SUMIF(data!$D:$D,$B144&amp;$D144,data!$K:$K)</f>
        <v>8350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ref="M144:M150" si="47">E144+F144+H144-I144-L144+G144-K144</f>
        <v>3072</v>
      </c>
      <c r="N144" s="354">
        <f t="shared" si="30"/>
        <v>76800</v>
      </c>
      <c r="O144" s="357">
        <f t="shared" si="31"/>
        <v>246975</v>
      </c>
      <c r="P144" s="356"/>
      <c r="Q144" s="356"/>
      <c r="R144" s="356">
        <f>O144/INTGRATE!$N$293</f>
        <v>16465</v>
      </c>
      <c r="S144" s="349">
        <f t="shared" si="42"/>
        <v>4.6644397206194963</v>
      </c>
      <c r="T144" s="472"/>
      <c r="U144" s="139"/>
      <c r="V144" s="956" t="str">
        <f t="shared" si="43"/>
        <v>567S25</v>
      </c>
      <c r="W144" s="943">
        <v>367101</v>
      </c>
      <c r="X144" s="455"/>
      <c r="Y144" s="455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>
        <v>9975</v>
      </c>
      <c r="AK144" s="100">
        <v>6750</v>
      </c>
      <c r="AL144" s="100">
        <v>1125</v>
      </c>
      <c r="AM144" s="100">
        <v>8350</v>
      </c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7"/>
        <v>246975</v>
      </c>
      <c r="BD144" s="896">
        <f t="shared" si="28"/>
        <v>14</v>
      </c>
      <c r="BE144" s="896">
        <f t="shared" si="29"/>
        <v>17641.071428571428</v>
      </c>
      <c r="BH144" s="505"/>
    </row>
    <row r="145" spans="1:151" s="95" customFormat="1" ht="15" customHeight="1">
      <c r="A145" s="91">
        <v>133</v>
      </c>
      <c r="B145" s="183">
        <v>584</v>
      </c>
      <c r="C145" s="182" t="s">
        <v>61</v>
      </c>
      <c r="D145" s="184">
        <v>25</v>
      </c>
      <c r="E145" s="359">
        <v>552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20</v>
      </c>
      <c r="J145" s="100">
        <f>SUMIF(data!$D:$D,$B145&amp;$D145,data!$K:$K)</f>
        <v>500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7"/>
        <v>532</v>
      </c>
      <c r="N145" s="354">
        <f t="shared" si="30"/>
        <v>13300</v>
      </c>
      <c r="O145" s="357">
        <f t="shared" si="31"/>
        <v>8800</v>
      </c>
      <c r="P145" s="350"/>
      <c r="Q145" s="350"/>
      <c r="R145" s="356">
        <f>O145/INTGRATE!$N$293</f>
        <v>586.66666666666663</v>
      </c>
      <c r="S145" s="349">
        <f t="shared" si="42"/>
        <v>22.670454545454547</v>
      </c>
      <c r="T145" s="472"/>
      <c r="U145" s="139"/>
      <c r="V145" s="956" t="str">
        <f t="shared" si="43"/>
        <v>58425</v>
      </c>
      <c r="W145" s="943">
        <v>433001</v>
      </c>
      <c r="X145" s="455"/>
      <c r="Y145" s="455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>
        <v>850</v>
      </c>
      <c r="AK145" s="100">
        <v>1400</v>
      </c>
      <c r="AL145" s="100">
        <v>250</v>
      </c>
      <c r="AM145" s="100">
        <v>500</v>
      </c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7"/>
        <v>8800</v>
      </c>
      <c r="BD145" s="896">
        <f t="shared" si="28"/>
        <v>13</v>
      </c>
      <c r="BE145" s="896">
        <f t="shared" si="29"/>
        <v>676.92307692307691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1907</v>
      </c>
      <c r="C146" s="182" t="s">
        <v>61</v>
      </c>
      <c r="D146" s="184">
        <v>25</v>
      </c>
      <c r="E146" s="359">
        <v>320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320</v>
      </c>
      <c r="J146" s="100">
        <f>SUMIF(data!$D:$D,$B146&amp;$D146,data!$K:$K)</f>
        <v>8000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7"/>
        <v>0</v>
      </c>
      <c r="N146" s="354">
        <f t="shared" si="30"/>
        <v>0</v>
      </c>
      <c r="O146" s="357">
        <f t="shared" si="31"/>
        <v>8000</v>
      </c>
      <c r="P146" s="350"/>
      <c r="Q146" s="350"/>
      <c r="R146" s="356">
        <f>O146/INTGRATE!$N$293</f>
        <v>533.33333333333337</v>
      </c>
      <c r="S146" s="349">
        <f>IF(R146=0,0,N146/R146)</f>
        <v>0</v>
      </c>
      <c r="T146" s="472"/>
      <c r="U146" s="139"/>
      <c r="V146" s="956" t="str">
        <f t="shared" si="43"/>
        <v>571 O125</v>
      </c>
      <c r="W146" s="943">
        <v>411001</v>
      </c>
      <c r="X146" s="458"/>
      <c r="Y146" s="458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8000</v>
      </c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7"/>
        <v>8000</v>
      </c>
      <c r="BD146" s="896">
        <f t="shared" si="28"/>
        <v>1</v>
      </c>
      <c r="BE146" s="896">
        <f t="shared" si="29"/>
        <v>8000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 t="s">
        <v>951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7"/>
        <v>0</v>
      </c>
      <c r="N147" s="354">
        <f t="shared" si="30"/>
        <v>0</v>
      </c>
      <c r="O147" s="357">
        <f t="shared" si="31"/>
        <v>0</v>
      </c>
      <c r="P147" s="350"/>
      <c r="Q147" s="350"/>
      <c r="R147" s="356">
        <f>O147/INTGRATE!$N$293</f>
        <v>0</v>
      </c>
      <c r="S147" s="349">
        <f t="shared" si="42"/>
        <v>0</v>
      </c>
      <c r="T147" s="472"/>
      <c r="U147" s="139"/>
      <c r="V147" s="956" t="str">
        <f t="shared" si="43"/>
        <v>585S25</v>
      </c>
      <c r="W147" s="943">
        <v>433011</v>
      </c>
      <c r="X147" s="458"/>
      <c r="Y147" s="458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>
        <v>0</v>
      </c>
      <c r="AK147" s="100">
        <v>0</v>
      </c>
      <c r="AL147" s="100">
        <v>0</v>
      </c>
      <c r="AM147" s="100">
        <v>0</v>
      </c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si="27"/>
        <v>0</v>
      </c>
      <c r="BD147" s="896">
        <f t="shared" si="28"/>
        <v>0</v>
      </c>
      <c r="BE147" s="896">
        <f t="shared" si="29"/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596</v>
      </c>
      <c r="C148" s="534" t="s">
        <v>61</v>
      </c>
      <c r="D148" s="184">
        <v>25</v>
      </c>
      <c r="E148" s="359">
        <v>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7"/>
        <v>0</v>
      </c>
      <c r="N148" s="354">
        <f t="shared" si="30"/>
        <v>0</v>
      </c>
      <c r="O148" s="357">
        <f t="shared" si="31"/>
        <v>0</v>
      </c>
      <c r="P148" s="924"/>
      <c r="Q148" s="350"/>
      <c r="R148" s="356">
        <f>O148/INTGRATE!$N$293</f>
        <v>0</v>
      </c>
      <c r="S148" s="349">
        <f t="shared" si="42"/>
        <v>0</v>
      </c>
      <c r="T148" s="472"/>
      <c r="U148" s="139"/>
      <c r="V148" s="956" t="str">
        <f t="shared" si="43"/>
        <v>59625</v>
      </c>
      <c r="W148" s="943">
        <v>424001</v>
      </c>
      <c r="X148" s="458"/>
      <c r="Y148" s="458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>
        <v>0</v>
      </c>
      <c r="AK148" s="100">
        <v>0</v>
      </c>
      <c r="AL148" s="100">
        <v>0</v>
      </c>
      <c r="AM148" s="100">
        <v>0</v>
      </c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ref="BC148:BC150" si="48">SUM(X148:BB148)</f>
        <v>0</v>
      </c>
      <c r="BD148" s="896">
        <f t="shared" ref="BD148:BD150" si="49">COUNTIF(X148:BB148,"&gt;0")</f>
        <v>0</v>
      </c>
      <c r="BE148" s="896">
        <f t="shared" ref="BE148:BE150" si="50">IFERROR(BC148/BD148,0)</f>
        <v>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79">
        <v>594</v>
      </c>
      <c r="C149" s="534" t="s">
        <v>61</v>
      </c>
      <c r="D149" s="184">
        <v>25</v>
      </c>
      <c r="E149" s="359">
        <v>351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7"/>
        <v>351</v>
      </c>
      <c r="N149" s="354">
        <f t="shared" si="30"/>
        <v>8775</v>
      </c>
      <c r="O149" s="357">
        <f t="shared" si="31"/>
        <v>8750</v>
      </c>
      <c r="P149" s="350"/>
      <c r="Q149" s="350"/>
      <c r="R149" s="356">
        <f>O149/INTGRATE!$N$293</f>
        <v>583.33333333333337</v>
      </c>
      <c r="S149" s="349">
        <f t="shared" si="42"/>
        <v>15.042857142857143</v>
      </c>
      <c r="T149" s="472"/>
      <c r="U149" s="139"/>
      <c r="V149" s="956" t="str">
        <f t="shared" si="43"/>
        <v>59425</v>
      </c>
      <c r="W149" s="943">
        <v>422001</v>
      </c>
      <c r="X149" s="458"/>
      <c r="Y149" s="458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>
        <v>0</v>
      </c>
      <c r="AK149" s="100">
        <v>0</v>
      </c>
      <c r="AL149" s="100">
        <v>5250</v>
      </c>
      <c r="AM149" s="100">
        <v>0</v>
      </c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48"/>
      <c r="AY149" s="100"/>
      <c r="AZ149" s="100"/>
      <c r="BA149" s="100"/>
      <c r="BB149" s="100"/>
      <c r="BC149" s="300">
        <f t="shared" si="48"/>
        <v>8750</v>
      </c>
      <c r="BD149" s="896">
        <f t="shared" si="49"/>
        <v>3</v>
      </c>
      <c r="BE149" s="896">
        <f t="shared" si="50"/>
        <v>2916.6666666666665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183">
        <v>595</v>
      </c>
      <c r="C150" s="182" t="s">
        <v>61</v>
      </c>
      <c r="D150" s="184">
        <v>25</v>
      </c>
      <c r="E150" s="359">
        <v>1527</v>
      </c>
      <c r="F150" s="100">
        <f>SUMIF(pro!$A:$A,$V:$V,pro!$N:$N)</f>
        <v>0</v>
      </c>
      <c r="G150" s="356"/>
      <c r="H150" s="100">
        <f>SUMIF(CBIN!$A:$A,BRAN!$V:$V,CBIN!$G:$G)</f>
        <v>0</v>
      </c>
      <c r="I150" s="100">
        <f>SUMIF(data!$D:$D,$B150&amp;$D150,data!$J:$J)</f>
        <v>553</v>
      </c>
      <c r="J150" s="100">
        <f>SUMIF(data!$D:$D,$B150&amp;$D150,data!$K:$K)</f>
        <v>13825</v>
      </c>
      <c r="K150" s="356">
        <f>SUMIF(AJOUT!$A:$A,BRAN!$V:$V,AJOUT!$L:$L)</f>
        <v>0</v>
      </c>
      <c r="L150" s="356">
        <f>SUMIF(CBOUT!$A:$A,BRAN!$V:$V,CBOUT!$G:$G)</f>
        <v>0</v>
      </c>
      <c r="M150" s="540">
        <f t="shared" si="47"/>
        <v>974</v>
      </c>
      <c r="N150" s="354">
        <f t="shared" si="30"/>
        <v>24350</v>
      </c>
      <c r="O150" s="357">
        <f t="shared" si="31"/>
        <v>119300</v>
      </c>
      <c r="P150" s="350"/>
      <c r="Q150" s="350"/>
      <c r="R150" s="356">
        <f>O150/INTGRATE!$N$293</f>
        <v>7953.333333333333</v>
      </c>
      <c r="S150" s="349">
        <f t="shared" si="42"/>
        <v>3.0616093880972342</v>
      </c>
      <c r="T150" s="584"/>
      <c r="U150" s="139"/>
      <c r="V150" s="956" t="str">
        <f t="shared" si="43"/>
        <v>59525</v>
      </c>
      <c r="W150" s="943">
        <v>423001</v>
      </c>
      <c r="X150" s="458"/>
      <c r="Y150" s="458">
        <v>2000</v>
      </c>
      <c r="Z150" s="161">
        <v>1375</v>
      </c>
      <c r="AA150" s="161">
        <v>11925</v>
      </c>
      <c r="AB150" s="161">
        <v>10875</v>
      </c>
      <c r="AC150" s="161">
        <v>3300</v>
      </c>
      <c r="AD150" s="161">
        <v>7875</v>
      </c>
      <c r="AE150" s="161">
        <v>16050</v>
      </c>
      <c r="AF150" s="161">
        <v>11700</v>
      </c>
      <c r="AG150" s="161"/>
      <c r="AH150" s="100">
        <v>6750</v>
      </c>
      <c r="AI150" s="161">
        <v>8050</v>
      </c>
      <c r="AJ150" s="161">
        <v>15275</v>
      </c>
      <c r="AK150" s="161">
        <v>5675</v>
      </c>
      <c r="AL150" s="161">
        <v>4625</v>
      </c>
      <c r="AM150" s="161">
        <v>13825</v>
      </c>
      <c r="AN150" s="161"/>
      <c r="AO150" s="100"/>
      <c r="AP150" s="161"/>
      <c r="AQ150" s="100"/>
      <c r="AR150" s="161"/>
      <c r="AS150" s="161"/>
      <c r="AT150" s="161"/>
      <c r="AU150" s="161"/>
      <c r="AV150" s="161"/>
      <c r="AW150" s="161"/>
      <c r="AX150" s="248"/>
      <c r="AY150" s="161"/>
      <c r="AZ150" s="161"/>
      <c r="BA150" s="161"/>
      <c r="BB150" s="161"/>
      <c r="BC150" s="300">
        <f t="shared" si="48"/>
        <v>119300</v>
      </c>
      <c r="BD150" s="896">
        <f t="shared" si="49"/>
        <v>14</v>
      </c>
      <c r="BE150" s="896">
        <f t="shared" si="50"/>
        <v>8521.4285714285706</v>
      </c>
      <c r="BF150" s="38"/>
      <c r="BG150" s="38"/>
      <c r="BH150" s="505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223" t="s">
        <v>1763</v>
      </c>
      <c r="B151" s="1224"/>
      <c r="C151" s="1224"/>
      <c r="D151" s="1225"/>
      <c r="E151" s="64"/>
      <c r="F151" s="64"/>
      <c r="G151" s="64"/>
      <c r="H151" s="64"/>
      <c r="I151" s="64"/>
      <c r="J151" s="64"/>
      <c r="K151" s="64"/>
      <c r="L151" s="64"/>
      <c r="M151" s="673"/>
      <c r="N151" s="64"/>
      <c r="O151" s="127"/>
      <c r="P151" s="64">
        <f>SUM(P13:P19)</f>
        <v>1185040</v>
      </c>
      <c r="Q151" s="64">
        <f>SUM(Q13:Q19)</f>
        <v>5211365</v>
      </c>
      <c r="R151" s="64"/>
      <c r="S151" s="99"/>
      <c r="T151" s="1229"/>
      <c r="U151" s="140"/>
      <c r="V151" s="954" t="str">
        <f t="shared" si="43"/>
        <v/>
      </c>
      <c r="W151" s="951"/>
      <c r="X151" s="638">
        <f t="shared" ref="X151:BB151" si="51">SUM(X13:X150)</f>
        <v>0</v>
      </c>
      <c r="Y151" s="638">
        <f t="shared" si="51"/>
        <v>492560</v>
      </c>
      <c r="Z151" s="638">
        <f t="shared" si="51"/>
        <v>134085</v>
      </c>
      <c r="AA151" s="638">
        <f t="shared" si="51"/>
        <v>467085</v>
      </c>
      <c r="AB151" s="638">
        <f t="shared" si="51"/>
        <v>403845</v>
      </c>
      <c r="AC151" s="638">
        <f t="shared" si="51"/>
        <v>376520</v>
      </c>
      <c r="AD151" s="638">
        <f t="shared" si="51"/>
        <v>300575</v>
      </c>
      <c r="AE151" s="638">
        <f t="shared" si="51"/>
        <v>373040</v>
      </c>
      <c r="AF151" s="638">
        <f t="shared" si="51"/>
        <v>208675</v>
      </c>
      <c r="AG151" s="638">
        <f t="shared" si="51"/>
        <v>0</v>
      </c>
      <c r="AH151" s="638">
        <f t="shared" si="51"/>
        <v>535380</v>
      </c>
      <c r="AI151" s="638">
        <f t="shared" si="51"/>
        <v>525560</v>
      </c>
      <c r="AJ151" s="638">
        <f t="shared" si="51"/>
        <v>538960</v>
      </c>
      <c r="AK151" s="638">
        <f t="shared" si="51"/>
        <v>260270</v>
      </c>
      <c r="AL151" s="638">
        <f t="shared" si="51"/>
        <v>205210</v>
      </c>
      <c r="AM151" s="638">
        <f t="shared" si="51"/>
        <v>389600</v>
      </c>
      <c r="AN151" s="638">
        <f t="shared" si="51"/>
        <v>0</v>
      </c>
      <c r="AO151" s="638">
        <f t="shared" si="51"/>
        <v>0</v>
      </c>
      <c r="AP151" s="638">
        <f t="shared" si="51"/>
        <v>0</v>
      </c>
      <c r="AQ151" s="638">
        <f t="shared" si="51"/>
        <v>0</v>
      </c>
      <c r="AR151" s="638">
        <f t="shared" si="51"/>
        <v>0</v>
      </c>
      <c r="AS151" s="638">
        <f t="shared" si="51"/>
        <v>0</v>
      </c>
      <c r="AT151" s="638">
        <f t="shared" si="51"/>
        <v>0</v>
      </c>
      <c r="AU151" s="638">
        <f t="shared" si="51"/>
        <v>0</v>
      </c>
      <c r="AV151" s="638">
        <f t="shared" si="51"/>
        <v>0</v>
      </c>
      <c r="AW151" s="638">
        <f t="shared" si="51"/>
        <v>0</v>
      </c>
      <c r="AX151" s="638">
        <f t="shared" ref="AX151" si="52">SUM(AX13:AX150)</f>
        <v>0</v>
      </c>
      <c r="AY151" s="638">
        <f t="shared" si="51"/>
        <v>0</v>
      </c>
      <c r="AZ151" s="638">
        <f t="shared" si="51"/>
        <v>0</v>
      </c>
      <c r="BA151" s="638">
        <f t="shared" si="51"/>
        <v>0</v>
      </c>
      <c r="BB151" s="638">
        <f t="shared" si="51"/>
        <v>0</v>
      </c>
      <c r="BC151" s="873">
        <f t="shared" ref="BC151:BC168" si="53">SUM(X151:BB151)</f>
        <v>5211365</v>
      </c>
      <c r="BD151" s="898"/>
      <c r="BE151" s="898"/>
      <c r="BH151" s="506"/>
    </row>
    <row r="152" spans="1:151" s="63" customFormat="1" ht="18" customHeight="1">
      <c r="A152" s="1223" t="s">
        <v>1739</v>
      </c>
      <c r="B152" s="1224"/>
      <c r="C152" s="1224"/>
      <c r="D152" s="1225"/>
      <c r="E152" s="674">
        <f>+E36</f>
        <v>9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490</v>
      </c>
      <c r="I152" s="64">
        <f t="shared" si="54"/>
        <v>410</v>
      </c>
      <c r="J152" s="64">
        <f t="shared" si="54"/>
        <v>4100</v>
      </c>
      <c r="K152" s="64">
        <f t="shared" si="54"/>
        <v>0</v>
      </c>
      <c r="L152" s="64">
        <f t="shared" si="54"/>
        <v>0</v>
      </c>
      <c r="M152" s="674">
        <f t="shared" si="54"/>
        <v>89</v>
      </c>
      <c r="N152" s="64">
        <f t="shared" si="54"/>
        <v>890</v>
      </c>
      <c r="O152" s="674">
        <f t="shared" si="54"/>
        <v>6290</v>
      </c>
      <c r="P152" s="64"/>
      <c r="Q152" s="64"/>
      <c r="R152" s="64">
        <f>+R36</f>
        <v>419.33333333333331</v>
      </c>
      <c r="S152" s="64">
        <f>+S36</f>
        <v>2.12241653418124</v>
      </c>
      <c r="T152" s="1230"/>
      <c r="U152" s="140"/>
      <c r="V152" s="954"/>
      <c r="W152" s="95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3" t="s">
        <v>1764</v>
      </c>
      <c r="B153" s="1224"/>
      <c r="C153" s="1224"/>
      <c r="D153" s="1225"/>
      <c r="E153" s="674">
        <f>SUM(E13:E22)</f>
        <v>88</v>
      </c>
      <c r="F153" s="64">
        <f t="shared" ref="F153:O153" si="55">SUM(F13:F22)</f>
        <v>0</v>
      </c>
      <c r="G153" s="64">
        <f t="shared" si="55"/>
        <v>0</v>
      </c>
      <c r="H153" s="64">
        <f t="shared" si="55"/>
        <v>0</v>
      </c>
      <c r="I153" s="64">
        <f t="shared" si="55"/>
        <v>52</v>
      </c>
      <c r="J153" s="64">
        <f t="shared" si="55"/>
        <v>1300</v>
      </c>
      <c r="K153" s="64">
        <f t="shared" si="55"/>
        <v>0</v>
      </c>
      <c r="L153" s="64">
        <f t="shared" si="55"/>
        <v>0</v>
      </c>
      <c r="M153" s="674">
        <f t="shared" si="55"/>
        <v>36</v>
      </c>
      <c r="N153" s="64">
        <f t="shared" si="55"/>
        <v>900</v>
      </c>
      <c r="O153" s="674">
        <f t="shared" si="55"/>
        <v>7525</v>
      </c>
      <c r="P153" s="64"/>
      <c r="Q153" s="64"/>
      <c r="R153" s="64">
        <f>SUM(R13:R22)</f>
        <v>501.66666666666669</v>
      </c>
      <c r="S153" s="64">
        <f>SUM(S13:S22)</f>
        <v>5.995850622406639</v>
      </c>
      <c r="T153" s="1230"/>
      <c r="U153" s="64">
        <f>SUM(U13:U22)*25</f>
        <v>0</v>
      </c>
      <c r="V153" s="957" t="str">
        <f t="shared" ref="V153:V163" si="56">B153&amp;D153</f>
        <v/>
      </c>
      <c r="W153" s="95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3" t="s">
        <v>1740</v>
      </c>
      <c r="B154" s="1224"/>
      <c r="C154" s="1224"/>
      <c r="D154" s="1225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50401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9928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1</v>
      </c>
      <c r="I154" s="64">
        <f t="shared" si="57"/>
        <v>12996</v>
      </c>
      <c r="J154" s="64">
        <f t="shared" si="57"/>
        <v>324900</v>
      </c>
      <c r="K154" s="64">
        <f t="shared" si="57"/>
        <v>0</v>
      </c>
      <c r="L154" s="64">
        <f t="shared" si="57"/>
        <v>4</v>
      </c>
      <c r="M154" s="64">
        <f t="shared" si="57"/>
        <v>47330</v>
      </c>
      <c r="N154" s="64">
        <f t="shared" si="57"/>
        <v>1183250</v>
      </c>
      <c r="O154" s="64">
        <f t="shared" si="57"/>
        <v>4479300</v>
      </c>
      <c r="P154" s="64">
        <f t="shared" si="57"/>
        <v>491950</v>
      </c>
      <c r="Q154" s="64">
        <f t="shared" si="57"/>
        <v>2652700</v>
      </c>
      <c r="R154" s="64">
        <f t="shared" si="57"/>
        <v>298619.99999999994</v>
      </c>
      <c r="S154" s="64">
        <f>SUM(S23:S33,S37,S38:S47,S80,S51,S55:S64,S73,S75:S78,S82:S84,S87:S89,S91,S104,S109:S110,S117,S120:S127,S132:S134,S138:S141,S144:S150,S69,S118)-S124</f>
        <v>199.23358541016162</v>
      </c>
      <c r="T154" s="1230"/>
      <c r="U154" s="467">
        <f>SUM(U23:U77,U82:U150)*25</f>
        <v>0</v>
      </c>
      <c r="V154" s="954" t="str">
        <f t="shared" si="56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3" t="s">
        <v>1765</v>
      </c>
      <c r="B155" s="1224"/>
      <c r="C155" s="1224"/>
      <c r="D155" s="1225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Q155" si="59">SUM(P13:P150)-P152-P153-P154-P156-P67</f>
        <v>1185040</v>
      </c>
      <c r="Q155" s="64">
        <f t="shared" si="59"/>
        <v>5211365</v>
      </c>
      <c r="R155" s="64">
        <v>0</v>
      </c>
      <c r="S155" s="64">
        <f>SUM(S13:S150)-S152-S153-S154-S156</f>
        <v>43.776627658181638</v>
      </c>
      <c r="T155" s="1230"/>
      <c r="U155" s="140">
        <f>SUM(U79:U79)*40</f>
        <v>0</v>
      </c>
      <c r="V155" s="954" t="str">
        <f t="shared" si="56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63" customFormat="1" ht="18" customHeight="1">
      <c r="A156" s="1223" t="s">
        <v>1766</v>
      </c>
      <c r="B156" s="1224"/>
      <c r="C156" s="1224"/>
      <c r="D156" s="1225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59300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59300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718250</v>
      </c>
      <c r="P156" s="64">
        <f t="shared" si="60"/>
        <v>0</v>
      </c>
      <c r="Q156" s="64">
        <f t="shared" si="60"/>
        <v>0</v>
      </c>
      <c r="R156" s="64">
        <f t="shared" si="60"/>
        <v>47883.333333333328</v>
      </c>
      <c r="S156" s="64">
        <f>S34+S35+S48+S52+S65+S68+S74+S85+S86+S90+S103+S108+S113+S119+S128+S129+S135+S137+S142+S124+S121+S106+S111+S131+S95+S31+S125+S102</f>
        <v>0</v>
      </c>
      <c r="T156" s="1230"/>
      <c r="U156" s="140"/>
      <c r="V156" s="954" t="str">
        <f t="shared" si="56"/>
        <v/>
      </c>
      <c r="W156" s="95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506"/>
    </row>
    <row r="157" spans="1:151" s="129" customFormat="1" ht="18" customHeight="1">
      <c r="A157" s="1233" t="s">
        <v>1742</v>
      </c>
      <c r="B157" s="1234"/>
      <c r="C157" s="1234"/>
      <c r="D157" s="1235"/>
      <c r="E157" s="130">
        <f>SUM(E13:E150)</f>
        <v>50498</v>
      </c>
      <c r="F157" s="130">
        <f>SUM(F151:F155)</f>
        <v>9928</v>
      </c>
      <c r="G157" s="130">
        <f>SUM(G151:G155)</f>
        <v>0</v>
      </c>
      <c r="H157" s="130">
        <f>SUM(H13:H150)</f>
        <v>491</v>
      </c>
      <c r="I157" s="130">
        <f>SUM(I151:I155)</f>
        <v>13458</v>
      </c>
      <c r="J157" s="130">
        <f>SUM(J151:J155)</f>
        <v>330300</v>
      </c>
      <c r="K157" s="130">
        <f>SUM(K151:K155)</f>
        <v>0</v>
      </c>
      <c r="L157" s="130">
        <f>SUM(L151:L155)</f>
        <v>4</v>
      </c>
      <c r="M157" s="130">
        <f>SUM(M13:M150)</f>
        <v>47455</v>
      </c>
      <c r="N157" s="130">
        <f>SUM(N13:N150)</f>
        <v>1185040</v>
      </c>
      <c r="O157" s="1236">
        <f>SUM(O13:O150)</f>
        <v>5211365</v>
      </c>
      <c r="P157" s="197"/>
      <c r="Q157" s="197"/>
      <c r="R157" s="1219">
        <f>SUM(R13:R150)</f>
        <v>347424.33333333326</v>
      </c>
      <c r="S157" s="1221" t="s">
        <v>42</v>
      </c>
      <c r="T157" s="1230"/>
      <c r="U157" s="141"/>
      <c r="V157" s="954" t="str">
        <f t="shared" si="56"/>
        <v/>
      </c>
      <c r="W157" s="951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  <c r="AZ157" s="302"/>
      <c r="BA157" s="302"/>
      <c r="BB157" s="302"/>
      <c r="BC157" s="302"/>
      <c r="BD157" s="302"/>
      <c r="BE157" s="302"/>
      <c r="BF157" s="302"/>
      <c r="BG157" s="302"/>
      <c r="BH157" s="506"/>
    </row>
    <row r="158" spans="1:151" s="86" customFormat="1" ht="15" customHeight="1">
      <c r="A158" s="1223" t="s">
        <v>1743</v>
      </c>
      <c r="B158" s="1224"/>
      <c r="C158" s="1224"/>
      <c r="D158" s="1225"/>
      <c r="E158" s="121">
        <f>E152*10+E153*25+E154*25+E155*40+E156</f>
        <v>1262315</v>
      </c>
      <c r="F158" s="121">
        <f>F152*10+F153*25+F154*25+F155*40+F156</f>
        <v>307500</v>
      </c>
      <c r="G158" s="121">
        <f>SUM(G153:G154)*25+G155*40+G65+G74+G68+G52+G152*10</f>
        <v>0</v>
      </c>
      <c r="H158" s="121">
        <f>SUM(H153:H154)*25+H155*40+H65+H74+H68+H52+H152*10</f>
        <v>4925</v>
      </c>
      <c r="I158" s="121">
        <f>SUM(I13:I150)</f>
        <v>13458</v>
      </c>
      <c r="J158" s="121">
        <f>SUM(J13:J150)</f>
        <v>389600</v>
      </c>
      <c r="K158" s="121">
        <f>SUM(K153:K154)*25+K155*40+K65+K74+K68+K52+K152*10</f>
        <v>0</v>
      </c>
      <c r="L158" s="121">
        <f>SUM(L153:L154)*25+L155*40+L65+L74+L68+L52+L152*10</f>
        <v>100</v>
      </c>
      <c r="M158" s="542">
        <f>SUM(M153:M154)*25+M155*40+M65+M74+M68+M52+M152*10</f>
        <v>1185040</v>
      </c>
      <c r="N158" s="121">
        <f>SUM(N13:N150)</f>
        <v>1185040</v>
      </c>
      <c r="O158" s="1237"/>
      <c r="P158" s="198"/>
      <c r="Q158" s="198"/>
      <c r="R158" s="1220"/>
      <c r="S158" s="1222"/>
      <c r="T158" s="1231"/>
      <c r="U158" s="142">
        <f>+U151+U153+U154+U155</f>
        <v>0</v>
      </c>
      <c r="V158" s="954" t="str">
        <f t="shared" si="56"/>
        <v/>
      </c>
      <c r="W158" s="95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506"/>
    </row>
    <row r="159" spans="1:151" s="38" customFormat="1" ht="15" customHeight="1">
      <c r="A159" s="310" t="s">
        <v>137</v>
      </c>
      <c r="B159" s="37"/>
      <c r="C159" s="37"/>
      <c r="D159" s="37"/>
      <c r="E159" s="133"/>
      <c r="F159" s="133"/>
      <c r="G159" s="133"/>
      <c r="H159" s="37"/>
      <c r="J159" s="133"/>
      <c r="K159" s="133"/>
      <c r="L159" s="37"/>
      <c r="M159" s="543"/>
      <c r="N159" s="37"/>
      <c r="O159" s="37"/>
      <c r="P159" s="37"/>
      <c r="Q159" s="37"/>
      <c r="R159" s="37"/>
      <c r="S159" s="37"/>
      <c r="T159" s="528"/>
      <c r="U159" s="143"/>
      <c r="V159" s="959" t="str">
        <f t="shared" si="56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1694</v>
      </c>
      <c r="E160" s="85"/>
      <c r="F160" s="709"/>
      <c r="M160" s="535"/>
      <c r="N160" s="85"/>
      <c r="T160" s="529"/>
      <c r="U160" s="134"/>
      <c r="V160" s="959" t="str">
        <f t="shared" si="56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38" customFormat="1" ht="15" customHeight="1">
      <c r="A161" s="310" t="s">
        <v>1695</v>
      </c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  <c r="L161" s="430"/>
      <c r="M161" s="544"/>
      <c r="N161" s="430"/>
      <c r="O161" s="430"/>
      <c r="P161" s="430"/>
      <c r="Q161" s="430"/>
      <c r="R161" s="430"/>
      <c r="S161" s="430"/>
      <c r="T161" s="530"/>
      <c r="U161" s="134"/>
      <c r="V161" s="959" t="str">
        <f t="shared" si="56"/>
        <v/>
      </c>
      <c r="W161" s="94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505"/>
    </row>
    <row r="162" spans="1:151" s="63" customFormat="1" ht="15" customHeight="1">
      <c r="A162" s="512" t="s">
        <v>1733</v>
      </c>
      <c r="B162" s="512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38"/>
      <c r="N162" s="512"/>
      <c r="O162" s="512"/>
      <c r="P162" s="512"/>
      <c r="Q162" s="512"/>
      <c r="R162" s="512"/>
      <c r="S162" s="512"/>
      <c r="T162" s="78"/>
      <c r="U162" s="143"/>
      <c r="V162" s="959" t="str">
        <f t="shared" si="56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15" customHeight="1">
      <c r="A163" s="513" t="s">
        <v>1762</v>
      </c>
      <c r="B163" s="513"/>
      <c r="C163" s="513"/>
      <c r="D163" s="513"/>
      <c r="E163" s="513"/>
      <c r="F163" s="513"/>
      <c r="G163" s="513"/>
      <c r="H163" s="513"/>
      <c r="I163" s="513"/>
      <c r="J163" s="513"/>
      <c r="K163" s="513"/>
      <c r="L163" s="513"/>
      <c r="M163" s="539"/>
      <c r="N163" s="513"/>
      <c r="O163" s="513"/>
      <c r="P163" s="513"/>
      <c r="Q163" s="513"/>
      <c r="R163" s="513"/>
      <c r="S163" s="513"/>
      <c r="T163" s="527"/>
      <c r="U163" s="144"/>
      <c r="V163" s="959" t="str">
        <f t="shared" si="56"/>
        <v/>
      </c>
      <c r="W163" s="94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28.5" customHeight="1">
      <c r="A164" s="1043" t="s">
        <v>1700</v>
      </c>
      <c r="B164" s="1034" t="s">
        <v>1676</v>
      </c>
      <c r="C164" s="1034" t="s">
        <v>1677</v>
      </c>
      <c r="D164" s="1046" t="s">
        <v>1678</v>
      </c>
      <c r="E164" s="61" t="s">
        <v>0</v>
      </c>
      <c r="F164" s="1049" t="s">
        <v>1680</v>
      </c>
      <c r="G164" s="1054"/>
      <c r="H164" s="1050"/>
      <c r="I164" s="1049" t="s">
        <v>1681</v>
      </c>
      <c r="J164" s="1054"/>
      <c r="K164" s="1054"/>
      <c r="L164" s="1054"/>
      <c r="M164" s="1049" t="s">
        <v>1687</v>
      </c>
      <c r="N164" s="1050"/>
      <c r="O164" s="194" t="s">
        <v>1727</v>
      </c>
      <c r="P164" s="194"/>
      <c r="Q164" s="194"/>
      <c r="R164" s="194" t="s">
        <v>1728</v>
      </c>
      <c r="S164" s="1046" t="s">
        <v>1689</v>
      </c>
      <c r="T164" s="1173" t="s">
        <v>1692</v>
      </c>
      <c r="U164" s="999" t="s">
        <v>1693</v>
      </c>
      <c r="V164" s="950"/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49.5" customHeight="1">
      <c r="A165" s="1044"/>
      <c r="B165" s="1035"/>
      <c r="C165" s="1035"/>
      <c r="D165" s="1047" t="s">
        <v>3</v>
      </c>
      <c r="E165" s="64" t="s">
        <v>1679</v>
      </c>
      <c r="F165" s="783" t="s">
        <v>1682</v>
      </c>
      <c r="G165" s="585" t="s">
        <v>1683</v>
      </c>
      <c r="H165" s="784" t="s">
        <v>1685</v>
      </c>
      <c r="I165" s="1049" t="s">
        <v>1684</v>
      </c>
      <c r="J165" s="1054"/>
      <c r="K165" s="585" t="s">
        <v>1688</v>
      </c>
      <c r="L165" s="784" t="s">
        <v>1686</v>
      </c>
      <c r="M165" s="1049" t="s">
        <v>1732</v>
      </c>
      <c r="N165" s="1050"/>
      <c r="O165" s="787" t="s">
        <v>1730</v>
      </c>
      <c r="P165" s="195"/>
      <c r="Q165" s="195"/>
      <c r="R165" s="787" t="s">
        <v>1731</v>
      </c>
      <c r="S165" s="1047"/>
      <c r="T165" s="1174"/>
      <c r="U165" s="1000"/>
      <c r="V165" s="950" t="str">
        <f t="shared" ref="V165:V204" si="61">B165&amp;D165</f>
        <v>SIZE</v>
      </c>
      <c r="W165" s="95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506"/>
    </row>
    <row r="166" spans="1:151" s="63" customFormat="1" ht="18.75" customHeight="1">
      <c r="A166" s="1045"/>
      <c r="B166" s="1036"/>
      <c r="C166" s="1036"/>
      <c r="D166" s="1048" t="s">
        <v>6</v>
      </c>
      <c r="E166" s="64" t="s">
        <v>1674</v>
      </c>
      <c r="F166" s="64" t="s">
        <v>1674</v>
      </c>
      <c r="G166" s="64" t="s">
        <v>1674</v>
      </c>
      <c r="H166" s="64" t="s">
        <v>1674</v>
      </c>
      <c r="I166" s="64" t="s">
        <v>1674</v>
      </c>
      <c r="J166" s="64" t="s">
        <v>6</v>
      </c>
      <c r="K166" s="64" t="s">
        <v>1674</v>
      </c>
      <c r="L166" s="64" t="s">
        <v>1674</v>
      </c>
      <c r="M166" s="64" t="s">
        <v>1674</v>
      </c>
      <c r="N166" s="65" t="s">
        <v>6</v>
      </c>
      <c r="O166" s="65" t="s">
        <v>6</v>
      </c>
      <c r="P166" s="196"/>
      <c r="Q166" s="196"/>
      <c r="R166" s="65" t="s">
        <v>1729</v>
      </c>
      <c r="S166" s="1048"/>
      <c r="T166" s="1175"/>
      <c r="U166" s="788" t="s">
        <v>1674</v>
      </c>
      <c r="V166" s="955" t="str">
        <f t="shared" si="61"/>
        <v>(Kg)</v>
      </c>
      <c r="W166" s="951"/>
      <c r="X166" s="340">
        <v>1</v>
      </c>
      <c r="Y166" s="89">
        <v>2</v>
      </c>
      <c r="Z166" s="340">
        <v>3</v>
      </c>
      <c r="AA166" s="89">
        <v>4</v>
      </c>
      <c r="AB166" s="340">
        <v>5</v>
      </c>
      <c r="AC166" s="89">
        <v>6</v>
      </c>
      <c r="AD166" s="340">
        <v>7</v>
      </c>
      <c r="AE166" s="89">
        <v>8</v>
      </c>
      <c r="AF166" s="340">
        <v>9</v>
      </c>
      <c r="AG166" s="89">
        <v>10</v>
      </c>
      <c r="AH166" s="340">
        <v>11</v>
      </c>
      <c r="AI166" s="89">
        <v>12</v>
      </c>
      <c r="AJ166" s="340">
        <v>13</v>
      </c>
      <c r="AK166" s="89">
        <v>14</v>
      </c>
      <c r="AL166" s="340">
        <v>15</v>
      </c>
      <c r="AM166" s="89">
        <v>16</v>
      </c>
      <c r="AN166" s="340">
        <v>17</v>
      </c>
      <c r="AO166" s="89">
        <v>18</v>
      </c>
      <c r="AP166" s="340">
        <v>19</v>
      </c>
      <c r="AQ166" s="89">
        <v>20</v>
      </c>
      <c r="AR166" s="340">
        <v>21</v>
      </c>
      <c r="AS166" s="89">
        <v>22</v>
      </c>
      <c r="AT166" s="340">
        <v>23</v>
      </c>
      <c r="AU166" s="89">
        <v>24</v>
      </c>
      <c r="AV166" s="340">
        <v>25</v>
      </c>
      <c r="AW166" s="89">
        <v>26</v>
      </c>
      <c r="AX166" s="340">
        <v>27</v>
      </c>
      <c r="AY166" s="89">
        <v>28</v>
      </c>
      <c r="AZ166" s="340">
        <v>29</v>
      </c>
      <c r="BA166" s="89">
        <v>30</v>
      </c>
      <c r="BB166" s="579">
        <v>31</v>
      </c>
      <c r="BC166" s="106" t="s">
        <v>13</v>
      </c>
      <c r="BD166" s="895" t="s">
        <v>1931</v>
      </c>
      <c r="BE166" s="895" t="s">
        <v>1930</v>
      </c>
      <c r="BG166" s="38"/>
      <c r="BH166" s="506"/>
    </row>
    <row r="167" spans="1:151" s="38" customFormat="1" ht="15" customHeight="1">
      <c r="A167" s="91">
        <v>1</v>
      </c>
      <c r="B167" s="180">
        <v>884</v>
      </c>
      <c r="C167" s="180" t="s">
        <v>39</v>
      </c>
      <c r="D167" s="181">
        <v>25</v>
      </c>
      <c r="E167" s="356">
        <v>439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10</v>
      </c>
      <c r="J167" s="356">
        <f>SUMIF(data!$D:$D,$B167&amp;$D167,data!$K:$K)</f>
        <v>250</v>
      </c>
      <c r="K167" s="356">
        <f>SUMIF(AJOUT!$A:$A,BRAN!$V:$V,AJOUT!$L:$L)</f>
        <v>0</v>
      </c>
      <c r="L167" s="356">
        <f>SUMIF(CBOUT!$A:$A,BRAN!$V:$V,CBOUT!$G:$G)</f>
        <v>0</v>
      </c>
      <c r="M167" s="540">
        <f>E167+F167+H167-I167-L167+G167-K167</f>
        <v>429</v>
      </c>
      <c r="N167" s="356">
        <f>M167*D167</f>
        <v>10725</v>
      </c>
      <c r="O167" s="357">
        <f t="shared" ref="O167:O194" si="62">SUM(X167:BB167)</f>
        <v>14800</v>
      </c>
      <c r="P167" s="350"/>
      <c r="Q167" s="350"/>
      <c r="R167" s="350">
        <f>O167/INTGRATE!$N$293</f>
        <v>986.66666666666663</v>
      </c>
      <c r="S167" s="349">
        <f>IF(R167=0,0,N167/R167)</f>
        <v>10.869932432432433</v>
      </c>
      <c r="T167" s="623"/>
      <c r="U167" s="145"/>
      <c r="V167" s="960" t="str">
        <f t="shared" si="61"/>
        <v>88425</v>
      </c>
      <c r="W167" s="95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356">
        <v>3125</v>
      </c>
      <c r="AE167" s="100">
        <v>0</v>
      </c>
      <c r="AF167" s="356">
        <v>2625</v>
      </c>
      <c r="AG167" s="100"/>
      <c r="AH167" s="100">
        <v>925</v>
      </c>
      <c r="AI167" s="100">
        <v>0</v>
      </c>
      <c r="AJ167" s="100">
        <v>1500</v>
      </c>
      <c r="AK167" s="100">
        <v>1500</v>
      </c>
      <c r="AL167" s="100">
        <v>0</v>
      </c>
      <c r="AM167" s="100">
        <v>250</v>
      </c>
      <c r="AN167" s="100"/>
      <c r="AO167" s="100"/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A167" s="100"/>
      <c r="BB167" s="100"/>
      <c r="BC167" s="300">
        <f t="shared" si="53"/>
        <v>14800</v>
      </c>
      <c r="BD167" s="896">
        <f>COUNTIF(X167:BB167,"&gt;0")</f>
        <v>8</v>
      </c>
      <c r="BE167" s="896">
        <f>IFERROR(BC167/BD167,0)</f>
        <v>1850</v>
      </c>
      <c r="BH167" s="505"/>
    </row>
    <row r="168" spans="1:151" s="38" customFormat="1" ht="15" customHeight="1">
      <c r="A168" s="91">
        <v>2</v>
      </c>
      <c r="B168" s="428" t="s">
        <v>139</v>
      </c>
      <c r="C168" s="180" t="s">
        <v>39</v>
      </c>
      <c r="D168" s="181">
        <v>25</v>
      </c>
      <c r="E168" s="356">
        <v>58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35</v>
      </c>
      <c r="J168" s="356">
        <f>SUMIF(data!$D:$D,$B168&amp;$D168,data!$K:$K)</f>
        <v>875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ref="M168:M193" si="63">E168+F168+H168-I168-L168+G168-K168</f>
        <v>23</v>
      </c>
      <c r="N168" s="356">
        <f t="shared" ref="N168:N194" si="64">M168*D168</f>
        <v>575</v>
      </c>
      <c r="O168" s="357">
        <f t="shared" si="62"/>
        <v>4250</v>
      </c>
      <c r="P168" s="350">
        <f>+SUM(N167:N168)</f>
        <v>11300</v>
      </c>
      <c r="Q168" s="350">
        <f>+SUM(O167:O168)</f>
        <v>19050</v>
      </c>
      <c r="R168" s="350">
        <f>O168/INTGRATE!$N$293</f>
        <v>283.33333333333331</v>
      </c>
      <c r="S168" s="349">
        <f>IF(R168=0,0,N168/R168)</f>
        <v>2.0294117647058827</v>
      </c>
      <c r="T168" s="471"/>
      <c r="U168" s="145"/>
      <c r="V168" s="960" t="str">
        <f t="shared" si="61"/>
        <v>885S25</v>
      </c>
      <c r="W168" s="95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356">
        <v>750</v>
      </c>
      <c r="AE168" s="100">
        <v>0</v>
      </c>
      <c r="AF168" s="356">
        <v>625</v>
      </c>
      <c r="AG168" s="100"/>
      <c r="AH168" s="100">
        <v>1250</v>
      </c>
      <c r="AI168" s="100">
        <v>0</v>
      </c>
      <c r="AJ168" s="100">
        <v>0</v>
      </c>
      <c r="AK168" s="100">
        <v>750</v>
      </c>
      <c r="AL168" s="100">
        <v>0</v>
      </c>
      <c r="AM168" s="100">
        <v>875</v>
      </c>
      <c r="AN168" s="100"/>
      <c r="AO168" s="100"/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B168" s="100"/>
      <c r="BC168" s="300">
        <f t="shared" si="53"/>
        <v>4250</v>
      </c>
      <c r="BD168" s="896">
        <f t="shared" ref="BD168" si="65">COUNTIF(X168:BB168,"&gt;0")</f>
        <v>5</v>
      </c>
      <c r="BE168" s="896">
        <f t="shared" ref="BE168" si="66">IFERROR(BC168/BD168,0)</f>
        <v>850</v>
      </c>
      <c r="BH168" s="505"/>
    </row>
    <row r="169" spans="1:151" s="101" customFormat="1" ht="15" customHeight="1">
      <c r="A169" s="91">
        <v>3</v>
      </c>
      <c r="B169" s="171">
        <v>910</v>
      </c>
      <c r="C169" s="171" t="s">
        <v>1504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 t="shared" si="63"/>
        <v>0</v>
      </c>
      <c r="N169" s="356">
        <f t="shared" si="64"/>
        <v>0</v>
      </c>
      <c r="O169" s="357">
        <f t="shared" si="62"/>
        <v>0</v>
      </c>
      <c r="P169" s="350">
        <f>+N171+N170</f>
        <v>0</v>
      </c>
      <c r="Q169" s="350">
        <f>+O171+O170</f>
        <v>0</v>
      </c>
      <c r="R169" s="350">
        <f>O169/INTGRATE!$N$293</f>
        <v>0</v>
      </c>
      <c r="S169" s="349">
        <f>IF(R169=0,0,(N42+N169)/(R169+R42))</f>
        <v>0</v>
      </c>
      <c r="T169" s="471"/>
      <c r="U169" s="145"/>
      <c r="V169" s="960" t="str">
        <f t="shared" si="61"/>
        <v>91025</v>
      </c>
      <c r="W169" s="95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356">
        <v>0</v>
      </c>
      <c r="AE169" s="100">
        <v>0</v>
      </c>
      <c r="AF169" s="356">
        <v>0</v>
      </c>
      <c r="AG169" s="100"/>
      <c r="AH169" s="100">
        <v>0</v>
      </c>
      <c r="AI169" s="100">
        <v>0</v>
      </c>
      <c r="AJ169" s="100">
        <v>0</v>
      </c>
      <c r="AK169" s="100">
        <v>0</v>
      </c>
      <c r="AL169" s="100">
        <v>0</v>
      </c>
      <c r="AM169" s="100">
        <v>0</v>
      </c>
      <c r="AN169" s="100"/>
      <c r="AO169" s="100"/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ref="BC169:BC194" si="67">SUM(X169:BB169)</f>
        <v>0</v>
      </c>
      <c r="BD169" s="896">
        <f t="shared" ref="BD169:BD194" si="68">COUNTIF(X169:BB169,"&gt;0")</f>
        <v>0</v>
      </c>
      <c r="BE169" s="896">
        <f t="shared" ref="BE169:BE194" si="69">IFERROR(BC169/BD169,0)</f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71" t="s">
        <v>1411</v>
      </c>
      <c r="C170" s="171" t="s">
        <v>40</v>
      </c>
      <c r="D170" s="170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64"/>
        <v>0</v>
      </c>
      <c r="O170" s="357">
        <f>SUM(X170:BB170)</f>
        <v>0</v>
      </c>
      <c r="P170" s="350">
        <f>+N169</f>
        <v>0</v>
      </c>
      <c r="Q170" s="350"/>
      <c r="R170" s="350">
        <f>O170/INTGRATE!$N$293</f>
        <v>0</v>
      </c>
      <c r="S170" s="349">
        <f>IF(R170=0,0,(N43+N170)/(R170+R43))</f>
        <v>0</v>
      </c>
      <c r="T170" s="471"/>
      <c r="U170" s="145"/>
      <c r="V170" s="960" t="str">
        <f>B170&amp;D170</f>
        <v>911B25</v>
      </c>
      <c r="W170" s="951" t="s">
        <v>881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356">
        <v>0</v>
      </c>
      <c r="AE170" s="100">
        <v>0</v>
      </c>
      <c r="AF170" s="356">
        <v>0</v>
      </c>
      <c r="AG170" s="100"/>
      <c r="AH170" s="100">
        <v>0</v>
      </c>
      <c r="AI170" s="100">
        <v>0</v>
      </c>
      <c r="AJ170" s="100">
        <v>0</v>
      </c>
      <c r="AK170" s="100">
        <v>0</v>
      </c>
      <c r="AL170" s="100">
        <v>0</v>
      </c>
      <c r="AM170" s="100">
        <v>0</v>
      </c>
      <c r="AN170" s="100"/>
      <c r="AO170" s="100"/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7"/>
        <v>0</v>
      </c>
      <c r="BD170" s="896">
        <f t="shared" si="68"/>
        <v>0</v>
      </c>
      <c r="BE170" s="896">
        <f t="shared" si="69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632">
        <v>948</v>
      </c>
      <c r="C171" s="632" t="s">
        <v>40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64"/>
        <v>0</v>
      </c>
      <c r="O171" s="357">
        <f>SUM(X171:BB171)</f>
        <v>0</v>
      </c>
      <c r="P171" s="350">
        <f>SUM(N180:N183)+N178</f>
        <v>17750</v>
      </c>
      <c r="Q171" s="350">
        <f>SUM(O180:O183)+O178</f>
        <v>62475</v>
      </c>
      <c r="R171" s="350">
        <f>O171/INTGRATE!$N$293</f>
        <v>0</v>
      </c>
      <c r="S171" s="349">
        <f>IF(R171=0,0,(N57+N171)/(R171+R57))</f>
        <v>0</v>
      </c>
      <c r="T171" s="471"/>
      <c r="U171" s="139"/>
      <c r="V171" s="960" t="str">
        <f t="shared" si="61"/>
        <v>94825</v>
      </c>
      <c r="W171" s="94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356">
        <v>0</v>
      </c>
      <c r="AE171" s="100">
        <v>0</v>
      </c>
      <c r="AF171" s="356">
        <v>0</v>
      </c>
      <c r="AG171" s="100"/>
      <c r="AH171" s="100">
        <v>0</v>
      </c>
      <c r="AI171" s="100">
        <v>0</v>
      </c>
      <c r="AJ171" s="100">
        <v>0</v>
      </c>
      <c r="AK171" s="100">
        <v>0</v>
      </c>
      <c r="AL171" s="100">
        <v>0</v>
      </c>
      <c r="AM171" s="100">
        <v>0</v>
      </c>
      <c r="AN171" s="100"/>
      <c r="AO171" s="100"/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7"/>
        <v>0</v>
      </c>
      <c r="BD171" s="896">
        <f t="shared" si="68"/>
        <v>0</v>
      </c>
      <c r="BE171" s="896">
        <f t="shared" si="69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632" t="s">
        <v>1243</v>
      </c>
      <c r="C172" s="632" t="s">
        <v>61</v>
      </c>
      <c r="D172" s="633">
        <v>25</v>
      </c>
      <c r="E172" s="356">
        <v>0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0</v>
      </c>
      <c r="N172" s="356">
        <f t="shared" si="64"/>
        <v>0</v>
      </c>
      <c r="O172" s="357">
        <f t="shared" si="62"/>
        <v>0</v>
      </c>
      <c r="P172" s="350">
        <f>+SUM(N167:N194)-P168-P169-P171</f>
        <v>46800</v>
      </c>
      <c r="Q172" s="350">
        <f>+SUM(O167:O194)-Q168-Q169-Q171</f>
        <v>238025</v>
      </c>
      <c r="R172" s="350">
        <f>O172/INTGRATE!$N$293</f>
        <v>0</v>
      </c>
      <c r="S172" s="349">
        <f>IF(R172=0,0,(N57+N172)/(R172+R57))</f>
        <v>0</v>
      </c>
      <c r="T172" s="471"/>
      <c r="U172" s="139"/>
      <c r="V172" s="960" t="str">
        <f t="shared" si="61"/>
        <v>949M25</v>
      </c>
      <c r="W172" s="94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356">
        <v>0</v>
      </c>
      <c r="AE172" s="100">
        <v>0</v>
      </c>
      <c r="AF172" s="356">
        <v>0</v>
      </c>
      <c r="AG172" s="100"/>
      <c r="AH172" s="100">
        <v>0</v>
      </c>
      <c r="AI172" s="100">
        <v>0</v>
      </c>
      <c r="AJ172" s="100">
        <v>0</v>
      </c>
      <c r="AK172" s="100">
        <v>0</v>
      </c>
      <c r="AL172" s="100">
        <v>0</v>
      </c>
      <c r="AM172" s="100">
        <v>0</v>
      </c>
      <c r="AN172" s="100"/>
      <c r="AO172" s="100"/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7"/>
        <v>0</v>
      </c>
      <c r="BD172" s="896">
        <f t="shared" si="68"/>
        <v>0</v>
      </c>
      <c r="BE172" s="896">
        <f t="shared" si="69"/>
        <v>0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632">
        <v>949</v>
      </c>
      <c r="C173" s="632" t="s">
        <v>61</v>
      </c>
      <c r="D173" s="633">
        <v>25</v>
      </c>
      <c r="E173" s="356">
        <v>7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0</v>
      </c>
      <c r="J173" s="356">
        <f>SUMIF(data!$D:$D,$B173&amp;$D173,data!$K:$K)</f>
        <v>0</v>
      </c>
      <c r="K173" s="356">
        <f>SUMIF(AJOUT!$A:$A,BRAN!$V:$V,AJOUT!$L:$L)</f>
        <v>0</v>
      </c>
      <c r="L173" s="356">
        <f>SUMIF(CBOUT!$A:$A,BRAN!$V:$V,CBOUT!$G:$G)</f>
        <v>1</v>
      </c>
      <c r="M173" s="540">
        <f>E173+F173+H173-I173-L173+G173-K173</f>
        <v>6</v>
      </c>
      <c r="N173" s="356">
        <f t="shared" si="64"/>
        <v>150</v>
      </c>
      <c r="O173" s="357">
        <f>SUM(X173:BB173)</f>
        <v>66925</v>
      </c>
      <c r="P173" s="350"/>
      <c r="Q173" s="350"/>
      <c r="R173" s="350">
        <f>O173/INTGRATE!$N$293</f>
        <v>4461.666666666667</v>
      </c>
      <c r="S173" s="349">
        <f>IF(R173=0,0,(N58+N173)/(R173+R58))</f>
        <v>0.59274550280153349</v>
      </c>
      <c r="T173" s="471"/>
      <c r="U173" s="139"/>
      <c r="V173" s="960" t="str">
        <f t="shared" si="61"/>
        <v>94925</v>
      </c>
      <c r="W173" s="94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356">
        <v>2500</v>
      </c>
      <c r="AE173" s="100">
        <v>0</v>
      </c>
      <c r="AF173" s="356">
        <v>13875</v>
      </c>
      <c r="AG173" s="100"/>
      <c r="AH173" s="100">
        <v>4450</v>
      </c>
      <c r="AI173" s="100">
        <v>11675</v>
      </c>
      <c r="AJ173" s="100">
        <v>7175</v>
      </c>
      <c r="AK173" s="100">
        <v>3925</v>
      </c>
      <c r="AL173" s="100">
        <v>1225</v>
      </c>
      <c r="AM173" s="100">
        <v>0</v>
      </c>
      <c r="AN173" s="100"/>
      <c r="AO173" s="100"/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7"/>
        <v>66925</v>
      </c>
      <c r="BD173" s="896">
        <f t="shared" si="68"/>
        <v>10</v>
      </c>
      <c r="BE173" s="896">
        <f t="shared" si="69"/>
        <v>6692.5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632">
        <v>940</v>
      </c>
      <c r="C174" s="632" t="s">
        <v>61</v>
      </c>
      <c r="D174" s="633">
        <v>25</v>
      </c>
      <c r="E174" s="356"/>
      <c r="F174" s="100">
        <f>SUMIF(pro!$A:$A,$V:$V,pro!$N:$N)</f>
        <v>349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>E174+F174+H174-I174-L174+G174-K174</f>
        <v>349</v>
      </c>
      <c r="N174" s="356">
        <f t="shared" ref="N174" si="70">M174*D174</f>
        <v>8725</v>
      </c>
      <c r="O174" s="357">
        <f>SUM(X174:BB174)</f>
        <v>0</v>
      </c>
      <c r="P174" s="350"/>
      <c r="Q174" s="350"/>
      <c r="R174" s="350">
        <f>O174/INTGRATE!$N$293</f>
        <v>0</v>
      </c>
      <c r="S174" s="349">
        <f>IF(R174=0,0,(N59+N174)/(R174+R59))</f>
        <v>0</v>
      </c>
      <c r="T174" s="471"/>
      <c r="U174" s="139"/>
      <c r="V174" s="960" t="str">
        <f t="shared" si="61"/>
        <v>94025</v>
      </c>
      <c r="W174" s="943">
        <v>204101</v>
      </c>
      <c r="X174" s="91"/>
      <c r="Y174" s="91"/>
      <c r="Z174" s="100"/>
      <c r="AA174" s="100"/>
      <c r="AB174" s="100"/>
      <c r="AC174" s="100"/>
      <c r="AD174" s="356"/>
      <c r="AE174" s="100"/>
      <c r="AF174" s="356"/>
      <c r="AG174" s="100"/>
      <c r="AH174" s="100"/>
      <c r="AI174" s="100"/>
      <c r="AJ174" s="100"/>
      <c r="AK174" s="100"/>
      <c r="AL174" s="100"/>
      <c r="AM174" s="100">
        <v>0</v>
      </c>
      <c r="AN174" s="100"/>
      <c r="AO174" s="100"/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ref="BC174" si="71">SUM(X174:BB174)</f>
        <v>0</v>
      </c>
      <c r="BD174" s="896">
        <f t="shared" ref="BD174" si="72">COUNTIF(X174:BB174,"&gt;0")</f>
        <v>0</v>
      </c>
      <c r="BE174" s="896">
        <f t="shared" ref="BE174" si="73">IFERROR(BC174/BD174,0)</f>
        <v>0</v>
      </c>
      <c r="BF174" s="38"/>
      <c r="BG174" s="38"/>
      <c r="BH174" s="505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" customHeight="1">
      <c r="A175" s="91">
        <v>9</v>
      </c>
      <c r="B175" s="632">
        <v>944</v>
      </c>
      <c r="C175" s="632" t="s">
        <v>61</v>
      </c>
      <c r="D175" s="633">
        <v>25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>E175+F175+H175-I175-L175+G175-K175</f>
        <v>0</v>
      </c>
      <c r="N175" s="356">
        <f t="shared" si="64"/>
        <v>0</v>
      </c>
      <c r="O175" s="357">
        <f>SUM(X175:BB175)</f>
        <v>6225</v>
      </c>
      <c r="P175" s="350"/>
      <c r="Q175" s="350"/>
      <c r="R175" s="350">
        <f>O175/INTGRATE!$N$293</f>
        <v>415</v>
      </c>
      <c r="S175" s="349">
        <f>IF(R175=0,0,(N59+N175)/(R175+R59))</f>
        <v>2.7911164465786316</v>
      </c>
      <c r="T175" s="471"/>
      <c r="U175" s="139"/>
      <c r="V175" s="960" t="str">
        <f t="shared" si="61"/>
        <v>94425</v>
      </c>
      <c r="W175" s="951">
        <v>216201</v>
      </c>
      <c r="X175" s="91"/>
      <c r="Y175" s="91">
        <v>4750</v>
      </c>
      <c r="Z175" s="100">
        <v>0</v>
      </c>
      <c r="AA175" s="100">
        <v>0</v>
      </c>
      <c r="AB175" s="100">
        <v>0</v>
      </c>
      <c r="AC175" s="100">
        <v>0</v>
      </c>
      <c r="AD175" s="356">
        <v>0</v>
      </c>
      <c r="AE175" s="100">
        <v>0</v>
      </c>
      <c r="AF175" s="356">
        <v>0</v>
      </c>
      <c r="AG175" s="100"/>
      <c r="AH175" s="100">
        <v>0</v>
      </c>
      <c r="AI175" s="100">
        <v>1475</v>
      </c>
      <c r="AJ175" s="100">
        <v>0</v>
      </c>
      <c r="AK175" s="100">
        <v>0</v>
      </c>
      <c r="AL175" s="100">
        <v>0</v>
      </c>
      <c r="AM175" s="100">
        <v>0</v>
      </c>
      <c r="AN175" s="100"/>
      <c r="AO175" s="100"/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7"/>
        <v>6225</v>
      </c>
      <c r="BD175" s="896">
        <f t="shared" si="68"/>
        <v>2</v>
      </c>
      <c r="BE175" s="896">
        <f t="shared" si="69"/>
        <v>3112.5</v>
      </c>
      <c r="BF175" s="38"/>
      <c r="BG175" s="38"/>
      <c r="BH175" s="505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1" customFormat="1" ht="15.75" customHeight="1">
      <c r="A176" s="91">
        <v>10</v>
      </c>
      <c r="B176" s="102">
        <v>944</v>
      </c>
      <c r="C176" s="102" t="s">
        <v>61</v>
      </c>
      <c r="D176" s="103">
        <v>40</v>
      </c>
      <c r="E176" s="356">
        <v>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63"/>
        <v>0</v>
      </c>
      <c r="N176" s="356">
        <f t="shared" si="64"/>
        <v>0</v>
      </c>
      <c r="O176" s="357">
        <f t="shared" si="62"/>
        <v>0</v>
      </c>
      <c r="P176" s="350"/>
      <c r="Q176" s="350"/>
      <c r="R176" s="350">
        <f>O176/INTGRATE!$N$293</f>
        <v>0</v>
      </c>
      <c r="S176" s="349">
        <f t="shared" ref="S176:S194" si="74">IF(R176=0,0,N176/R176)</f>
        <v>0</v>
      </c>
      <c r="T176" s="471"/>
      <c r="U176" s="145"/>
      <c r="V176" s="960" t="str">
        <f t="shared" si="61"/>
        <v>94440</v>
      </c>
      <c r="W176" s="951">
        <v>216201</v>
      </c>
      <c r="X176" s="640"/>
      <c r="Y176" s="640">
        <v>0</v>
      </c>
      <c r="Z176" s="100">
        <v>0</v>
      </c>
      <c r="AA176" s="100">
        <v>0</v>
      </c>
      <c r="AB176" s="100">
        <v>0</v>
      </c>
      <c r="AC176" s="100">
        <v>0</v>
      </c>
      <c r="AD176" s="356">
        <v>0</v>
      </c>
      <c r="AE176" s="100">
        <v>0</v>
      </c>
      <c r="AF176" s="356">
        <v>0</v>
      </c>
      <c r="AG176" s="100"/>
      <c r="AH176" s="100">
        <v>0</v>
      </c>
      <c r="AI176" s="100">
        <v>0</v>
      </c>
      <c r="AJ176" s="100">
        <v>0</v>
      </c>
      <c r="AK176" s="100">
        <v>0</v>
      </c>
      <c r="AL176" s="100">
        <v>0</v>
      </c>
      <c r="AM176" s="100">
        <v>0</v>
      </c>
      <c r="AN176" s="100"/>
      <c r="AO176" s="100"/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7"/>
        <v>0</v>
      </c>
      <c r="BD176" s="896">
        <f t="shared" si="68"/>
        <v>0</v>
      </c>
      <c r="BE176" s="896">
        <f t="shared" si="69"/>
        <v>0</v>
      </c>
      <c r="BF176" s="63"/>
      <c r="BG176" s="38"/>
      <c r="BH176" s="506"/>
      <c r="BI176" s="63"/>
      <c r="BJ176" s="63"/>
      <c r="BK176" s="63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</row>
    <row r="177" spans="1:151" s="105" customFormat="1" ht="15" customHeight="1">
      <c r="A177" s="91">
        <v>11</v>
      </c>
      <c r="B177" s="102">
        <v>945</v>
      </c>
      <c r="C177" s="102" t="s">
        <v>61</v>
      </c>
      <c r="D177" s="103">
        <v>40</v>
      </c>
      <c r="E177" s="356">
        <v>0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0</v>
      </c>
      <c r="J177" s="356">
        <f>SUMIF(data!$D:$D,$B177&amp;$D177,data!$K:$K)</f>
        <v>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63"/>
        <v>0</v>
      </c>
      <c r="N177" s="356">
        <f t="shared" si="64"/>
        <v>0</v>
      </c>
      <c r="O177" s="357">
        <f t="shared" si="62"/>
        <v>0</v>
      </c>
      <c r="P177" s="350"/>
      <c r="Q177" s="350"/>
      <c r="R177" s="350">
        <f>O177/INTGRATE!$N$293</f>
        <v>0</v>
      </c>
      <c r="S177" s="349">
        <f t="shared" si="74"/>
        <v>0</v>
      </c>
      <c r="T177" s="471"/>
      <c r="U177" s="145"/>
      <c r="V177" s="960" t="str">
        <f t="shared" si="61"/>
        <v>94540</v>
      </c>
      <c r="W177" s="951">
        <v>216251</v>
      </c>
      <c r="X177" s="91"/>
      <c r="Y177" s="91">
        <v>0</v>
      </c>
      <c r="Z177" s="100">
        <v>0</v>
      </c>
      <c r="AA177" s="100">
        <v>0</v>
      </c>
      <c r="AB177" s="100">
        <v>0</v>
      </c>
      <c r="AC177" s="100">
        <v>0</v>
      </c>
      <c r="AD177" s="356">
        <v>0</v>
      </c>
      <c r="AE177" s="100">
        <v>0</v>
      </c>
      <c r="AF177" s="356">
        <v>0</v>
      </c>
      <c r="AG177" s="100"/>
      <c r="AH177" s="100">
        <v>0</v>
      </c>
      <c r="AI177" s="100">
        <v>0</v>
      </c>
      <c r="AJ177" s="100">
        <v>0</v>
      </c>
      <c r="AK177" s="100">
        <v>0</v>
      </c>
      <c r="AL177" s="100">
        <v>0</v>
      </c>
      <c r="AM177" s="100">
        <v>0</v>
      </c>
      <c r="AN177" s="100"/>
      <c r="AO177" s="100"/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7"/>
        <v>0</v>
      </c>
      <c r="BD177" s="896">
        <f t="shared" si="68"/>
        <v>0</v>
      </c>
      <c r="BE177" s="896">
        <f t="shared" si="69"/>
        <v>0</v>
      </c>
      <c r="BF177" s="104"/>
      <c r="BG177" s="38"/>
      <c r="BH177" s="506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104"/>
      <c r="CQ177" s="104"/>
      <c r="CR177" s="104"/>
      <c r="CS177" s="104"/>
      <c r="CT177" s="104"/>
      <c r="CU177" s="104"/>
      <c r="CV177" s="104"/>
      <c r="CW177" s="104"/>
      <c r="CX177" s="104"/>
      <c r="CY177" s="104"/>
      <c r="CZ177" s="104"/>
      <c r="DA177" s="104"/>
      <c r="DB177" s="104"/>
      <c r="DC177" s="104"/>
      <c r="DD177" s="104"/>
      <c r="DE177" s="104"/>
      <c r="DF177" s="104"/>
      <c r="DG177" s="104"/>
      <c r="DH177" s="104"/>
      <c r="DI177" s="104"/>
      <c r="DJ177" s="104"/>
      <c r="DK177" s="104"/>
      <c r="DL177" s="104"/>
      <c r="DM177" s="104"/>
      <c r="DN177" s="104"/>
      <c r="DO177" s="104"/>
      <c r="DP177" s="104"/>
      <c r="DQ177" s="104"/>
      <c r="DR177" s="104"/>
      <c r="DS177" s="104"/>
      <c r="DT177" s="104"/>
      <c r="DU177" s="104"/>
      <c r="DV177" s="104"/>
      <c r="DW177" s="104"/>
      <c r="DX177" s="104"/>
      <c r="DY177" s="104"/>
      <c r="DZ177" s="104"/>
      <c r="EA177" s="104"/>
      <c r="EB177" s="104"/>
      <c r="EC177" s="104"/>
      <c r="ED177" s="104"/>
      <c r="EE177" s="104"/>
      <c r="EF177" s="104"/>
      <c r="EG177" s="104"/>
      <c r="EH177" s="104"/>
      <c r="EI177" s="104"/>
      <c r="EJ177" s="104"/>
      <c r="EK177" s="104"/>
      <c r="EL177" s="104"/>
      <c r="EM177" s="104"/>
      <c r="EN177" s="104"/>
      <c r="EO177" s="104"/>
      <c r="EP177" s="104"/>
      <c r="EQ177" s="104"/>
      <c r="ER177" s="104"/>
      <c r="ES177" s="104"/>
      <c r="ET177" s="104"/>
      <c r="EU177" s="104"/>
    </row>
    <row r="178" spans="1:151" s="38" customFormat="1" ht="15" customHeight="1">
      <c r="A178" s="91">
        <v>12</v>
      </c>
      <c r="B178" s="175">
        <v>951</v>
      </c>
      <c r="C178" s="617" t="s">
        <v>1314</v>
      </c>
      <c r="D178" s="168">
        <v>25</v>
      </c>
      <c r="E178" s="356">
        <v>206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70</v>
      </c>
      <c r="J178" s="356">
        <f>SUMIF(data!$D:$D,$B178&amp;$D178,data!$K:$K)</f>
        <v>1750</v>
      </c>
      <c r="K178" s="356">
        <f>SUMIF(AJOUT!$A:$A,BRAN!$V:$V,AJOUT!$L:$L)</f>
        <v>0</v>
      </c>
      <c r="L178" s="356">
        <f>SUMIF(CBOUT!$A:$A,BRAN!$V:$V,CBOUT!$G:$G)</f>
        <v>0</v>
      </c>
      <c r="M178" s="540">
        <f t="shared" si="63"/>
        <v>136</v>
      </c>
      <c r="N178" s="356">
        <f t="shared" si="64"/>
        <v>3400</v>
      </c>
      <c r="O178" s="357">
        <f t="shared" si="62"/>
        <v>19600</v>
      </c>
      <c r="P178" s="350"/>
      <c r="Q178" s="350"/>
      <c r="R178" s="350">
        <f>O178/INTGRATE!$N$293</f>
        <v>1306.6666666666667</v>
      </c>
      <c r="S178" s="349">
        <f t="shared" si="74"/>
        <v>2.6020408163265305</v>
      </c>
      <c r="T178" s="471"/>
      <c r="U178" s="145"/>
      <c r="V178" s="960" t="str">
        <f t="shared" si="61"/>
        <v>95125</v>
      </c>
      <c r="W178" s="951">
        <v>314001</v>
      </c>
      <c r="X178" s="91"/>
      <c r="Y178" s="91">
        <v>1925</v>
      </c>
      <c r="Z178" s="100">
        <v>600</v>
      </c>
      <c r="AA178" s="100">
        <v>550</v>
      </c>
      <c r="AB178" s="100">
        <v>3625</v>
      </c>
      <c r="AC178" s="100">
        <v>750</v>
      </c>
      <c r="AD178" s="356">
        <v>75</v>
      </c>
      <c r="AE178" s="100">
        <v>2375</v>
      </c>
      <c r="AF178" s="356">
        <v>0</v>
      </c>
      <c r="AG178" s="100"/>
      <c r="AH178" s="100">
        <v>0</v>
      </c>
      <c r="AI178" s="100">
        <v>3750</v>
      </c>
      <c r="AJ178" s="100">
        <v>3250</v>
      </c>
      <c r="AK178" s="100">
        <v>825</v>
      </c>
      <c r="AL178" s="100">
        <v>125</v>
      </c>
      <c r="AM178" s="100">
        <v>1750</v>
      </c>
      <c r="AN178" s="100"/>
      <c r="AO178" s="100"/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7"/>
        <v>19600</v>
      </c>
      <c r="BD178" s="896">
        <f t="shared" si="68"/>
        <v>12</v>
      </c>
      <c r="BE178" s="896">
        <f t="shared" si="69"/>
        <v>1633.3333333333333</v>
      </c>
      <c r="BH178" s="505"/>
    </row>
    <row r="179" spans="1:151" s="38" customFormat="1" ht="15" customHeight="1">
      <c r="A179" s="91">
        <v>13</v>
      </c>
      <c r="B179" s="94">
        <v>952</v>
      </c>
      <c r="C179" s="94" t="s">
        <v>61</v>
      </c>
      <c r="D179" s="91">
        <v>25</v>
      </c>
      <c r="E179" s="356">
        <v>696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185</v>
      </c>
      <c r="J179" s="356">
        <f>SUMIF(data!$D:$D,$B179&amp;$D179,data!$K:$K)</f>
        <v>4625</v>
      </c>
      <c r="K179" s="356">
        <f>SUMIF(AJOUT!$A:$A,BRAN!$V:$V,AJOUT!$L:$L)</f>
        <v>0</v>
      </c>
      <c r="L179" s="356">
        <f>SUMIF(CBOUT!$A:$A,BRAN!$V:$V,CBOUT!$G:$G)</f>
        <v>0</v>
      </c>
      <c r="M179" s="540">
        <f t="shared" si="63"/>
        <v>511</v>
      </c>
      <c r="N179" s="356">
        <f t="shared" si="64"/>
        <v>12775</v>
      </c>
      <c r="O179" s="357">
        <f t="shared" si="62"/>
        <v>56625</v>
      </c>
      <c r="P179" s="350"/>
      <c r="Q179" s="350"/>
      <c r="R179" s="350">
        <f>O179/INTGRATE!$N$293</f>
        <v>3775</v>
      </c>
      <c r="S179" s="349">
        <f t="shared" si="74"/>
        <v>3.3841059602649008</v>
      </c>
      <c r="T179" s="472"/>
      <c r="U179" s="145"/>
      <c r="V179" s="960" t="str">
        <f t="shared" si="61"/>
        <v>95225</v>
      </c>
      <c r="W179" s="951">
        <v>321001</v>
      </c>
      <c r="X179" s="91"/>
      <c r="Y179" s="91">
        <v>7150</v>
      </c>
      <c r="Z179" s="100">
        <v>2775</v>
      </c>
      <c r="AA179" s="100">
        <v>3125</v>
      </c>
      <c r="AB179" s="100">
        <v>7100</v>
      </c>
      <c r="AC179" s="100">
        <v>0</v>
      </c>
      <c r="AD179" s="356">
        <v>1600</v>
      </c>
      <c r="AE179" s="100">
        <v>6525</v>
      </c>
      <c r="AF179" s="356">
        <v>1500</v>
      </c>
      <c r="AG179" s="100"/>
      <c r="AH179" s="100">
        <v>7100</v>
      </c>
      <c r="AI179" s="100">
        <v>10700</v>
      </c>
      <c r="AJ179" s="100">
        <v>3275</v>
      </c>
      <c r="AK179" s="100">
        <v>525</v>
      </c>
      <c r="AL179" s="100">
        <v>625</v>
      </c>
      <c r="AM179" s="100">
        <v>4625</v>
      </c>
      <c r="AN179" s="100"/>
      <c r="AO179" s="100"/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7"/>
        <v>56625</v>
      </c>
      <c r="BD179" s="896">
        <f t="shared" si="68"/>
        <v>13</v>
      </c>
      <c r="BE179" s="896">
        <f t="shared" si="69"/>
        <v>4355.7692307692305</v>
      </c>
      <c r="BH179" s="505"/>
    </row>
    <row r="180" spans="1:151" s="38" customFormat="1" ht="15" customHeight="1">
      <c r="A180" s="91">
        <v>14</v>
      </c>
      <c r="B180" s="94" t="s">
        <v>124</v>
      </c>
      <c r="C180" s="123" t="s">
        <v>1314</v>
      </c>
      <c r="D180" s="91">
        <v>25</v>
      </c>
      <c r="E180" s="356">
        <v>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>E180+F180+H180-I180-L180+G180-K180</f>
        <v>0</v>
      </c>
      <c r="N180" s="356">
        <f t="shared" si="64"/>
        <v>0</v>
      </c>
      <c r="O180" s="357">
        <f>SUM(X180:BB180)</f>
        <v>0</v>
      </c>
      <c r="P180" s="350"/>
      <c r="Q180" s="350"/>
      <c r="R180" s="350">
        <f>O180/INTGRATE!$N$293</f>
        <v>0</v>
      </c>
      <c r="S180" s="349">
        <f t="shared" si="74"/>
        <v>0</v>
      </c>
      <c r="T180" s="472"/>
      <c r="U180" s="145"/>
      <c r="V180" s="960" t="str">
        <f t="shared" si="61"/>
        <v>952M25</v>
      </c>
      <c r="W180" s="951">
        <v>321012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356">
        <v>0</v>
      </c>
      <c r="AE180" s="100">
        <v>0</v>
      </c>
      <c r="AF180" s="356">
        <v>0</v>
      </c>
      <c r="AG180" s="100"/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/>
      <c r="AO180" s="100"/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7"/>
        <v>0</v>
      </c>
      <c r="BD180" s="896">
        <f t="shared" si="68"/>
        <v>0</v>
      </c>
      <c r="BE180" s="896">
        <f t="shared" si="69"/>
        <v>0</v>
      </c>
      <c r="BH180" s="505"/>
    </row>
    <row r="181" spans="1:151" s="38" customFormat="1" ht="15" customHeight="1">
      <c r="A181" s="91">
        <v>15</v>
      </c>
      <c r="B181" s="175" t="s">
        <v>1385</v>
      </c>
      <c r="C181" s="617" t="s">
        <v>1314</v>
      </c>
      <c r="D181" s="168">
        <v>25</v>
      </c>
      <c r="E181" s="356">
        <v>0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0</v>
      </c>
      <c r="J181" s="356">
        <f>SUMIF(data!$D:$D,$B181&amp;$D181,data!$K:$K)</f>
        <v>0</v>
      </c>
      <c r="K181" s="356">
        <f>SUMIF(AJOUT!$A:$A,BRAN!$V:$V,AJOUT!$L:$L)</f>
        <v>0</v>
      </c>
      <c r="L181" s="356">
        <f>SUMIF(CBOUT!$A:$A,BRAN!$V:$V,CBOUT!$G:$G)</f>
        <v>0</v>
      </c>
      <c r="M181" s="540">
        <f>E181+F181+H181-I181-L181+G181-K181</f>
        <v>0</v>
      </c>
      <c r="N181" s="356">
        <f t="shared" si="64"/>
        <v>0</v>
      </c>
      <c r="O181" s="357">
        <f>SUM(X181:BB181)</f>
        <v>0</v>
      </c>
      <c r="P181" s="350"/>
      <c r="Q181" s="350"/>
      <c r="R181" s="350">
        <f>O181/INTGRATE!$N$293</f>
        <v>0</v>
      </c>
      <c r="S181" s="349">
        <f t="shared" si="74"/>
        <v>0</v>
      </c>
      <c r="T181" s="472"/>
      <c r="U181" s="145"/>
      <c r="V181" s="960" t="str">
        <f t="shared" si="61"/>
        <v>952MX25</v>
      </c>
      <c r="W181" s="951">
        <v>321018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356">
        <v>0</v>
      </c>
      <c r="AE181" s="100">
        <v>0</v>
      </c>
      <c r="AF181" s="356">
        <v>0</v>
      </c>
      <c r="AG181" s="100"/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/>
      <c r="AO181" s="100"/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7"/>
        <v>0</v>
      </c>
      <c r="BD181" s="896">
        <f t="shared" si="68"/>
        <v>0</v>
      </c>
      <c r="BE181" s="896">
        <f t="shared" si="69"/>
        <v>0</v>
      </c>
      <c r="BH181" s="505"/>
    </row>
    <row r="182" spans="1:151" s="38" customFormat="1" ht="15" customHeight="1">
      <c r="A182" s="91">
        <v>16</v>
      </c>
      <c r="B182" s="94" t="s">
        <v>47</v>
      </c>
      <c r="C182" s="123" t="s">
        <v>1314</v>
      </c>
      <c r="D182" s="91">
        <v>25</v>
      </c>
      <c r="E182" s="356">
        <v>629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55</v>
      </c>
      <c r="J182" s="356">
        <f>SUMIF(data!$D:$D,$B182&amp;$D182,data!$K:$K)</f>
        <v>1375</v>
      </c>
      <c r="K182" s="356">
        <f>SUMIF(AJOUT!$A:$A,BRAN!$V:$V,AJOUT!$L:$L)</f>
        <v>0</v>
      </c>
      <c r="L182" s="356">
        <f>SUMIF(CBOUT!$A:$A,BRAN!$V:$V,CBOUT!$G:$G)</f>
        <v>0</v>
      </c>
      <c r="M182" s="540">
        <f t="shared" si="63"/>
        <v>574</v>
      </c>
      <c r="N182" s="356">
        <f t="shared" si="64"/>
        <v>14350</v>
      </c>
      <c r="O182" s="357">
        <f t="shared" si="62"/>
        <v>42875</v>
      </c>
      <c r="P182" s="350"/>
      <c r="Q182" s="350"/>
      <c r="R182" s="350">
        <f>O182/INTGRATE!$N$293</f>
        <v>2858.3333333333335</v>
      </c>
      <c r="S182" s="349">
        <f t="shared" si="74"/>
        <v>5.0204081632653059</v>
      </c>
      <c r="T182" s="471"/>
      <c r="U182" s="145"/>
      <c r="V182" s="961" t="str">
        <f t="shared" si="61"/>
        <v>952S25</v>
      </c>
      <c r="W182" s="962">
        <v>320001</v>
      </c>
      <c r="X182" s="91"/>
      <c r="Y182" s="91">
        <v>1250</v>
      </c>
      <c r="Z182" s="100">
        <v>1250</v>
      </c>
      <c r="AA182" s="100">
        <v>750</v>
      </c>
      <c r="AB182" s="100">
        <v>9875</v>
      </c>
      <c r="AC182" s="100">
        <v>1100</v>
      </c>
      <c r="AD182" s="356">
        <v>900</v>
      </c>
      <c r="AE182" s="100">
        <v>11250</v>
      </c>
      <c r="AF182" s="356">
        <v>1750</v>
      </c>
      <c r="AG182" s="100"/>
      <c r="AH182" s="100">
        <v>9000</v>
      </c>
      <c r="AI182" s="100">
        <v>750</v>
      </c>
      <c r="AJ182" s="100">
        <v>1750</v>
      </c>
      <c r="AK182" s="100">
        <v>1250</v>
      </c>
      <c r="AL182" s="100">
        <v>625</v>
      </c>
      <c r="AM182" s="100">
        <v>1375</v>
      </c>
      <c r="AN182" s="100"/>
      <c r="AO182" s="100"/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7"/>
        <v>42875</v>
      </c>
      <c r="BD182" s="896">
        <f t="shared" si="68"/>
        <v>14</v>
      </c>
      <c r="BE182" s="896">
        <f t="shared" si="69"/>
        <v>3062.5</v>
      </c>
      <c r="BH182" s="505"/>
    </row>
    <row r="183" spans="1:151" s="38" customFormat="1" ht="15" customHeight="1">
      <c r="A183" s="91">
        <v>17</v>
      </c>
      <c r="B183" s="175" t="s">
        <v>2155</v>
      </c>
      <c r="C183" s="617" t="s">
        <v>1314</v>
      </c>
      <c r="D183" s="168">
        <v>25</v>
      </c>
      <c r="E183" s="356">
        <v>0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>E183+F183+H183-I183-L183+G183-K183</f>
        <v>0</v>
      </c>
      <c r="N183" s="356">
        <f t="shared" si="64"/>
        <v>0</v>
      </c>
      <c r="O183" s="357">
        <f t="shared" si="62"/>
        <v>0</v>
      </c>
      <c r="P183" s="350"/>
      <c r="Q183" s="350"/>
      <c r="R183" s="350">
        <f>O183/INTGRATE!$N$293</f>
        <v>0</v>
      </c>
      <c r="S183" s="349">
        <f t="shared" si="74"/>
        <v>0</v>
      </c>
      <c r="T183" s="471"/>
      <c r="U183" s="145"/>
      <c r="V183" s="961" t="str">
        <f t="shared" si="61"/>
        <v>952SX25</v>
      </c>
      <c r="W183" s="943">
        <v>320008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356">
        <v>0</v>
      </c>
      <c r="AE183" s="100">
        <v>0</v>
      </c>
      <c r="AF183" s="356">
        <v>0</v>
      </c>
      <c r="AG183" s="100"/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/>
      <c r="AO183" s="100"/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7"/>
        <v>0</v>
      </c>
      <c r="BD183" s="896">
        <f t="shared" si="68"/>
        <v>0</v>
      </c>
      <c r="BE183" s="896">
        <f t="shared" si="69"/>
        <v>0</v>
      </c>
      <c r="BH183" s="505"/>
    </row>
    <row r="184" spans="1:151" s="38" customFormat="1" ht="15" customHeight="1">
      <c r="A184" s="91">
        <v>18</v>
      </c>
      <c r="B184" s="94">
        <v>953</v>
      </c>
      <c r="C184" s="94" t="s">
        <v>61</v>
      </c>
      <c r="D184" s="91">
        <v>25</v>
      </c>
      <c r="E184" s="356">
        <v>171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110</v>
      </c>
      <c r="J184" s="356">
        <f>SUMIF(data!$D:$D,$B184&amp;$D184,data!$K:$K)</f>
        <v>2750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63"/>
        <v>61</v>
      </c>
      <c r="N184" s="356">
        <f t="shared" si="64"/>
        <v>1525</v>
      </c>
      <c r="O184" s="357">
        <f t="shared" si="62"/>
        <v>44025</v>
      </c>
      <c r="P184" s="350"/>
      <c r="Q184" s="350"/>
      <c r="R184" s="350">
        <f>O184/INTGRATE!$N$293</f>
        <v>2935</v>
      </c>
      <c r="S184" s="349">
        <f t="shared" si="74"/>
        <v>0.51959114139693352</v>
      </c>
      <c r="T184" s="472"/>
      <c r="U184" s="145"/>
      <c r="V184" s="956" t="str">
        <f t="shared" si="61"/>
        <v>95325</v>
      </c>
      <c r="W184" s="943">
        <v>332301</v>
      </c>
      <c r="X184" s="91"/>
      <c r="Y184" s="91">
        <v>1750</v>
      </c>
      <c r="Z184" s="100">
        <v>1525</v>
      </c>
      <c r="AA184" s="100">
        <v>0</v>
      </c>
      <c r="AB184" s="100">
        <v>5000</v>
      </c>
      <c r="AC184" s="100">
        <v>5325</v>
      </c>
      <c r="AD184" s="356">
        <v>250</v>
      </c>
      <c r="AE184" s="100">
        <v>8250</v>
      </c>
      <c r="AF184" s="356">
        <v>0</v>
      </c>
      <c r="AG184" s="100"/>
      <c r="AH184" s="100">
        <v>9575</v>
      </c>
      <c r="AI184" s="100">
        <v>3500</v>
      </c>
      <c r="AJ184" s="100">
        <v>4975</v>
      </c>
      <c r="AK184" s="100">
        <v>0</v>
      </c>
      <c r="AL184" s="100">
        <v>1125</v>
      </c>
      <c r="AM184" s="100">
        <v>2750</v>
      </c>
      <c r="AN184" s="100"/>
      <c r="AO184" s="100"/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7"/>
        <v>44025</v>
      </c>
      <c r="BD184" s="896">
        <f t="shared" si="68"/>
        <v>11</v>
      </c>
      <c r="BE184" s="896">
        <f t="shared" si="69"/>
        <v>4002.2727272727275</v>
      </c>
      <c r="BH184" s="505"/>
    </row>
    <row r="185" spans="1:151" s="38" customFormat="1" ht="15" customHeight="1">
      <c r="A185" s="91">
        <v>19</v>
      </c>
      <c r="B185" s="94" t="s">
        <v>76</v>
      </c>
      <c r="C185" s="94" t="s">
        <v>61</v>
      </c>
      <c r="D185" s="91">
        <v>25</v>
      </c>
      <c r="E185" s="356">
        <v>0</v>
      </c>
      <c r="F185" s="100">
        <f>SUMIF(pro!$A:$A,$V:$V,pro!$N:$N)</f>
        <v>200</v>
      </c>
      <c r="G185" s="356"/>
      <c r="H185" s="356">
        <f>SUMIF(CBIN!$A:$A,BRAN!$V:$V,CBIN!$G:$G)</f>
        <v>0</v>
      </c>
      <c r="I185" s="100">
        <f>SUMIF(data!$D:$D,$B185&amp;$D185,data!$J:$J)</f>
        <v>0</v>
      </c>
      <c r="J185" s="356">
        <f>SUMIF(data!$D:$D,$B185&amp;$D185,data!$K:$K)</f>
        <v>0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63"/>
        <v>200</v>
      </c>
      <c r="N185" s="356">
        <f t="shared" si="64"/>
        <v>5000</v>
      </c>
      <c r="O185" s="357">
        <f t="shared" si="62"/>
        <v>0</v>
      </c>
      <c r="P185" s="350"/>
      <c r="Q185" s="350"/>
      <c r="R185" s="350">
        <f>O185/INTGRATE!$N$293</f>
        <v>0</v>
      </c>
      <c r="S185" s="349">
        <f t="shared" si="74"/>
        <v>0</v>
      </c>
      <c r="T185" s="473"/>
      <c r="U185" s="145"/>
      <c r="V185" s="960" t="str">
        <f t="shared" si="61"/>
        <v>953S25</v>
      </c>
      <c r="W185" s="951">
        <v>332101</v>
      </c>
      <c r="X185" s="91"/>
      <c r="Y185" s="91">
        <v>0</v>
      </c>
      <c r="Z185" s="100">
        <v>0</v>
      </c>
      <c r="AA185" s="100">
        <v>0</v>
      </c>
      <c r="AB185" s="100">
        <v>0</v>
      </c>
      <c r="AC185" s="100">
        <v>0</v>
      </c>
      <c r="AD185" s="356">
        <v>0</v>
      </c>
      <c r="AE185" s="100">
        <v>0</v>
      </c>
      <c r="AF185" s="356">
        <v>0</v>
      </c>
      <c r="AG185" s="100"/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/>
      <c r="AO185" s="100"/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7"/>
        <v>0</v>
      </c>
      <c r="BD185" s="896">
        <f t="shared" si="68"/>
        <v>0</v>
      </c>
      <c r="BE185" s="896">
        <f t="shared" si="69"/>
        <v>0</v>
      </c>
      <c r="BH185" s="505"/>
    </row>
    <row r="186" spans="1:151" s="38" customFormat="1" ht="15" customHeight="1">
      <c r="A186" s="91">
        <v>20</v>
      </c>
      <c r="B186" s="177">
        <v>966</v>
      </c>
      <c r="C186" s="177" t="s">
        <v>61</v>
      </c>
      <c r="D186" s="179">
        <v>25</v>
      </c>
      <c r="E186" s="356">
        <v>438</v>
      </c>
      <c r="F186" s="100">
        <f>SUMIF(pro!$A:$A,$V:$V,pro!$N:$N)</f>
        <v>0</v>
      </c>
      <c r="G186" s="356"/>
      <c r="H186" s="356">
        <f>SUMIF(CBIN!$A:$A,BRAN!$V:$V,CBIN!$G:$G)</f>
        <v>0</v>
      </c>
      <c r="I186" s="100">
        <f>SUMIF(data!$D:$D,$B186&amp;$D186,data!$J:$J)</f>
        <v>139</v>
      </c>
      <c r="J186" s="356">
        <f>SUMIF(data!$D:$D,$B186&amp;$D186,data!$K:$K)</f>
        <v>3475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63"/>
        <v>299</v>
      </c>
      <c r="N186" s="356">
        <f t="shared" si="64"/>
        <v>7475</v>
      </c>
      <c r="O186" s="357">
        <f t="shared" si="62"/>
        <v>32325</v>
      </c>
      <c r="P186" s="350"/>
      <c r="Q186" s="350"/>
      <c r="R186" s="350">
        <f>O186/INTGRATE!$N$293</f>
        <v>2155</v>
      </c>
      <c r="S186" s="349">
        <f t="shared" si="74"/>
        <v>3.468677494199536</v>
      </c>
      <c r="T186" s="471"/>
      <c r="U186" s="145"/>
      <c r="V186" s="960" t="str">
        <f t="shared" si="61"/>
        <v>96625</v>
      </c>
      <c r="W186" s="951">
        <v>366201</v>
      </c>
      <c r="X186" s="91"/>
      <c r="Y186" s="91">
        <v>1500</v>
      </c>
      <c r="Z186" s="100">
        <v>1625</v>
      </c>
      <c r="AA186" s="100">
        <v>5250</v>
      </c>
      <c r="AB186" s="100">
        <v>4250</v>
      </c>
      <c r="AC186" s="100">
        <v>3450</v>
      </c>
      <c r="AD186" s="356">
        <v>750</v>
      </c>
      <c r="AE186" s="100">
        <v>1875</v>
      </c>
      <c r="AF186" s="356">
        <v>1050</v>
      </c>
      <c r="AG186" s="100"/>
      <c r="AH186" s="100">
        <v>2875</v>
      </c>
      <c r="AI186" s="100">
        <v>5825</v>
      </c>
      <c r="AJ186" s="100">
        <v>275</v>
      </c>
      <c r="AK186" s="100">
        <v>0</v>
      </c>
      <c r="AL186" s="100">
        <v>125</v>
      </c>
      <c r="AM186" s="100">
        <v>3475</v>
      </c>
      <c r="AN186" s="100"/>
      <c r="AO186" s="100"/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7"/>
        <v>32325</v>
      </c>
      <c r="BD186" s="896">
        <f t="shared" si="68"/>
        <v>13</v>
      </c>
      <c r="BE186" s="896">
        <f t="shared" si="69"/>
        <v>2486.5384615384614</v>
      </c>
      <c r="BH186" s="505"/>
    </row>
    <row r="187" spans="1:151" s="38" customFormat="1" ht="15" customHeight="1">
      <c r="A187" s="91">
        <v>21</v>
      </c>
      <c r="B187" s="192">
        <v>967</v>
      </c>
      <c r="C187" s="177" t="s">
        <v>61</v>
      </c>
      <c r="D187" s="193">
        <v>25</v>
      </c>
      <c r="E187" s="161">
        <v>198</v>
      </c>
      <c r="F187" s="100">
        <f>SUMIF(pro!$A:$A,$V:$V,pro!$N:$N)</f>
        <v>0</v>
      </c>
      <c r="G187" s="356"/>
      <c r="H187" s="356">
        <f>SUMIF(CBIN!$A:$A,BRAN!$V:$V,CBIN!$G:$G)</f>
        <v>0</v>
      </c>
      <c r="I187" s="100">
        <f>SUMIF(data!$D:$D,$B187&amp;$D187,data!$J:$J)</f>
        <v>45</v>
      </c>
      <c r="J187" s="356">
        <f>SUMIF(data!$D:$D,$B187&amp;$D187,data!$K:$K)</f>
        <v>1125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63"/>
        <v>153</v>
      </c>
      <c r="N187" s="356">
        <f t="shared" si="64"/>
        <v>3825</v>
      </c>
      <c r="O187" s="357">
        <f t="shared" si="62"/>
        <v>9275</v>
      </c>
      <c r="P187" s="350"/>
      <c r="Q187" s="350"/>
      <c r="R187" s="350">
        <f>O187/INTGRATE!$N$293</f>
        <v>618.33333333333337</v>
      </c>
      <c r="S187" s="349">
        <f t="shared" si="74"/>
        <v>6.1859838274932608</v>
      </c>
      <c r="T187" s="471"/>
      <c r="U187" s="145"/>
      <c r="V187" s="960" t="str">
        <f t="shared" si="61"/>
        <v>96725</v>
      </c>
      <c r="W187" s="951">
        <v>367201</v>
      </c>
      <c r="X187" s="91"/>
      <c r="Y187" s="91">
        <v>50</v>
      </c>
      <c r="Z187" s="100">
        <v>625</v>
      </c>
      <c r="AA187" s="100">
        <v>1050</v>
      </c>
      <c r="AB187" s="100">
        <v>250</v>
      </c>
      <c r="AC187" s="100">
        <v>1400</v>
      </c>
      <c r="AD187" s="356">
        <v>2175</v>
      </c>
      <c r="AE187" s="100">
        <v>0</v>
      </c>
      <c r="AF187" s="356">
        <v>0</v>
      </c>
      <c r="AG187" s="100"/>
      <c r="AH187" s="100">
        <v>0</v>
      </c>
      <c r="AI187" s="100">
        <v>300</v>
      </c>
      <c r="AJ187" s="100">
        <v>1500</v>
      </c>
      <c r="AK187" s="100">
        <v>800</v>
      </c>
      <c r="AL187" s="100">
        <v>0</v>
      </c>
      <c r="AM187" s="100">
        <v>1125</v>
      </c>
      <c r="AN187" s="100"/>
      <c r="AO187" s="100"/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7"/>
        <v>9275</v>
      </c>
      <c r="BD187" s="896">
        <f t="shared" si="68"/>
        <v>10</v>
      </c>
      <c r="BE187" s="896">
        <f t="shared" si="69"/>
        <v>927.5</v>
      </c>
      <c r="BH187" s="505"/>
    </row>
    <row r="188" spans="1:151" s="38" customFormat="1" ht="15" customHeight="1">
      <c r="A188" s="91">
        <v>22</v>
      </c>
      <c r="B188" s="192" t="s">
        <v>130</v>
      </c>
      <c r="C188" s="192" t="s">
        <v>61</v>
      </c>
      <c r="D188" s="193">
        <v>25</v>
      </c>
      <c r="E188" s="161">
        <v>173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50</v>
      </c>
      <c r="J188" s="356">
        <f>SUMIF(data!$D:$D,$B188&amp;$D188,data!$K:$K)</f>
        <v>1250</v>
      </c>
      <c r="K188" s="356">
        <f>SUMIF(AJOUT!$A:$A,BRAN!$V:$V,AJOUT!$L:$L)</f>
        <v>0</v>
      </c>
      <c r="L188" s="356">
        <f>SUMIF(CBOUT!$A:$A,BRAN!$V:$V,CBOUT!$G:$G)</f>
        <v>0</v>
      </c>
      <c r="M188" s="540">
        <f t="shared" si="63"/>
        <v>123</v>
      </c>
      <c r="N188" s="356">
        <f t="shared" si="64"/>
        <v>3075</v>
      </c>
      <c r="O188" s="357">
        <f t="shared" si="62"/>
        <v>9250</v>
      </c>
      <c r="P188" s="350"/>
      <c r="Q188" s="350"/>
      <c r="R188" s="350">
        <f>O188/INTGRATE!$N$293</f>
        <v>616.66666666666663</v>
      </c>
      <c r="S188" s="349">
        <f t="shared" si="74"/>
        <v>4.9864864864864868</v>
      </c>
      <c r="T188" s="474"/>
      <c r="U188" s="145"/>
      <c r="V188" s="960" t="str">
        <f t="shared" si="61"/>
        <v>967S25</v>
      </c>
      <c r="W188" s="951">
        <v>367101</v>
      </c>
      <c r="X188" s="641"/>
      <c r="Y188" s="641">
        <v>3000</v>
      </c>
      <c r="Z188" s="100">
        <v>0</v>
      </c>
      <c r="AA188" s="100">
        <v>0</v>
      </c>
      <c r="AB188" s="100">
        <v>1075</v>
      </c>
      <c r="AC188" s="100">
        <v>0</v>
      </c>
      <c r="AD188" s="356">
        <v>0</v>
      </c>
      <c r="AE188" s="100">
        <v>0</v>
      </c>
      <c r="AF188" s="356">
        <v>175</v>
      </c>
      <c r="AG188" s="100"/>
      <c r="AH188" s="100">
        <v>1000</v>
      </c>
      <c r="AI188" s="100">
        <v>2500</v>
      </c>
      <c r="AJ188" s="100">
        <v>250</v>
      </c>
      <c r="AK188" s="100">
        <v>0</v>
      </c>
      <c r="AL188" s="100">
        <v>0</v>
      </c>
      <c r="AM188" s="100">
        <v>1250</v>
      </c>
      <c r="AN188" s="100"/>
      <c r="AO188" s="100"/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7"/>
        <v>9250</v>
      </c>
      <c r="BD188" s="896">
        <f t="shared" si="68"/>
        <v>7</v>
      </c>
      <c r="BE188" s="896">
        <f t="shared" si="69"/>
        <v>1321.4285714285713</v>
      </c>
      <c r="BF188" s="85"/>
      <c r="BH188" s="505"/>
    </row>
    <row r="189" spans="1:151" s="38" customFormat="1" ht="15" customHeight="1">
      <c r="A189" s="91">
        <v>23</v>
      </c>
      <c r="B189" s="183" t="s">
        <v>140</v>
      </c>
      <c r="C189" s="183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 t="shared" si="63"/>
        <v>0</v>
      </c>
      <c r="N189" s="356">
        <f t="shared" si="64"/>
        <v>0</v>
      </c>
      <c r="O189" s="357">
        <f t="shared" si="62"/>
        <v>0</v>
      </c>
      <c r="P189" s="350"/>
      <c r="Q189" s="350"/>
      <c r="R189" s="350">
        <f>O189/INTGRATE!$N$293</f>
        <v>0</v>
      </c>
      <c r="S189" s="349">
        <f t="shared" si="74"/>
        <v>0</v>
      </c>
      <c r="T189" s="472"/>
      <c r="U189" s="145"/>
      <c r="V189" s="960" t="str">
        <f t="shared" si="61"/>
        <v>985S25</v>
      </c>
      <c r="W189" s="951">
        <v>433011</v>
      </c>
      <c r="X189" s="641"/>
      <c r="Y189" s="641">
        <v>0</v>
      </c>
      <c r="Z189" s="100">
        <v>0</v>
      </c>
      <c r="AA189" s="100">
        <v>0</v>
      </c>
      <c r="AB189" s="100">
        <v>0</v>
      </c>
      <c r="AC189" s="100">
        <v>0</v>
      </c>
      <c r="AD189" s="356">
        <v>0</v>
      </c>
      <c r="AE189" s="100">
        <v>0</v>
      </c>
      <c r="AF189" s="356">
        <v>0</v>
      </c>
      <c r="AG189" s="100"/>
      <c r="AH189" s="100">
        <v>0</v>
      </c>
      <c r="AI189" s="100">
        <v>0</v>
      </c>
      <c r="AJ189" s="100">
        <v>0</v>
      </c>
      <c r="AK189" s="100">
        <v>0</v>
      </c>
      <c r="AL189" s="100">
        <v>0</v>
      </c>
      <c r="AM189" s="100">
        <v>0</v>
      </c>
      <c r="AN189" s="100"/>
      <c r="AO189" s="100"/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7"/>
        <v>0</v>
      </c>
      <c r="BD189" s="896">
        <f t="shared" si="68"/>
        <v>0</v>
      </c>
      <c r="BE189" s="896">
        <f t="shared" si="69"/>
        <v>0</v>
      </c>
      <c r="BH189" s="505"/>
    </row>
    <row r="190" spans="1:151" s="38" customFormat="1" ht="15" customHeight="1">
      <c r="A190" s="91">
        <v>24</v>
      </c>
      <c r="B190" s="183">
        <v>996</v>
      </c>
      <c r="C190" s="479" t="s">
        <v>61</v>
      </c>
      <c r="D190" s="183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>E190+F190+H190-I190-L190+G190-K190</f>
        <v>0</v>
      </c>
      <c r="N190" s="356">
        <f t="shared" si="64"/>
        <v>0</v>
      </c>
      <c r="O190" s="357">
        <f t="shared" si="62"/>
        <v>0</v>
      </c>
      <c r="P190" s="350"/>
      <c r="Q190" s="350"/>
      <c r="R190" s="350">
        <f>O190/INTGRATE!$N$293</f>
        <v>0</v>
      </c>
      <c r="S190" s="349">
        <f t="shared" si="74"/>
        <v>0</v>
      </c>
      <c r="T190" s="474"/>
      <c r="U190" s="145"/>
      <c r="V190" s="960" t="str">
        <f t="shared" si="61"/>
        <v>99625</v>
      </c>
      <c r="W190" s="943">
        <v>424001</v>
      </c>
      <c r="X190" s="641"/>
      <c r="Y190" s="641">
        <v>0</v>
      </c>
      <c r="Z190" s="100">
        <v>0</v>
      </c>
      <c r="AA190" s="100">
        <v>0</v>
      </c>
      <c r="AB190" s="100">
        <v>0</v>
      </c>
      <c r="AC190" s="100">
        <v>0</v>
      </c>
      <c r="AD190" s="356">
        <v>0</v>
      </c>
      <c r="AE190" s="100">
        <v>0</v>
      </c>
      <c r="AF190" s="356">
        <v>0</v>
      </c>
      <c r="AG190" s="100"/>
      <c r="AH190" s="100">
        <v>0</v>
      </c>
      <c r="AI190" s="100">
        <v>0</v>
      </c>
      <c r="AJ190" s="100">
        <v>0</v>
      </c>
      <c r="AK190" s="100">
        <v>0</v>
      </c>
      <c r="AL190" s="100">
        <v>0</v>
      </c>
      <c r="AM190" s="100">
        <v>0</v>
      </c>
      <c r="AN190" s="100"/>
      <c r="AO190" s="100"/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7"/>
        <v>0</v>
      </c>
      <c r="BD190" s="896">
        <f t="shared" si="68"/>
        <v>0</v>
      </c>
      <c r="BE190" s="896">
        <f t="shared" si="69"/>
        <v>0</v>
      </c>
      <c r="BH190" s="505"/>
    </row>
    <row r="191" spans="1:151" s="38" customFormat="1">
      <c r="A191" s="91">
        <v>25</v>
      </c>
      <c r="B191" s="183">
        <v>995</v>
      </c>
      <c r="C191" s="479" t="s">
        <v>61</v>
      </c>
      <c r="D191" s="183">
        <v>25</v>
      </c>
      <c r="E191" s="358">
        <v>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>E191+F191+H191-I191-L191+G191-K191</f>
        <v>0</v>
      </c>
      <c r="N191" s="356">
        <f t="shared" si="64"/>
        <v>0</v>
      </c>
      <c r="O191" s="357">
        <f t="shared" si="62"/>
        <v>0</v>
      </c>
      <c r="P191" s="350"/>
      <c r="Q191" s="350"/>
      <c r="R191" s="350">
        <f>O191/INTGRATE!$N$293</f>
        <v>0</v>
      </c>
      <c r="S191" s="349">
        <f t="shared" si="74"/>
        <v>0</v>
      </c>
      <c r="T191" s="474"/>
      <c r="U191" s="145"/>
      <c r="V191" s="960" t="str">
        <f t="shared" si="61"/>
        <v>99525</v>
      </c>
      <c r="W191" s="951">
        <v>423001</v>
      </c>
      <c r="X191" s="641"/>
      <c r="Y191" s="641">
        <v>0</v>
      </c>
      <c r="Z191" s="100">
        <v>0</v>
      </c>
      <c r="AA191" s="100">
        <v>0</v>
      </c>
      <c r="AB191" s="100">
        <v>0</v>
      </c>
      <c r="AC191" s="100">
        <v>0</v>
      </c>
      <c r="AD191" s="356">
        <v>0</v>
      </c>
      <c r="AE191" s="100">
        <v>0</v>
      </c>
      <c r="AF191" s="356">
        <v>0</v>
      </c>
      <c r="AG191" s="100"/>
      <c r="AH191" s="100">
        <v>0</v>
      </c>
      <c r="AI191" s="100">
        <v>0</v>
      </c>
      <c r="AJ191" s="100">
        <v>0</v>
      </c>
      <c r="AK191" s="100">
        <v>0</v>
      </c>
      <c r="AL191" s="100">
        <v>0</v>
      </c>
      <c r="AM191" s="100">
        <v>0</v>
      </c>
      <c r="AN191" s="100"/>
      <c r="AO191" s="100"/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7"/>
        <v>0</v>
      </c>
      <c r="BD191" s="896">
        <f t="shared" si="68"/>
        <v>0</v>
      </c>
      <c r="BE191" s="896">
        <f t="shared" si="69"/>
        <v>0</v>
      </c>
      <c r="BH191" s="505"/>
    </row>
    <row r="192" spans="1:151" s="38" customFormat="1" ht="15" customHeight="1">
      <c r="A192" s="91">
        <v>26</v>
      </c>
      <c r="B192" s="517" t="s">
        <v>679</v>
      </c>
      <c r="C192" s="517" t="s">
        <v>61</v>
      </c>
      <c r="D192" s="518">
        <v>25</v>
      </c>
      <c r="E192" s="358">
        <v>0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 t="shared" si="63"/>
        <v>0</v>
      </c>
      <c r="N192" s="356">
        <f t="shared" si="64"/>
        <v>0</v>
      </c>
      <c r="O192" s="357">
        <f t="shared" si="62"/>
        <v>0</v>
      </c>
      <c r="P192" s="350"/>
      <c r="Q192" s="350"/>
      <c r="R192" s="350">
        <f>O192/INTGRATE!$N$293</f>
        <v>0</v>
      </c>
      <c r="S192" s="349">
        <f t="shared" si="74"/>
        <v>0</v>
      </c>
      <c r="T192" s="531"/>
      <c r="U192" s="145"/>
      <c r="V192" s="960" t="str">
        <f t="shared" si="61"/>
        <v>991-1425</v>
      </c>
      <c r="W192" s="951">
        <v>513001</v>
      </c>
      <c r="X192" s="641"/>
      <c r="Y192" s="641">
        <v>0</v>
      </c>
      <c r="Z192" s="100">
        <v>0</v>
      </c>
      <c r="AA192" s="100">
        <v>0</v>
      </c>
      <c r="AB192" s="100">
        <v>0</v>
      </c>
      <c r="AC192" s="100">
        <v>0</v>
      </c>
      <c r="AD192" s="356">
        <v>0</v>
      </c>
      <c r="AE192" s="100">
        <v>0</v>
      </c>
      <c r="AF192" s="356">
        <v>0</v>
      </c>
      <c r="AG192" s="100"/>
      <c r="AH192" s="100">
        <v>0</v>
      </c>
      <c r="AI192" s="100">
        <v>0</v>
      </c>
      <c r="AJ192" s="100">
        <v>0</v>
      </c>
      <c r="AK192" s="100">
        <v>0</v>
      </c>
      <c r="AL192" s="100">
        <v>0</v>
      </c>
      <c r="AM192" s="100">
        <v>0</v>
      </c>
      <c r="AN192" s="100"/>
      <c r="AO192" s="100"/>
      <c r="AP192" s="100"/>
      <c r="AQ192" s="356"/>
      <c r="AR192" s="100"/>
      <c r="AS192" s="100"/>
      <c r="AT192" s="100"/>
      <c r="AU192" s="356"/>
      <c r="AV192" s="100"/>
      <c r="AW192" s="100"/>
      <c r="AX192" s="100"/>
      <c r="AY192" s="100"/>
      <c r="AZ192" s="100"/>
      <c r="BA192" s="100"/>
      <c r="BB192" s="100"/>
      <c r="BC192" s="300">
        <f t="shared" si="67"/>
        <v>0</v>
      </c>
      <c r="BD192" s="896">
        <f t="shared" si="68"/>
        <v>0</v>
      </c>
      <c r="BE192" s="896">
        <f t="shared" si="69"/>
        <v>0</v>
      </c>
      <c r="BH192" s="505"/>
    </row>
    <row r="193" spans="1:60" s="38" customFormat="1" ht="15" customHeight="1">
      <c r="A193" s="91">
        <v>27</v>
      </c>
      <c r="B193" s="517" t="s">
        <v>820</v>
      </c>
      <c r="C193" s="517" t="s">
        <v>61</v>
      </c>
      <c r="D193" s="518">
        <v>25</v>
      </c>
      <c r="E193" s="358">
        <v>190</v>
      </c>
      <c r="F193" s="100">
        <f>SUMIF(pro!$A:$A,$V:$V,pro!$N:$N)</f>
        <v>0</v>
      </c>
      <c r="G193" s="358"/>
      <c r="H193" s="356">
        <f>SUMIF(CBIN!$A:$A,BRAN!$V:$V,CBIN!$G:$G)</f>
        <v>0</v>
      </c>
      <c r="I193" s="100">
        <f>SUMIF(data!$D:$D,$B193&amp;$D193,data!$J:$J)</f>
        <v>20</v>
      </c>
      <c r="J193" s="356">
        <f>SUMIF(data!$D:$D,$B193&amp;$D193,data!$K:$K)</f>
        <v>500</v>
      </c>
      <c r="K193" s="356">
        <f>SUMIF(AJOUT!$A:$A,BRAN!$V:$V,AJOUT!$L:$L)</f>
        <v>0</v>
      </c>
      <c r="L193" s="356">
        <f>SUMIF(CBOUT!$A:$A,BRAN!$V:$V,CBOUT!$G:$G)</f>
        <v>0</v>
      </c>
      <c r="M193" s="540">
        <f t="shared" si="63"/>
        <v>170</v>
      </c>
      <c r="N193" s="356">
        <f t="shared" si="64"/>
        <v>4250</v>
      </c>
      <c r="O193" s="357">
        <f t="shared" si="62"/>
        <v>6100</v>
      </c>
      <c r="P193" s="350"/>
      <c r="Q193" s="350"/>
      <c r="R193" s="350">
        <f>O193/INTGRATE!$N$293</f>
        <v>406.66666666666669</v>
      </c>
      <c r="S193" s="349">
        <f t="shared" si="74"/>
        <v>10.450819672131146</v>
      </c>
      <c r="T193" s="531"/>
      <c r="U193" s="145"/>
      <c r="V193" s="960" t="str">
        <f t="shared" si="61"/>
        <v>991-1825</v>
      </c>
      <c r="W193" s="951">
        <v>511001</v>
      </c>
      <c r="X193" s="641"/>
      <c r="Y193" s="641">
        <v>2700</v>
      </c>
      <c r="Z193" s="100">
        <v>0</v>
      </c>
      <c r="AA193" s="100">
        <v>250</v>
      </c>
      <c r="AB193" s="100">
        <v>0</v>
      </c>
      <c r="AC193" s="100">
        <v>750</v>
      </c>
      <c r="AD193" s="356">
        <v>650</v>
      </c>
      <c r="AE193" s="100">
        <v>0</v>
      </c>
      <c r="AF193" s="356">
        <v>0</v>
      </c>
      <c r="AG193" s="100"/>
      <c r="AH193" s="100">
        <v>0</v>
      </c>
      <c r="AI193" s="100">
        <v>0</v>
      </c>
      <c r="AJ193" s="100">
        <v>0</v>
      </c>
      <c r="AK193" s="100">
        <v>1250</v>
      </c>
      <c r="AL193" s="100">
        <v>0</v>
      </c>
      <c r="AM193" s="100">
        <v>500</v>
      </c>
      <c r="AN193" s="100"/>
      <c r="AO193" s="100"/>
      <c r="AP193" s="100"/>
      <c r="AQ193" s="356"/>
      <c r="AR193" s="100"/>
      <c r="AS193" s="100"/>
      <c r="AT193" s="100"/>
      <c r="AU193" s="356"/>
      <c r="AV193" s="100"/>
      <c r="AW193" s="100"/>
      <c r="AX193" s="100"/>
      <c r="AY193" s="100"/>
      <c r="AZ193" s="100"/>
      <c r="BA193" s="100"/>
      <c r="BB193" s="100"/>
      <c r="BC193" s="300">
        <f t="shared" si="67"/>
        <v>6100</v>
      </c>
      <c r="BD193" s="896">
        <f t="shared" si="68"/>
        <v>6</v>
      </c>
      <c r="BE193" s="896">
        <f t="shared" si="69"/>
        <v>1016.6666666666666</v>
      </c>
      <c r="BH193" s="505"/>
    </row>
    <row r="194" spans="1:60" s="38" customFormat="1" ht="15" customHeight="1">
      <c r="A194" s="91">
        <v>28</v>
      </c>
      <c r="B194" s="183">
        <v>984</v>
      </c>
      <c r="C194" s="887" t="s">
        <v>61</v>
      </c>
      <c r="D194" s="184">
        <v>25</v>
      </c>
      <c r="E194" s="358">
        <v>36</v>
      </c>
      <c r="F194" s="100">
        <f>SUMIF(pro!$A:$A,$V:$V,pro!$N:$N)</f>
        <v>0</v>
      </c>
      <c r="G194" s="358"/>
      <c r="H194" s="356">
        <f>SUMIF(CBIN!$A:$A,BRAN!$V:$V,CBIN!$G:$G)</f>
        <v>0</v>
      </c>
      <c r="I194" s="100">
        <f>SUMIF(data!$D:$D,$B194&amp;$D194,data!$J:$J)</f>
        <v>36</v>
      </c>
      <c r="J194" s="356">
        <f>SUMIF(data!$D:$D,$B194&amp;$D194,data!$K:$K)</f>
        <v>900</v>
      </c>
      <c r="K194" s="356">
        <f>SUMIF(AJOUT!$A:$A,BRAN!$V:$V,AJOUT!$L:$L)</f>
        <v>0</v>
      </c>
      <c r="L194" s="356">
        <f>SUMIF(CBOUT!$A:$A,BRAN!$V:$V,CBOUT!$G:$G)</f>
        <v>0</v>
      </c>
      <c r="M194" s="540">
        <f>E194+F194+H194-I194-L194+G194-K194</f>
        <v>0</v>
      </c>
      <c r="N194" s="356">
        <f t="shared" si="64"/>
        <v>0</v>
      </c>
      <c r="O194" s="357">
        <f t="shared" si="62"/>
        <v>7275</v>
      </c>
      <c r="P194" s="350"/>
      <c r="Q194" s="350"/>
      <c r="R194" s="350">
        <f>O194/INTGRATE!$N$293</f>
        <v>485</v>
      </c>
      <c r="S194" s="349">
        <f t="shared" si="74"/>
        <v>0</v>
      </c>
      <c r="T194" s="475"/>
      <c r="U194" s="145"/>
      <c r="V194" s="960" t="str">
        <f t="shared" si="61"/>
        <v>98425</v>
      </c>
      <c r="W194" s="951">
        <v>433001</v>
      </c>
      <c r="X194" s="160"/>
      <c r="Y194" s="160">
        <v>1750</v>
      </c>
      <c r="Z194" s="639">
        <v>0</v>
      </c>
      <c r="AA194" s="639">
        <v>0</v>
      </c>
      <c r="AB194" s="639">
        <v>500</v>
      </c>
      <c r="AC194" s="639"/>
      <c r="AD194" s="356">
        <v>0</v>
      </c>
      <c r="AE194" s="639">
        <v>0</v>
      </c>
      <c r="AF194" s="356">
        <v>1375</v>
      </c>
      <c r="AG194" s="639"/>
      <c r="AH194" s="639">
        <v>250</v>
      </c>
      <c r="AI194" s="639">
        <v>0</v>
      </c>
      <c r="AJ194" s="639">
        <v>0</v>
      </c>
      <c r="AK194" s="639">
        <v>2500</v>
      </c>
      <c r="AL194" s="639">
        <v>0</v>
      </c>
      <c r="AM194" s="639">
        <v>900</v>
      </c>
      <c r="AN194" s="639"/>
      <c r="AO194" s="639"/>
      <c r="AP194" s="639"/>
      <c r="AQ194" s="356"/>
      <c r="AR194" s="639"/>
      <c r="AS194" s="639"/>
      <c r="AT194" s="639"/>
      <c r="AU194" s="356"/>
      <c r="AV194" s="639"/>
      <c r="AW194" s="639"/>
      <c r="AX194" s="639"/>
      <c r="AY194" s="639"/>
      <c r="AZ194" s="639"/>
      <c r="BA194" s="639"/>
      <c r="BB194" s="639"/>
      <c r="BC194" s="300">
        <f t="shared" si="67"/>
        <v>7275</v>
      </c>
      <c r="BD194" s="896">
        <f t="shared" si="68"/>
        <v>6</v>
      </c>
      <c r="BE194" s="896">
        <f t="shared" si="69"/>
        <v>1212.5</v>
      </c>
      <c r="BH194" s="505"/>
    </row>
    <row r="195" spans="1:60" s="63" customFormat="1" ht="15" customHeight="1">
      <c r="A195" s="1223" t="s">
        <v>1764</v>
      </c>
      <c r="B195" s="1224"/>
      <c r="C195" s="1224"/>
      <c r="D195" s="1225"/>
      <c r="E195" s="64"/>
      <c r="F195" s="64"/>
      <c r="G195" s="64"/>
      <c r="H195" s="64"/>
      <c r="I195" s="64"/>
      <c r="J195" s="64"/>
      <c r="K195" s="64"/>
      <c r="L195" s="64"/>
      <c r="M195" s="541"/>
      <c r="N195" s="64"/>
      <c r="O195" s="64"/>
      <c r="P195" s="64"/>
      <c r="Q195" s="64"/>
      <c r="R195" s="64"/>
      <c r="S195" s="82"/>
      <c r="T195" s="1229"/>
      <c r="U195" s="140"/>
      <c r="V195" s="960" t="str">
        <f t="shared" si="61"/>
        <v/>
      </c>
      <c r="W195" s="951"/>
      <c r="X195" s="79">
        <f t="shared" ref="X195:BB195" si="75">SUM(X167:X194)</f>
        <v>0</v>
      </c>
      <c r="Y195" s="79">
        <f t="shared" si="75"/>
        <v>30675</v>
      </c>
      <c r="Z195" s="79">
        <f t="shared" si="75"/>
        <v>9650</v>
      </c>
      <c r="AA195" s="79">
        <f t="shared" si="75"/>
        <v>14600</v>
      </c>
      <c r="AB195" s="79">
        <f t="shared" si="75"/>
        <v>42175</v>
      </c>
      <c r="AC195" s="79">
        <f t="shared" si="75"/>
        <v>19525</v>
      </c>
      <c r="AD195" s="79">
        <f t="shared" si="75"/>
        <v>12775</v>
      </c>
      <c r="AE195" s="79">
        <f t="shared" si="75"/>
        <v>30275</v>
      </c>
      <c r="AF195" s="79">
        <f t="shared" si="75"/>
        <v>22975</v>
      </c>
      <c r="AG195" s="79">
        <f t="shared" si="75"/>
        <v>0</v>
      </c>
      <c r="AH195" s="79">
        <f t="shared" si="75"/>
        <v>36425</v>
      </c>
      <c r="AI195" s="79">
        <f t="shared" si="75"/>
        <v>40475</v>
      </c>
      <c r="AJ195" s="79">
        <f t="shared" si="75"/>
        <v>23950</v>
      </c>
      <c r="AK195" s="79">
        <f t="shared" si="75"/>
        <v>13325</v>
      </c>
      <c r="AL195" s="79">
        <f t="shared" si="75"/>
        <v>3850</v>
      </c>
      <c r="AM195" s="79">
        <f t="shared" si="75"/>
        <v>18875</v>
      </c>
      <c r="AN195" s="79">
        <f t="shared" si="75"/>
        <v>0</v>
      </c>
      <c r="AO195" s="79">
        <f t="shared" si="75"/>
        <v>0</v>
      </c>
      <c r="AP195" s="79">
        <f t="shared" si="75"/>
        <v>0</v>
      </c>
      <c r="AQ195" s="79">
        <f t="shared" si="75"/>
        <v>0</v>
      </c>
      <c r="AR195" s="79">
        <f t="shared" si="75"/>
        <v>0</v>
      </c>
      <c r="AS195" s="79">
        <f t="shared" si="75"/>
        <v>0</v>
      </c>
      <c r="AT195" s="79">
        <f t="shared" si="75"/>
        <v>0</v>
      </c>
      <c r="AU195" s="79">
        <f t="shared" si="75"/>
        <v>0</v>
      </c>
      <c r="AV195" s="79">
        <f t="shared" si="75"/>
        <v>0</v>
      </c>
      <c r="AW195" s="79">
        <f t="shared" si="75"/>
        <v>0</v>
      </c>
      <c r="AX195" s="79">
        <f t="shared" si="75"/>
        <v>0</v>
      </c>
      <c r="AY195" s="79">
        <f t="shared" si="75"/>
        <v>0</v>
      </c>
      <c r="AZ195" s="79">
        <f t="shared" si="75"/>
        <v>0</v>
      </c>
      <c r="BA195" s="79">
        <f>SUM(BA167:BA194)</f>
        <v>0</v>
      </c>
      <c r="BB195" s="79">
        <f t="shared" si="75"/>
        <v>0</v>
      </c>
      <c r="BC195" s="608">
        <f>SUM(X195:BB195)</f>
        <v>319550</v>
      </c>
      <c r="BD195" s="899"/>
      <c r="BE195" s="899"/>
      <c r="BH195" s="506"/>
    </row>
    <row r="196" spans="1:60" s="63" customFormat="1" ht="15" customHeight="1">
      <c r="A196" s="1223" t="s">
        <v>1740</v>
      </c>
      <c r="B196" s="1224"/>
      <c r="C196" s="1224"/>
      <c r="D196" s="1225"/>
      <c r="E196" s="64">
        <f>SUM(E167:E175,E178:E194)</f>
        <v>3241</v>
      </c>
      <c r="F196" s="64">
        <f>SUM(F167:F175,F178:F194)</f>
        <v>549</v>
      </c>
      <c r="G196" s="64">
        <f t="shared" ref="G196:R196" si="76">SUM(G167:G175,G178:G194)</f>
        <v>0</v>
      </c>
      <c r="H196" s="64">
        <f t="shared" si="76"/>
        <v>0</v>
      </c>
      <c r="I196" s="64">
        <f t="shared" si="76"/>
        <v>755</v>
      </c>
      <c r="J196" s="64">
        <f t="shared" si="76"/>
        <v>18875</v>
      </c>
      <c r="K196" s="64">
        <f t="shared" si="76"/>
        <v>0</v>
      </c>
      <c r="L196" s="64">
        <f t="shared" si="76"/>
        <v>1</v>
      </c>
      <c r="M196" s="64">
        <f t="shared" si="76"/>
        <v>3034</v>
      </c>
      <c r="N196" s="64">
        <f t="shared" si="76"/>
        <v>75850</v>
      </c>
      <c r="O196" s="64">
        <f t="shared" si="76"/>
        <v>319550</v>
      </c>
      <c r="P196" s="64">
        <f t="shared" si="76"/>
        <v>75850</v>
      </c>
      <c r="Q196" s="64">
        <f t="shared" si="76"/>
        <v>319550</v>
      </c>
      <c r="R196" s="64">
        <f t="shared" si="76"/>
        <v>21303.333333333336</v>
      </c>
      <c r="S196" s="64">
        <f>SUM(S167:S173,S178:S194)</f>
        <v>50.110203261503948</v>
      </c>
      <c r="T196" s="1230"/>
      <c r="U196" s="140">
        <f>SUM(U167:U169,U178:U194)*25</f>
        <v>0</v>
      </c>
      <c r="V196" s="960" t="str">
        <f t="shared" si="61"/>
        <v/>
      </c>
      <c r="W196" s="95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506"/>
    </row>
    <row r="197" spans="1:60" s="63" customFormat="1" ht="15" customHeight="1">
      <c r="A197" s="1223" t="s">
        <v>1765</v>
      </c>
      <c r="B197" s="1224"/>
      <c r="C197" s="1224"/>
      <c r="D197" s="1225"/>
      <c r="E197" s="62">
        <f>SUM(E176:E177)</f>
        <v>0</v>
      </c>
      <c r="F197" s="62">
        <f t="shared" ref="F197:P197" si="77">SUM(F176:F177)</f>
        <v>0</v>
      </c>
      <c r="G197" s="62">
        <f t="shared" si="77"/>
        <v>0</v>
      </c>
      <c r="H197" s="62">
        <f t="shared" si="77"/>
        <v>0</v>
      </c>
      <c r="I197" s="62">
        <f t="shared" si="77"/>
        <v>0</v>
      </c>
      <c r="J197" s="62">
        <f t="shared" si="77"/>
        <v>0</v>
      </c>
      <c r="K197" s="62">
        <f t="shared" si="77"/>
        <v>0</v>
      </c>
      <c r="L197" s="62">
        <f t="shared" si="77"/>
        <v>0</v>
      </c>
      <c r="M197" s="545">
        <f t="shared" si="77"/>
        <v>0</v>
      </c>
      <c r="N197" s="62">
        <f t="shared" si="77"/>
        <v>0</v>
      </c>
      <c r="O197" s="62">
        <f t="shared" si="77"/>
        <v>0</v>
      </c>
      <c r="P197" s="62">
        <f t="shared" si="77"/>
        <v>0</v>
      </c>
      <c r="Q197" s="62"/>
      <c r="R197" s="62">
        <f>SUM(R176:R177)</f>
        <v>0</v>
      </c>
      <c r="S197" s="82">
        <f>IF(R197=0,0,N197/R197)</f>
        <v>0</v>
      </c>
      <c r="T197" s="1230"/>
      <c r="U197" s="155">
        <f>SUM(U176:U177)*40</f>
        <v>0</v>
      </c>
      <c r="V197" s="954" t="str">
        <f t="shared" si="61"/>
        <v/>
      </c>
      <c r="W197" s="951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H197" s="506"/>
    </row>
    <row r="198" spans="1:60" s="129" customFormat="1" ht="15" customHeight="1">
      <c r="A198" s="1233" t="s">
        <v>1742</v>
      </c>
      <c r="B198" s="1234"/>
      <c r="C198" s="1234"/>
      <c r="D198" s="1235"/>
      <c r="E198" s="128">
        <f>SUM(E195:E197)</f>
        <v>3241</v>
      </c>
      <c r="F198" s="128">
        <f>SUM(F195:F197)</f>
        <v>549</v>
      </c>
      <c r="G198" s="128">
        <f>SUM(G195:G197)</f>
        <v>0</v>
      </c>
      <c r="H198" s="128">
        <f t="shared" ref="H198:N198" si="78">SUM(H195:H197)</f>
        <v>0</v>
      </c>
      <c r="I198" s="128">
        <f>SUM(I195:I197)</f>
        <v>755</v>
      </c>
      <c r="J198" s="128">
        <f>SUM(J195:J197)</f>
        <v>18875</v>
      </c>
      <c r="K198" s="128">
        <f>SUM(K195:K197)</f>
        <v>0</v>
      </c>
      <c r="L198" s="128">
        <f t="shared" si="78"/>
        <v>1</v>
      </c>
      <c r="M198" s="546">
        <f t="shared" si="78"/>
        <v>3034</v>
      </c>
      <c r="N198" s="128">
        <f t="shared" si="78"/>
        <v>75850</v>
      </c>
      <c r="O198" s="1236">
        <f>SUM(O167:O194)</f>
        <v>319550</v>
      </c>
      <c r="P198" s="197"/>
      <c r="Q198" s="197"/>
      <c r="R198" s="1219">
        <f>SUM(R167:R194)</f>
        <v>21303.333333333336</v>
      </c>
      <c r="S198" s="1221" t="s">
        <v>43</v>
      </c>
      <c r="T198" s="1230"/>
      <c r="U198" s="147">
        <f>SUM(U167:U194)</f>
        <v>0</v>
      </c>
      <c r="V198" s="954" t="str">
        <f t="shared" si="61"/>
        <v/>
      </c>
      <c r="W198" s="951"/>
      <c r="X198" s="302"/>
      <c r="Y198" s="302"/>
      <c r="Z198" s="302"/>
      <c r="AA198" s="302"/>
      <c r="AB198" s="302"/>
      <c r="AC198" s="302"/>
      <c r="AD198" s="302"/>
      <c r="AE198" s="302"/>
      <c r="AF198" s="302"/>
      <c r="AG198" s="302"/>
      <c r="AH198" s="302"/>
      <c r="AI198" s="302"/>
      <c r="AJ198" s="302"/>
      <c r="AK198" s="302"/>
      <c r="AL198" s="302"/>
      <c r="AM198" s="302"/>
      <c r="AN198" s="302"/>
      <c r="AO198" s="302"/>
      <c r="AP198" s="302"/>
      <c r="AQ198" s="302"/>
      <c r="AR198" s="302"/>
      <c r="AS198" s="302"/>
      <c r="AT198" s="302"/>
      <c r="AU198" s="302"/>
      <c r="AV198" s="302"/>
      <c r="AW198" s="302"/>
      <c r="AX198" s="302"/>
      <c r="AY198" s="302"/>
      <c r="AZ198" s="302"/>
      <c r="BA198" s="302"/>
      <c r="BB198" s="302"/>
      <c r="BC198" s="421"/>
      <c r="BD198" s="421"/>
      <c r="BE198" s="421"/>
      <c r="BH198" s="506"/>
    </row>
    <row r="199" spans="1:60" s="86" customFormat="1" ht="15" customHeight="1">
      <c r="A199" s="1223" t="s">
        <v>1743</v>
      </c>
      <c r="B199" s="1224"/>
      <c r="C199" s="1224"/>
      <c r="D199" s="1225"/>
      <c r="E199" s="120">
        <f>SUM(E195:E196)*25+E197*40</f>
        <v>81025</v>
      </c>
      <c r="F199" s="120">
        <f>SUM(F195:F196)*25+F197*40</f>
        <v>13725</v>
      </c>
      <c r="G199" s="120">
        <f>SUM(G195:G196)*25+G197*40</f>
        <v>0</v>
      </c>
      <c r="H199" s="120">
        <f>SUM(H195:H196)*25+H197*40</f>
        <v>0</v>
      </c>
      <c r="I199" s="120">
        <f>SUM(I195:I196)*25+I197*40</f>
        <v>18875</v>
      </c>
      <c r="J199" s="120">
        <f>SUM(J195:J196)+J197</f>
        <v>18875</v>
      </c>
      <c r="K199" s="120">
        <f>+K196*25</f>
        <v>0</v>
      </c>
      <c r="L199" s="120">
        <f>SUM(L195:L196)*25+L197*40</f>
        <v>25</v>
      </c>
      <c r="M199" s="547">
        <f>SUM(M195:M196)*25+M197*40</f>
        <v>75850</v>
      </c>
      <c r="N199" s="120">
        <f>SUM(N195:N196)+N197</f>
        <v>75850</v>
      </c>
      <c r="O199" s="1237"/>
      <c r="P199" s="198"/>
      <c r="Q199" s="198"/>
      <c r="R199" s="1220"/>
      <c r="S199" s="1222"/>
      <c r="T199" s="1231"/>
      <c r="U199" s="148">
        <f>SUM(U195:U197)</f>
        <v>0</v>
      </c>
      <c r="V199" s="954" t="str">
        <f t="shared" si="61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137</v>
      </c>
      <c r="B200" s="37"/>
      <c r="C200" s="37"/>
      <c r="D200" s="37"/>
      <c r="E200" s="133"/>
      <c r="F200" s="133"/>
      <c r="G200" s="133"/>
      <c r="H200" s="37"/>
      <c r="I200" s="37"/>
      <c r="J200" s="37"/>
      <c r="K200" s="37"/>
      <c r="L200" s="37"/>
      <c r="M200" s="543"/>
      <c r="N200" s="37"/>
      <c r="O200" s="37"/>
      <c r="P200" s="37"/>
      <c r="Q200" s="37"/>
      <c r="R200" s="37"/>
      <c r="S200" s="37"/>
      <c r="T200" s="528"/>
      <c r="U200" s="149"/>
      <c r="V200" s="954" t="str">
        <f t="shared" si="61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86" customFormat="1" ht="15" customHeight="1">
      <c r="A201" s="310" t="s">
        <v>1694</v>
      </c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535"/>
      <c r="N201" s="38"/>
      <c r="O201" s="38"/>
      <c r="P201" s="38"/>
      <c r="Q201" s="38"/>
      <c r="R201" s="38"/>
      <c r="S201" s="38"/>
      <c r="T201" s="529"/>
      <c r="U201" s="137"/>
      <c r="V201" s="954" t="str">
        <f t="shared" si="61"/>
        <v/>
      </c>
      <c r="W201" s="95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506"/>
    </row>
    <row r="202" spans="1:60" s="86" customFormat="1" ht="15" customHeight="1">
      <c r="A202" s="310" t="s">
        <v>1695</v>
      </c>
      <c r="B202" s="430"/>
      <c r="C202" s="430"/>
      <c r="D202" s="430"/>
      <c r="E202" s="430"/>
      <c r="F202" s="430"/>
      <c r="G202" s="430"/>
      <c r="H202" s="430"/>
      <c r="I202" s="430"/>
      <c r="J202" s="430"/>
      <c r="K202" s="430"/>
      <c r="L202" s="430"/>
      <c r="M202" s="544"/>
      <c r="N202" s="430"/>
      <c r="O202" s="430"/>
      <c r="P202" s="430"/>
      <c r="Q202" s="430"/>
      <c r="R202" s="430"/>
      <c r="S202" s="430"/>
      <c r="T202" s="530"/>
      <c r="U202" s="137"/>
      <c r="V202" s="954" t="str">
        <f t="shared" si="61"/>
        <v/>
      </c>
      <c r="W202" s="951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H202" s="506"/>
    </row>
    <row r="203" spans="1:60" s="38" customFormat="1" ht="15" customHeight="1">
      <c r="A203" s="512" t="s">
        <v>1733</v>
      </c>
      <c r="B203" s="512"/>
      <c r="C203" s="512"/>
      <c r="D203" s="512"/>
      <c r="E203" s="512"/>
      <c r="F203" s="512"/>
      <c r="G203" s="512"/>
      <c r="H203" s="512"/>
      <c r="I203" s="512"/>
      <c r="J203" s="512"/>
      <c r="K203" s="512"/>
      <c r="L203" s="512"/>
      <c r="M203" s="538"/>
      <c r="N203" s="512"/>
      <c r="O203" s="512"/>
      <c r="P203" s="512"/>
      <c r="Q203" s="512"/>
      <c r="R203" s="512"/>
      <c r="S203" s="512"/>
      <c r="T203" s="78"/>
      <c r="U203" s="143"/>
      <c r="V203" s="959" t="str">
        <f t="shared" si="61"/>
        <v/>
      </c>
      <c r="W203" s="943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505"/>
    </row>
    <row r="204" spans="1:60" s="38" customFormat="1" ht="15" customHeight="1">
      <c r="A204" s="513" t="s">
        <v>1768</v>
      </c>
      <c r="B204" s="513"/>
      <c r="C204" s="513"/>
      <c r="D204" s="513"/>
      <c r="E204" s="513"/>
      <c r="F204" s="513"/>
      <c r="G204" s="513"/>
      <c r="H204" s="513"/>
      <c r="I204" s="513"/>
      <c r="J204" s="513"/>
      <c r="K204" s="513"/>
      <c r="L204" s="513"/>
      <c r="M204" s="539"/>
      <c r="N204" s="513"/>
      <c r="O204" s="513"/>
      <c r="P204" s="513"/>
      <c r="Q204" s="513"/>
      <c r="R204" s="513"/>
      <c r="S204" s="513"/>
      <c r="T204" s="476"/>
      <c r="U204" s="144"/>
      <c r="V204" s="959" t="str">
        <f t="shared" si="61"/>
        <v/>
      </c>
      <c r="W204" s="943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H204" s="505"/>
    </row>
    <row r="205" spans="1:60" s="63" customFormat="1" ht="28.5" customHeight="1">
      <c r="A205" s="1043" t="s">
        <v>1700</v>
      </c>
      <c r="B205" s="1034" t="s">
        <v>1676</v>
      </c>
      <c r="C205" s="1034" t="s">
        <v>1677</v>
      </c>
      <c r="D205" s="1046" t="s">
        <v>1678</v>
      </c>
      <c r="E205" s="61" t="s">
        <v>0</v>
      </c>
      <c r="F205" s="1049" t="s">
        <v>1680</v>
      </c>
      <c r="G205" s="1054"/>
      <c r="H205" s="1050"/>
      <c r="I205" s="1049" t="s">
        <v>1681</v>
      </c>
      <c r="J205" s="1054"/>
      <c r="K205" s="1054"/>
      <c r="L205" s="1054"/>
      <c r="M205" s="1049" t="s">
        <v>1687</v>
      </c>
      <c r="N205" s="1050"/>
      <c r="O205" s="194" t="s">
        <v>1727</v>
      </c>
      <c r="P205" s="194"/>
      <c r="Q205" s="194"/>
      <c r="R205" s="194" t="s">
        <v>1728</v>
      </c>
      <c r="S205" s="1046" t="s">
        <v>1689</v>
      </c>
      <c r="T205" s="1173" t="s">
        <v>1692</v>
      </c>
      <c r="U205" s="999" t="s">
        <v>1693</v>
      </c>
      <c r="V205" s="950"/>
      <c r="W205" s="95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506"/>
    </row>
    <row r="206" spans="1:60" s="63" customFormat="1" ht="46.5" customHeight="1">
      <c r="A206" s="1044"/>
      <c r="B206" s="1035"/>
      <c r="C206" s="1035"/>
      <c r="D206" s="1047" t="s">
        <v>3</v>
      </c>
      <c r="E206" s="64" t="s">
        <v>1679</v>
      </c>
      <c r="F206" s="783" t="s">
        <v>1682</v>
      </c>
      <c r="G206" s="585" t="s">
        <v>1683</v>
      </c>
      <c r="H206" s="784" t="s">
        <v>1685</v>
      </c>
      <c r="I206" s="1049" t="s">
        <v>1684</v>
      </c>
      <c r="J206" s="1054"/>
      <c r="K206" s="585" t="s">
        <v>1688</v>
      </c>
      <c r="L206" s="784" t="s">
        <v>1686</v>
      </c>
      <c r="M206" s="1049" t="s">
        <v>1732</v>
      </c>
      <c r="N206" s="1050"/>
      <c r="O206" s="787" t="s">
        <v>1730</v>
      </c>
      <c r="P206" s="195"/>
      <c r="Q206" s="195"/>
      <c r="R206" s="787" t="s">
        <v>1731</v>
      </c>
      <c r="S206" s="1047"/>
      <c r="T206" s="1174"/>
      <c r="U206" s="1000"/>
      <c r="V206" s="950" t="str">
        <f t="shared" ref="V206:V223" si="79">B206&amp;D206</f>
        <v>SIZE</v>
      </c>
      <c r="W206" s="951"/>
      <c r="X206" s="83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  <c r="AK206" s="83"/>
      <c r="AL206" s="83"/>
      <c r="AM206" s="83"/>
      <c r="AN206" s="83"/>
      <c r="AO206" s="83"/>
      <c r="AP206" s="83"/>
      <c r="AQ206" s="83"/>
      <c r="AR206" s="83"/>
      <c r="AS206" s="83"/>
      <c r="AT206" s="83"/>
      <c r="AU206" s="83"/>
      <c r="AV206" s="83"/>
      <c r="AW206" s="83"/>
      <c r="AX206" s="83"/>
      <c r="AY206" s="83"/>
      <c r="AZ206" s="83"/>
      <c r="BA206" s="83"/>
      <c r="BH206" s="506"/>
    </row>
    <row r="207" spans="1:60" s="63" customFormat="1" ht="20.25" customHeight="1">
      <c r="A207" s="1045"/>
      <c r="B207" s="1036"/>
      <c r="C207" s="1036"/>
      <c r="D207" s="1048" t="s">
        <v>6</v>
      </c>
      <c r="E207" s="64" t="s">
        <v>1674</v>
      </c>
      <c r="F207" s="64" t="s">
        <v>1674</v>
      </c>
      <c r="G207" s="64" t="s">
        <v>1674</v>
      </c>
      <c r="H207" s="64" t="s">
        <v>1674</v>
      </c>
      <c r="I207" s="64" t="s">
        <v>1674</v>
      </c>
      <c r="J207" s="64" t="s">
        <v>6</v>
      </c>
      <c r="K207" s="64" t="s">
        <v>1674</v>
      </c>
      <c r="L207" s="64" t="s">
        <v>1674</v>
      </c>
      <c r="M207" s="64" t="s">
        <v>1674</v>
      </c>
      <c r="N207" s="65" t="s">
        <v>6</v>
      </c>
      <c r="O207" s="65" t="s">
        <v>6</v>
      </c>
      <c r="P207" s="196"/>
      <c r="Q207" s="196"/>
      <c r="R207" s="65" t="s">
        <v>1729</v>
      </c>
      <c r="S207" s="1048"/>
      <c r="T207" s="1175"/>
      <c r="U207" s="788" t="s">
        <v>1674</v>
      </c>
      <c r="V207" s="955" t="str">
        <f t="shared" si="79"/>
        <v>(Kg)</v>
      </c>
      <c r="W207" s="951"/>
      <c r="X207" s="340">
        <v>1</v>
      </c>
      <c r="Y207" s="89">
        <v>2</v>
      </c>
      <c r="Z207" s="88">
        <v>3</v>
      </c>
      <c r="AA207" s="88">
        <v>4</v>
      </c>
      <c r="AB207" s="88">
        <v>5</v>
      </c>
      <c r="AC207" s="88">
        <v>6</v>
      </c>
      <c r="AD207" s="88">
        <v>7</v>
      </c>
      <c r="AE207" s="88">
        <v>8</v>
      </c>
      <c r="AF207" s="88">
        <v>9</v>
      </c>
      <c r="AG207" s="89">
        <v>10</v>
      </c>
      <c r="AH207" s="88">
        <v>11</v>
      </c>
      <c r="AI207" s="88">
        <v>12</v>
      </c>
      <c r="AJ207" s="88">
        <v>13</v>
      </c>
      <c r="AK207" s="89">
        <v>14</v>
      </c>
      <c r="AL207" s="88">
        <v>15</v>
      </c>
      <c r="AM207" s="88">
        <v>16</v>
      </c>
      <c r="AN207" s="88">
        <v>17</v>
      </c>
      <c r="AO207" s="89">
        <v>18</v>
      </c>
      <c r="AP207" s="88">
        <v>19</v>
      </c>
      <c r="AQ207" s="88">
        <v>20</v>
      </c>
      <c r="AR207" s="88">
        <v>21</v>
      </c>
      <c r="AS207" s="89">
        <v>22</v>
      </c>
      <c r="AT207" s="88">
        <v>23</v>
      </c>
      <c r="AU207" s="88">
        <v>24</v>
      </c>
      <c r="AV207" s="88">
        <v>25</v>
      </c>
      <c r="AW207" s="89">
        <v>26</v>
      </c>
      <c r="AX207" s="88">
        <v>27</v>
      </c>
      <c r="AY207" s="88">
        <v>28</v>
      </c>
      <c r="AZ207" s="88">
        <v>29</v>
      </c>
      <c r="BA207" s="89">
        <v>30</v>
      </c>
      <c r="BB207" s="88">
        <v>31</v>
      </c>
      <c r="BC207" s="106" t="s">
        <v>13</v>
      </c>
      <c r="BD207" s="895" t="s">
        <v>1931</v>
      </c>
      <c r="BE207" s="895" t="s">
        <v>1930</v>
      </c>
      <c r="BH207" s="506"/>
    </row>
    <row r="208" spans="1:60" s="38" customFormat="1" ht="15" customHeight="1">
      <c r="A208" s="68">
        <v>1</v>
      </c>
      <c r="B208" s="200" t="s">
        <v>1369</v>
      </c>
      <c r="C208" s="410" t="s">
        <v>39</v>
      </c>
      <c r="D208" s="201">
        <v>25</v>
      </c>
      <c r="E208" s="540">
        <v>0</v>
      </c>
      <c r="F208" s="100">
        <f>SUMIF(pro!$A:$A,$V:$V,pro!$N:$N)</f>
        <v>0</v>
      </c>
      <c r="G208" s="356"/>
      <c r="H208" s="356">
        <f>SUMIF(CBIN!$A:$A,BRAN!$V:$V,CBIN!$G:$G)</f>
        <v>0</v>
      </c>
      <c r="I208" s="100">
        <f>SUMIF(data!$D:$D,$B208&amp;$D208,data!$J:$J)</f>
        <v>0</v>
      </c>
      <c r="J208" s="356">
        <f>SUMIF(data!$D:$D,$B208&amp;$D208,data!$K:$K)</f>
        <v>0</v>
      </c>
      <c r="K208" s="356">
        <f>SUMIF(AJOUT!$A:$A,BRAN!$V:$V,AJOUT!$L:$L)</f>
        <v>0</v>
      </c>
      <c r="L208" s="356">
        <f>SUMIF(CBOUT!$A:$A,BRAN!$V:$V,CBOUT!$G:$G)</f>
        <v>0</v>
      </c>
      <c r="M208" s="540">
        <f>E208+F208+H208-I208-L208+G208-K208</f>
        <v>0</v>
      </c>
      <c r="N208" s="356">
        <f>+M208*D208</f>
        <v>0</v>
      </c>
      <c r="O208" s="357">
        <f t="shared" ref="O208:O277" si="80">SUM(X208:BB208)</f>
        <v>0</v>
      </c>
      <c r="P208" s="355">
        <f>SUM(N235:N245,N208:N209,N218,N234)+N229+N230+N211</f>
        <v>37615</v>
      </c>
      <c r="Q208" s="355">
        <f>SUM(O235:O245,O208:O209,O218,O234)+O229+O230+O211</f>
        <v>262740</v>
      </c>
      <c r="R208" s="350">
        <f>O208/INTGRATE!$N$293</f>
        <v>0</v>
      </c>
      <c r="S208" s="349">
        <f t="shared" ref="S208:S214" si="81">IF(R208=0,0,N208/R208)</f>
        <v>0</v>
      </c>
      <c r="T208" s="677"/>
      <c r="U208" s="145"/>
      <c r="V208" s="960" t="str">
        <f t="shared" si="79"/>
        <v>GD0425</v>
      </c>
      <c r="W208" s="943">
        <v>127000</v>
      </c>
      <c r="X208" s="456"/>
      <c r="Y208" s="456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356"/>
      <c r="AH208" s="100">
        <v>0</v>
      </c>
      <c r="AI208" s="100">
        <v>0</v>
      </c>
      <c r="AJ208" s="100">
        <v>0</v>
      </c>
      <c r="AK208" s="356">
        <v>0</v>
      </c>
      <c r="AL208" s="100">
        <v>0</v>
      </c>
      <c r="AM208" s="100">
        <v>0</v>
      </c>
      <c r="AN208" s="100"/>
      <c r="AO208" s="100"/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ref="BC208:BC278" si="82">SUM(X208:BB208)</f>
        <v>0</v>
      </c>
      <c r="BD208" s="896">
        <f>COUNTIF(X208:BB208,"&gt;0")</f>
        <v>0</v>
      </c>
      <c r="BE208" s="896">
        <f>IFERROR(BC208/BD208,0)</f>
        <v>0</v>
      </c>
      <c r="BH208" s="505"/>
    </row>
    <row r="209" spans="1:60" s="38" customFormat="1" ht="15" customHeight="1">
      <c r="A209" s="68">
        <v>2</v>
      </c>
      <c r="B209" s="200" t="s">
        <v>1369</v>
      </c>
      <c r="C209" s="410" t="s">
        <v>39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/>
      <c r="L209" s="356"/>
      <c r="M209" s="540">
        <f>E209+F209+H209-I209-L209+G209-K209</f>
        <v>0</v>
      </c>
      <c r="N209" s="356"/>
      <c r="O209" s="357">
        <f t="shared" si="80"/>
        <v>0</v>
      </c>
      <c r="P209" s="355"/>
      <c r="Q209" s="355"/>
      <c r="R209" s="350">
        <f>O209/INTGRATE!$N$293</f>
        <v>0</v>
      </c>
      <c r="S209" s="349">
        <f t="shared" si="81"/>
        <v>0</v>
      </c>
      <c r="T209" s="677"/>
      <c r="U209" s="145"/>
      <c r="V209" s="960" t="str">
        <f t="shared" si="79"/>
        <v>GD04silo</v>
      </c>
      <c r="W209" s="943">
        <v>127000</v>
      </c>
      <c r="X209" s="456"/>
      <c r="Y209" s="456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356"/>
      <c r="AH209" s="100">
        <v>0</v>
      </c>
      <c r="AI209" s="100">
        <v>0</v>
      </c>
      <c r="AJ209" s="100">
        <v>0</v>
      </c>
      <c r="AK209" s="356">
        <v>0</v>
      </c>
      <c r="AL209" s="100">
        <v>0</v>
      </c>
      <c r="AM209" s="100">
        <v>0</v>
      </c>
      <c r="AN209" s="100"/>
      <c r="AO209" s="100"/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si="82"/>
        <v>0</v>
      </c>
      <c r="BD209" s="896">
        <f t="shared" ref="BD209" si="83">COUNTIF(X209:BB209,"&gt;0")</f>
        <v>0</v>
      </c>
      <c r="BE209" s="896">
        <f t="shared" ref="BE209" si="84">IFERROR(BC209/BD209,0)</f>
        <v>0</v>
      </c>
      <c r="BH209" s="505"/>
    </row>
    <row r="210" spans="1:60" s="38" customFormat="1" ht="15" customHeight="1">
      <c r="A210" s="68">
        <v>3</v>
      </c>
      <c r="B210" s="410" t="s">
        <v>1611</v>
      </c>
      <c r="C210" s="410" t="s">
        <v>115</v>
      </c>
      <c r="D210" s="599" t="s">
        <v>901</v>
      </c>
      <c r="E210" s="540">
        <v>0</v>
      </c>
      <c r="F210" s="100">
        <f>+J210</f>
        <v>0</v>
      </c>
      <c r="G210" s="356"/>
      <c r="H210" s="356"/>
      <c r="I210" s="100">
        <f>SUMIF(data!$D:$D,$B210&amp;$D210,data!$J:$J)</f>
        <v>0</v>
      </c>
      <c r="J210" s="356">
        <f>SUMIF(data!$D:$D,$B210&amp;$D210,data!$K:$K)</f>
        <v>0</v>
      </c>
      <c r="K210" s="356">
        <v>0</v>
      </c>
      <c r="L210" s="356">
        <f>SUMIF(CBOUT!$A:$A,BRAN!$V:$V,CBOUT!$G:$G)</f>
        <v>0</v>
      </c>
      <c r="M210" s="540">
        <v>0</v>
      </c>
      <c r="N210" s="356">
        <f t="shared" ref="N210:N212" si="85">M210*25</f>
        <v>0</v>
      </c>
      <c r="O210" s="357">
        <f t="shared" si="80"/>
        <v>0</v>
      </c>
      <c r="P210" s="355"/>
      <c r="Q210" s="355"/>
      <c r="R210" s="350">
        <f>O210/INTGRATE!$N$293</f>
        <v>0</v>
      </c>
      <c r="S210" s="349">
        <f t="shared" si="81"/>
        <v>0</v>
      </c>
      <c r="T210" s="677"/>
      <c r="U210" s="145"/>
      <c r="V210" s="960" t="str">
        <f t="shared" si="79"/>
        <v>GD12silo</v>
      </c>
      <c r="W210" s="943">
        <v>122001</v>
      </c>
      <c r="X210" s="456"/>
      <c r="Y210" s="456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356"/>
      <c r="AH210" s="100">
        <v>0</v>
      </c>
      <c r="AI210" s="100">
        <v>0</v>
      </c>
      <c r="AJ210" s="100">
        <v>0</v>
      </c>
      <c r="AK210" s="356">
        <v>0</v>
      </c>
      <c r="AL210" s="100">
        <v>0</v>
      </c>
      <c r="AM210" s="100">
        <v>0</v>
      </c>
      <c r="AN210" s="100"/>
      <c r="AO210" s="100"/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ref="BC210:BC274" si="86">SUM(X210:BB210)</f>
        <v>0</v>
      </c>
      <c r="BD210" s="896">
        <f t="shared" ref="BD210:BD274" si="87">COUNTIF(X210:BB210,"&gt;0")</f>
        <v>0</v>
      </c>
      <c r="BE210" s="896">
        <f t="shared" ref="BE210:BE274" si="88">IFERROR(BC210/BD210,0)</f>
        <v>0</v>
      </c>
      <c r="BH210" s="505"/>
    </row>
    <row r="211" spans="1:60" s="38" customFormat="1" ht="15" customHeight="1">
      <c r="A211" s="68">
        <v>4</v>
      </c>
      <c r="B211" s="410" t="s">
        <v>1656</v>
      </c>
      <c r="C211" s="410" t="s">
        <v>1504</v>
      </c>
      <c r="D211" s="599" t="s">
        <v>901</v>
      </c>
      <c r="E211" s="540">
        <v>0</v>
      </c>
      <c r="F211" s="100">
        <f>+J211</f>
        <v>0</v>
      </c>
      <c r="G211" s="356"/>
      <c r="H211" s="356"/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v>0</v>
      </c>
      <c r="N211" s="356">
        <f t="shared" si="85"/>
        <v>0</v>
      </c>
      <c r="O211" s="357">
        <f t="shared" si="80"/>
        <v>0</v>
      </c>
      <c r="P211" s="355"/>
      <c r="Q211" s="355"/>
      <c r="R211" s="350">
        <f>O211/INTGRATE!$N$293</f>
        <v>0</v>
      </c>
      <c r="S211" s="349">
        <f t="shared" si="81"/>
        <v>0</v>
      </c>
      <c r="T211" s="677"/>
      <c r="U211" s="145"/>
      <c r="V211" s="960" t="str">
        <f t="shared" si="79"/>
        <v>GD11silo</v>
      </c>
      <c r="W211" s="943">
        <v>122001</v>
      </c>
      <c r="X211" s="456"/>
      <c r="Y211" s="456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356"/>
      <c r="AH211" s="100">
        <v>0</v>
      </c>
      <c r="AI211" s="100">
        <v>0</v>
      </c>
      <c r="AJ211" s="100">
        <v>0</v>
      </c>
      <c r="AK211" s="356">
        <v>0</v>
      </c>
      <c r="AL211" s="100">
        <v>0</v>
      </c>
      <c r="AM211" s="100">
        <v>0</v>
      </c>
      <c r="AN211" s="100"/>
      <c r="AO211" s="100"/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86"/>
        <v>0</v>
      </c>
      <c r="BD211" s="896">
        <f t="shared" si="87"/>
        <v>0</v>
      </c>
      <c r="BE211" s="896">
        <f t="shared" si="88"/>
        <v>0</v>
      </c>
      <c r="BH211" s="505"/>
    </row>
    <row r="212" spans="1:60" s="38" customFormat="1" ht="15" customHeight="1">
      <c r="A212" s="68">
        <v>5</v>
      </c>
      <c r="B212" s="410" t="s">
        <v>1584</v>
      </c>
      <c r="C212" s="410" t="s">
        <v>115</v>
      </c>
      <c r="D212" s="599" t="s">
        <v>901</v>
      </c>
      <c r="E212" s="540">
        <v>0</v>
      </c>
      <c r="F212" s="100">
        <f>+J212</f>
        <v>0</v>
      </c>
      <c r="G212" s="356"/>
      <c r="H212" s="356">
        <f>SUMIF(CBIN!$A:$A,BRAN!$V:$V,CBIN!$G:$G)</f>
        <v>0</v>
      </c>
      <c r="I212" s="100">
        <f>SUMIF(data!$D:$D,$B212&amp;$D212,data!$J:$J)</f>
        <v>0</v>
      </c>
      <c r="J212" s="356">
        <f>SUMIF(data!$D:$D,$B212&amp;$D212,data!$K:$K)</f>
        <v>0</v>
      </c>
      <c r="K212" s="356">
        <f>SUMIF(AJOUT!$A:$A,BRAN!$V:$V,AJOUT!$L:$L)</f>
        <v>0</v>
      </c>
      <c r="L212" s="356">
        <f>SUMIF(CBOUT!$A:$A,BRAN!$V:$V,CBOUT!$G:$G)</f>
        <v>0</v>
      </c>
      <c r="M212" s="540">
        <v>0</v>
      </c>
      <c r="N212" s="356">
        <f t="shared" si="85"/>
        <v>0</v>
      </c>
      <c r="O212" s="357">
        <f t="shared" si="80"/>
        <v>0</v>
      </c>
      <c r="P212" s="355"/>
      <c r="Q212" s="355"/>
      <c r="R212" s="350">
        <f>O212/INTGRATE!$N$293</f>
        <v>0</v>
      </c>
      <c r="S212" s="349">
        <f t="shared" si="81"/>
        <v>0</v>
      </c>
      <c r="T212" s="677"/>
      <c r="U212" s="145"/>
      <c r="V212" s="960" t="str">
        <f t="shared" si="79"/>
        <v>GD14silo</v>
      </c>
      <c r="W212" s="943">
        <v>127001</v>
      </c>
      <c r="X212" s="456"/>
      <c r="Y212" s="456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>
        <v>0</v>
      </c>
      <c r="AG212" s="356"/>
      <c r="AH212" s="100">
        <v>0</v>
      </c>
      <c r="AI212" s="100">
        <v>0</v>
      </c>
      <c r="AJ212" s="100">
        <v>0</v>
      </c>
      <c r="AK212" s="356">
        <v>0</v>
      </c>
      <c r="AL212" s="100">
        <v>0</v>
      </c>
      <c r="AM212" s="100">
        <v>0</v>
      </c>
      <c r="AN212" s="100"/>
      <c r="AO212" s="100"/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86"/>
        <v>0</v>
      </c>
      <c r="BD212" s="896">
        <f t="shared" si="87"/>
        <v>0</v>
      </c>
      <c r="BE212" s="896">
        <f t="shared" si="88"/>
        <v>0</v>
      </c>
      <c r="BH212" s="505"/>
    </row>
    <row r="213" spans="1:60" s="38" customFormat="1" ht="15" customHeight="1">
      <c r="A213" s="68">
        <v>6</v>
      </c>
      <c r="B213" s="410" t="s">
        <v>1584</v>
      </c>
      <c r="C213" s="410" t="s">
        <v>115</v>
      </c>
      <c r="D213" s="599">
        <v>25</v>
      </c>
      <c r="E213" s="540">
        <v>3543</v>
      </c>
      <c r="F213" s="100">
        <f>SUMIF(pro!$A:$A,$V:$V,pro!$N:$N)</f>
        <v>0</v>
      </c>
      <c r="G213" s="356"/>
      <c r="H213" s="356">
        <f>SUMIF(CBIN!$A:$A,BRAN!$V:$V,CBIN!$G:$G)</f>
        <v>0</v>
      </c>
      <c r="I213" s="100">
        <f>SUMIF(data!$D:$D,$B213&amp;$D213,data!$J:$J)</f>
        <v>695</v>
      </c>
      <c r="J213" s="356">
        <f>SUMIF(data!$D:$D,$B213&amp;$D213,data!$K:$K)</f>
        <v>17375</v>
      </c>
      <c r="K213" s="356">
        <f>SUMIF(AJOUT!$A:$A,BRAN!$V:$V,AJOUT!$L:$L)</f>
        <v>0</v>
      </c>
      <c r="L213" s="356">
        <f>SUMIF(CBOUT!$A:$A,BRAN!$V:$V,CBOUT!$G:$G)</f>
        <v>0</v>
      </c>
      <c r="M213" s="540">
        <f>E213+F213+H213-I213-L213+G213-K213</f>
        <v>2848</v>
      </c>
      <c r="N213" s="356">
        <f>+M213*D213</f>
        <v>71200</v>
      </c>
      <c r="O213" s="357">
        <f t="shared" si="80"/>
        <v>158600</v>
      </c>
      <c r="P213" s="355"/>
      <c r="Q213" s="355"/>
      <c r="R213" s="350">
        <f>O213/INTGRATE!$N$293</f>
        <v>10573.333333333334</v>
      </c>
      <c r="S213" s="349">
        <f t="shared" si="81"/>
        <v>6.7339218158890288</v>
      </c>
      <c r="T213" s="677"/>
      <c r="U213" s="145"/>
      <c r="V213" s="960" t="str">
        <f t="shared" si="79"/>
        <v>GD1425</v>
      </c>
      <c r="W213" s="943">
        <v>127001</v>
      </c>
      <c r="X213" s="456"/>
      <c r="Y213" s="456">
        <v>18875</v>
      </c>
      <c r="Z213" s="100">
        <v>0</v>
      </c>
      <c r="AA213" s="100">
        <v>0</v>
      </c>
      <c r="AB213" s="100">
        <v>0</v>
      </c>
      <c r="AC213" s="100">
        <v>3250</v>
      </c>
      <c r="AD213" s="100">
        <v>23500</v>
      </c>
      <c r="AE213" s="100">
        <v>7500</v>
      </c>
      <c r="AF213" s="100">
        <v>25</v>
      </c>
      <c r="AG213" s="356"/>
      <c r="AH213" s="100">
        <v>35575</v>
      </c>
      <c r="AI213" s="100">
        <v>7500</v>
      </c>
      <c r="AJ213" s="100">
        <v>35000</v>
      </c>
      <c r="AK213" s="356">
        <v>0</v>
      </c>
      <c r="AL213" s="100">
        <v>10000</v>
      </c>
      <c r="AM213" s="100">
        <v>17375</v>
      </c>
      <c r="AN213" s="100"/>
      <c r="AO213" s="100"/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86"/>
        <v>158600</v>
      </c>
      <c r="BD213" s="896">
        <f t="shared" si="87"/>
        <v>10</v>
      </c>
      <c r="BE213" s="896">
        <f t="shared" si="88"/>
        <v>15860</v>
      </c>
      <c r="BH213" s="505"/>
    </row>
    <row r="214" spans="1:60" s="38" customFormat="1" ht="15" customHeight="1">
      <c r="A214" s="68">
        <v>7</v>
      </c>
      <c r="B214" s="410" t="s">
        <v>1953</v>
      </c>
      <c r="C214" s="410" t="s">
        <v>61</v>
      </c>
      <c r="D214" s="599" t="s">
        <v>901</v>
      </c>
      <c r="E214" s="540"/>
      <c r="F214" s="100">
        <f>+J214</f>
        <v>0</v>
      </c>
      <c r="G214" s="356"/>
      <c r="H214" s="356"/>
      <c r="I214" s="100"/>
      <c r="J214" s="356">
        <f>SUMIF(data!$D:$D,$B214&amp;$D214,data!$K:$K)</f>
        <v>0</v>
      </c>
      <c r="K214" s="356">
        <f>SUMIF(AJOUT!$A:$A,BRAN!$V:$V,AJOUT!$L:$L)</f>
        <v>0</v>
      </c>
      <c r="L214" s="356">
        <f>SUMIF(CBOUT!$A:$A,BRAN!$V:$V,CBOUT!$G:$G)</f>
        <v>0</v>
      </c>
      <c r="M214" s="540"/>
      <c r="N214" s="356"/>
      <c r="O214" s="357">
        <f>SUM(X214:BB214)</f>
        <v>0</v>
      </c>
      <c r="P214" s="355"/>
      <c r="Q214" s="355"/>
      <c r="R214" s="350">
        <f>O214/INTGRATE!$N$293</f>
        <v>0</v>
      </c>
      <c r="S214" s="349">
        <f t="shared" si="81"/>
        <v>0</v>
      </c>
      <c r="T214" s="677"/>
      <c r="U214" s="145"/>
      <c r="V214" s="960" t="str">
        <f t="shared" si="79"/>
        <v>GD14Asilo</v>
      </c>
      <c r="W214" s="943">
        <v>127061</v>
      </c>
      <c r="X214" s="456"/>
      <c r="Y214" s="456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356"/>
      <c r="AH214" s="100">
        <v>0</v>
      </c>
      <c r="AI214" s="100">
        <v>0</v>
      </c>
      <c r="AJ214" s="100">
        <v>0</v>
      </c>
      <c r="AK214" s="356">
        <v>0</v>
      </c>
      <c r="AL214" s="100">
        <v>0</v>
      </c>
      <c r="AM214" s="100">
        <v>0</v>
      </c>
      <c r="AN214" s="100"/>
      <c r="AO214" s="100"/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86"/>
        <v>0</v>
      </c>
      <c r="BD214" s="896">
        <f t="shared" si="87"/>
        <v>0</v>
      </c>
      <c r="BE214" s="896">
        <f t="shared" si="88"/>
        <v>0</v>
      </c>
      <c r="BH214" s="505"/>
    </row>
    <row r="215" spans="1:60" s="38" customFormat="1" ht="15" customHeight="1">
      <c r="A215" s="68">
        <v>8</v>
      </c>
      <c r="B215" s="410" t="s">
        <v>2458</v>
      </c>
      <c r="C215" s="410" t="s">
        <v>61</v>
      </c>
      <c r="D215" s="599" t="s">
        <v>901</v>
      </c>
      <c r="E215" s="540"/>
      <c r="F215" s="100">
        <f>+J215</f>
        <v>0</v>
      </c>
      <c r="G215" s="356"/>
      <c r="H215" s="356"/>
      <c r="I215" s="100"/>
      <c r="J215" s="356">
        <f>SUMIF(data!$D:$D,$B215&amp;$D215,data!$K:$K)</f>
        <v>0</v>
      </c>
      <c r="K215" s="356">
        <v>0</v>
      </c>
      <c r="L215" s="356">
        <f>SUMIF(CBOUT!$A:$A,BRAN!$V:$V,CBOUT!$G:$G)</f>
        <v>0</v>
      </c>
      <c r="M215" s="540"/>
      <c r="N215" s="356"/>
      <c r="O215" s="357">
        <f>SUM(X215:BB215)</f>
        <v>0</v>
      </c>
      <c r="P215" s="355"/>
      <c r="Q215" s="355"/>
      <c r="R215" s="350">
        <f>O215/INTGRATE!$N$293</f>
        <v>0</v>
      </c>
      <c r="S215" s="349">
        <f t="shared" ref="S215" si="89">IF(R215=0,0,N215/R215)</f>
        <v>0</v>
      </c>
      <c r="T215" s="677"/>
      <c r="U215" s="145"/>
      <c r="V215" s="960" t="str">
        <f t="shared" si="79"/>
        <v>GD14APsilo</v>
      </c>
      <c r="W215" s="943">
        <v>12706832</v>
      </c>
      <c r="X215" s="456"/>
      <c r="Y215" s="456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356"/>
      <c r="AH215" s="100">
        <v>0</v>
      </c>
      <c r="AI215" s="100">
        <v>0</v>
      </c>
      <c r="AJ215" s="100">
        <v>0</v>
      </c>
      <c r="AK215" s="356">
        <v>0</v>
      </c>
      <c r="AL215" s="100">
        <v>0</v>
      </c>
      <c r="AM215" s="100">
        <v>0</v>
      </c>
      <c r="AN215" s="100"/>
      <c r="AO215" s="100"/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86"/>
        <v>0</v>
      </c>
      <c r="BD215" s="896">
        <f t="shared" si="87"/>
        <v>0</v>
      </c>
      <c r="BE215" s="896">
        <f t="shared" si="88"/>
        <v>0</v>
      </c>
      <c r="BH215" s="505"/>
    </row>
    <row r="216" spans="1:60" s="38" customFormat="1" ht="15" customHeight="1">
      <c r="A216" s="68">
        <v>9</v>
      </c>
      <c r="B216" s="410" t="s">
        <v>1949</v>
      </c>
      <c r="C216" s="410" t="s">
        <v>115</v>
      </c>
      <c r="D216" s="599">
        <v>25</v>
      </c>
      <c r="E216" s="540">
        <v>0</v>
      </c>
      <c r="F216" s="100">
        <f>SUMIF(pro!$A:$A,$V:$V,pro!$N:$N)</f>
        <v>0</v>
      </c>
      <c r="G216" s="356"/>
      <c r="H216" s="356"/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>
        <f>SUMIF(CBOUT!$A:$A,BRAN!$V:$V,CBOUT!$G:$G)</f>
        <v>0</v>
      </c>
      <c r="M216" s="540">
        <f>E216+F216+H216-I216-L216+G216-K216</f>
        <v>0</v>
      </c>
      <c r="N216" s="356">
        <f t="shared" ref="N216:N277" si="90">+M216*D216</f>
        <v>0</v>
      </c>
      <c r="O216" s="357">
        <f>SUM(X216:BB216)</f>
        <v>0</v>
      </c>
      <c r="P216" s="355"/>
      <c r="Q216" s="355"/>
      <c r="R216" s="350">
        <f>O216/INTGRATE!$N$293</f>
        <v>0</v>
      </c>
      <c r="S216" s="349">
        <f>IF(R216=0,0,N216/R216)</f>
        <v>0</v>
      </c>
      <c r="T216" s="677"/>
      <c r="U216" s="145"/>
      <c r="V216" s="960" t="str">
        <f t="shared" si="79"/>
        <v>GD14P25</v>
      </c>
      <c r="W216" s="943">
        <v>127008</v>
      </c>
      <c r="X216" s="456"/>
      <c r="Y216" s="456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356"/>
      <c r="AH216" s="100">
        <v>0</v>
      </c>
      <c r="AI216" s="100">
        <v>0</v>
      </c>
      <c r="AJ216" s="100">
        <v>0</v>
      </c>
      <c r="AK216" s="356">
        <v>0</v>
      </c>
      <c r="AL216" s="100">
        <v>0</v>
      </c>
      <c r="AM216" s="100">
        <v>0</v>
      </c>
      <c r="AN216" s="100"/>
      <c r="AO216" s="100"/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86"/>
        <v>0</v>
      </c>
      <c r="BD216" s="896">
        <f t="shared" si="87"/>
        <v>0</v>
      </c>
      <c r="BE216" s="896">
        <f t="shared" si="88"/>
        <v>0</v>
      </c>
      <c r="BH216" s="505"/>
    </row>
    <row r="217" spans="1:60" s="38" customFormat="1" ht="15" customHeight="1">
      <c r="A217" s="68">
        <v>10</v>
      </c>
      <c r="B217" s="410" t="s">
        <v>1980</v>
      </c>
      <c r="C217" s="410" t="s">
        <v>115</v>
      </c>
      <c r="D217" s="599">
        <v>25</v>
      </c>
      <c r="E217" s="540">
        <v>0</v>
      </c>
      <c r="F217" s="100">
        <f>SUMIF(pro!$A:$A,$V:$V,pro!$N:$N)</f>
        <v>0</v>
      </c>
      <c r="G217" s="356"/>
      <c r="H217" s="356"/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/>
      <c r="M217" s="540">
        <f>E217+F217+H217-I217-L217+G217-K217</f>
        <v>0</v>
      </c>
      <c r="N217" s="356">
        <f t="shared" si="90"/>
        <v>0</v>
      </c>
      <c r="O217" s="357">
        <f>SUM(X217:BB217)</f>
        <v>0</v>
      </c>
      <c r="P217" s="925" t="s">
        <v>1855</v>
      </c>
      <c r="Q217" s="355"/>
      <c r="R217" s="350">
        <f>O217/INTGRATE!$N$293</f>
        <v>0</v>
      </c>
      <c r="S217" s="349">
        <f>IF(R217=0,0,N217/R217)</f>
        <v>0</v>
      </c>
      <c r="T217" s="677"/>
      <c r="U217" s="145"/>
      <c r="V217" s="960" t="str">
        <f t="shared" si="79"/>
        <v>GD1525</v>
      </c>
      <c r="W217" s="943">
        <v>128001</v>
      </c>
      <c r="X217" s="456"/>
      <c r="Y217" s="456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356"/>
      <c r="AH217" s="100">
        <v>0</v>
      </c>
      <c r="AI217" s="100">
        <v>0</v>
      </c>
      <c r="AJ217" s="100">
        <v>0</v>
      </c>
      <c r="AK217" s="356">
        <v>0</v>
      </c>
      <c r="AL217" s="100">
        <v>0</v>
      </c>
      <c r="AM217" s="100">
        <v>0</v>
      </c>
      <c r="AN217" s="100"/>
      <c r="AO217" s="100"/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86"/>
        <v>0</v>
      </c>
      <c r="BD217" s="896">
        <f t="shared" si="87"/>
        <v>0</v>
      </c>
      <c r="BE217" s="896">
        <f t="shared" si="88"/>
        <v>0</v>
      </c>
      <c r="BH217" s="505"/>
    </row>
    <row r="218" spans="1:60" s="38" customFormat="1" ht="15" customHeight="1">
      <c r="A218" s="68">
        <v>11</v>
      </c>
      <c r="B218" s="410" t="s">
        <v>1396</v>
      </c>
      <c r="C218" s="410" t="s">
        <v>39</v>
      </c>
      <c r="D218" s="599" t="s">
        <v>901</v>
      </c>
      <c r="E218" s="540">
        <v>0</v>
      </c>
      <c r="F218" s="100">
        <f>+J218</f>
        <v>0</v>
      </c>
      <c r="G218" s="356"/>
      <c r="H218" s="356">
        <f>SUMIF(CBIN!$A:$A,BRAN!$V:$V,CBIN!$G:$G)</f>
        <v>0</v>
      </c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f>E218+F218+H218-I218-L218+G218-K218</f>
        <v>0</v>
      </c>
      <c r="N218" s="356"/>
      <c r="O218" s="357">
        <f t="shared" si="80"/>
        <v>0</v>
      </c>
      <c r="P218" s="355">
        <f>+N247+N248+N225+N226+N232+N233</f>
        <v>7025</v>
      </c>
      <c r="Q218" s="355">
        <f>+O247+O248+O225+O226+O232+O233</f>
        <v>49575</v>
      </c>
      <c r="R218" s="350">
        <f>O218/INTGRATE!$N$293</f>
        <v>0</v>
      </c>
      <c r="S218" s="349">
        <f t="shared" ref="S218:S277" si="91">IF(R218=0,0,N218/R218)</f>
        <v>0</v>
      </c>
      <c r="T218" s="677"/>
      <c r="U218" s="145"/>
      <c r="V218" s="960" t="str">
        <f t="shared" si="79"/>
        <v>GD04Asilo</v>
      </c>
      <c r="W218" s="943">
        <v>127060</v>
      </c>
      <c r="X218" s="456"/>
      <c r="Y218" s="456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>
        <v>0</v>
      </c>
      <c r="AG218" s="356"/>
      <c r="AH218" s="100">
        <v>0</v>
      </c>
      <c r="AI218" s="100">
        <v>0</v>
      </c>
      <c r="AJ218" s="100">
        <v>0</v>
      </c>
      <c r="AK218" s="356">
        <v>0</v>
      </c>
      <c r="AL218" s="100">
        <v>0</v>
      </c>
      <c r="AM218" s="100">
        <v>0</v>
      </c>
      <c r="AN218" s="100"/>
      <c r="AO218" s="100"/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86"/>
        <v>0</v>
      </c>
      <c r="BD218" s="896">
        <f t="shared" si="87"/>
        <v>0</v>
      </c>
      <c r="BE218" s="896">
        <f t="shared" si="88"/>
        <v>0</v>
      </c>
      <c r="BH218" s="505"/>
    </row>
    <row r="219" spans="1:60" s="38" customFormat="1" ht="15" customHeight="1">
      <c r="A219" s="68">
        <v>12</v>
      </c>
      <c r="B219" s="695" t="s">
        <v>14</v>
      </c>
      <c r="C219" s="695" t="s">
        <v>1314</v>
      </c>
      <c r="D219" s="696">
        <v>25</v>
      </c>
      <c r="E219" s="540">
        <v>9</v>
      </c>
      <c r="F219" s="100">
        <f>SUMIF(pro!$A:$A,$V:$V,pro!$N:$N)</f>
        <v>0</v>
      </c>
      <c r="G219" s="356"/>
      <c r="H219" s="356">
        <f>SUMIF(CBIN!$A:$A,BRAN!$V:$V,CBIN!$G:$G)</f>
        <v>0</v>
      </c>
      <c r="I219" s="100">
        <f>SUMIF(data!$D:$D,$B219&amp;$D219,data!$J:$J)</f>
        <v>0</v>
      </c>
      <c r="J219" s="356">
        <f>SUMIF(data!$D:$D,$B219&amp;$D219,data!$K:$K)</f>
        <v>0</v>
      </c>
      <c r="K219" s="356">
        <f>SUMIF(AJOUT!$A:$A,BRAN!$V:$V,AJOUT!$L:$L)</f>
        <v>0</v>
      </c>
      <c r="L219" s="356">
        <f>SUMIF(CBOUT!$A:$A,BRAN!$V:$V,CBOUT!$G:$G)</f>
        <v>0</v>
      </c>
      <c r="M219" s="540">
        <f>E219+F219+H219-I219-L219+G219-K219</f>
        <v>9</v>
      </c>
      <c r="N219" s="356">
        <f t="shared" si="90"/>
        <v>225</v>
      </c>
      <c r="O219" s="357">
        <f t="shared" si="80"/>
        <v>7000</v>
      </c>
      <c r="P219" s="355"/>
      <c r="Q219" s="355"/>
      <c r="R219" s="350">
        <f>O219/INTGRATE!$N$293</f>
        <v>466.66666666666669</v>
      </c>
      <c r="S219" s="349">
        <f t="shared" si="91"/>
        <v>0.48214285714285715</v>
      </c>
      <c r="T219" s="472"/>
      <c r="U219" s="145"/>
      <c r="V219" s="960" t="str">
        <f t="shared" si="79"/>
        <v>GT1125</v>
      </c>
      <c r="W219" s="943">
        <v>112601</v>
      </c>
      <c r="X219" s="456"/>
      <c r="Y219" s="456">
        <v>0</v>
      </c>
      <c r="Z219" s="100">
        <v>1250</v>
      </c>
      <c r="AA219" s="100">
        <v>0</v>
      </c>
      <c r="AB219" s="100">
        <v>0</v>
      </c>
      <c r="AC219" s="100">
        <v>500</v>
      </c>
      <c r="AD219" s="100">
        <v>0</v>
      </c>
      <c r="AE219" s="100">
        <v>0</v>
      </c>
      <c r="AF219" s="100">
        <v>0</v>
      </c>
      <c r="AG219" s="356"/>
      <c r="AH219" s="100">
        <v>0</v>
      </c>
      <c r="AI219" s="100">
        <v>0</v>
      </c>
      <c r="AJ219" s="100">
        <v>0</v>
      </c>
      <c r="AK219" s="356">
        <v>5000</v>
      </c>
      <c r="AL219" s="100">
        <v>250</v>
      </c>
      <c r="AM219" s="100">
        <v>0</v>
      </c>
      <c r="AN219" s="100"/>
      <c r="AO219" s="100"/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86"/>
        <v>7000</v>
      </c>
      <c r="BD219" s="896">
        <f t="shared" si="87"/>
        <v>4</v>
      </c>
      <c r="BE219" s="896">
        <f t="shared" si="88"/>
        <v>1750</v>
      </c>
      <c r="BH219" s="505"/>
    </row>
    <row r="220" spans="1:60" s="38" customFormat="1" ht="15" customHeight="1">
      <c r="A220" s="68">
        <v>13</v>
      </c>
      <c r="B220" s="695" t="s">
        <v>14</v>
      </c>
      <c r="C220" s="695" t="s">
        <v>1314</v>
      </c>
      <c r="D220" s="696" t="s">
        <v>81</v>
      </c>
      <c r="E220" s="540">
        <v>0</v>
      </c>
      <c r="F220" s="100">
        <f>+J220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>
        <f>SUMIF(AJOUT!$A:$A,BRAN!$V:$V,AJOUT!$L:$L)</f>
        <v>0</v>
      </c>
      <c r="L220" s="356">
        <f>SUMIF(CBOUT!$A:$A,BRAN!$V:$V,CBOUT!$G:$G)</f>
        <v>0</v>
      </c>
      <c r="M220" s="540">
        <v>0</v>
      </c>
      <c r="N220" s="356"/>
      <c r="O220" s="357">
        <f>SUM(X220:BB220)</f>
        <v>0</v>
      </c>
      <c r="P220" s="925"/>
      <c r="Q220" s="355"/>
      <c r="R220" s="350">
        <f>O220/INTGRATE!$N$293</f>
        <v>0</v>
      </c>
      <c r="S220" s="349">
        <f>IF(R220=0,0,N220/R220)</f>
        <v>0</v>
      </c>
      <c r="T220" s="472"/>
      <c r="U220" s="145"/>
      <c r="V220" s="960" t="str">
        <f t="shared" si="79"/>
        <v>GT11SILO</v>
      </c>
      <c r="W220" s="943">
        <v>112601</v>
      </c>
      <c r="X220" s="456"/>
      <c r="Y220" s="456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356"/>
      <c r="AH220" s="100">
        <v>0</v>
      </c>
      <c r="AI220" s="100">
        <v>0</v>
      </c>
      <c r="AJ220" s="100">
        <v>0</v>
      </c>
      <c r="AK220" s="356">
        <v>0</v>
      </c>
      <c r="AL220" s="100">
        <v>0</v>
      </c>
      <c r="AM220" s="100">
        <v>0</v>
      </c>
      <c r="AN220" s="100"/>
      <c r="AO220" s="100"/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86"/>
        <v>0</v>
      </c>
      <c r="BD220" s="896">
        <f t="shared" si="87"/>
        <v>0</v>
      </c>
      <c r="BE220" s="896">
        <f t="shared" si="88"/>
        <v>0</v>
      </c>
      <c r="BH220" s="505"/>
    </row>
    <row r="221" spans="1:60" s="38" customFormat="1" ht="15" customHeight="1">
      <c r="A221" s="68">
        <v>14</v>
      </c>
      <c r="B221" s="695" t="s">
        <v>1928</v>
      </c>
      <c r="C221" s="695" t="s">
        <v>115</v>
      </c>
      <c r="D221" s="696" t="s">
        <v>81</v>
      </c>
      <c r="E221" s="540"/>
      <c r="F221" s="100">
        <f>+J221</f>
        <v>0</v>
      </c>
      <c r="G221" s="356"/>
      <c r="H221" s="356"/>
      <c r="I221" s="100">
        <f>SUMIF(data!$D:$D,$B221&amp;$D221,data!$J:$J)</f>
        <v>0</v>
      </c>
      <c r="J221" s="356">
        <f>SUMIF(data!$D:$D,$B221&amp;$D221,data!$K:$K)</f>
        <v>0</v>
      </c>
      <c r="K221" s="356"/>
      <c r="L221" s="356"/>
      <c r="M221" s="540"/>
      <c r="N221" s="356"/>
      <c r="O221" s="357">
        <f>SUM(X221:BB221)</f>
        <v>0</v>
      </c>
      <c r="P221" s="355"/>
      <c r="Q221" s="355"/>
      <c r="R221" s="350">
        <f>O221/INTGRATE!$N$293</f>
        <v>0</v>
      </c>
      <c r="S221" s="349">
        <f>IF(R221=0,0,N221/R221)</f>
        <v>0</v>
      </c>
      <c r="T221" s="472"/>
      <c r="U221" s="145"/>
      <c r="V221" s="960" t="str">
        <f t="shared" si="79"/>
        <v>GT11SSILO</v>
      </c>
      <c r="W221" s="943">
        <v>114301</v>
      </c>
      <c r="X221" s="456"/>
      <c r="Y221" s="456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>
        <v>0</v>
      </c>
      <c r="AG221" s="356"/>
      <c r="AH221" s="100">
        <v>0</v>
      </c>
      <c r="AI221" s="100">
        <v>0</v>
      </c>
      <c r="AJ221" s="100">
        <v>0</v>
      </c>
      <c r="AK221" s="356">
        <v>0</v>
      </c>
      <c r="AL221" s="100">
        <v>0</v>
      </c>
      <c r="AM221" s="100">
        <v>0</v>
      </c>
      <c r="AN221" s="100"/>
      <c r="AO221" s="100"/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86"/>
        <v>0</v>
      </c>
      <c r="BD221" s="896">
        <f t="shared" si="87"/>
        <v>0</v>
      </c>
      <c r="BE221" s="896">
        <f t="shared" si="88"/>
        <v>0</v>
      </c>
      <c r="BH221" s="505"/>
    </row>
    <row r="222" spans="1:60" s="38" customFormat="1" ht="15" customHeight="1">
      <c r="A222" s="68">
        <v>15</v>
      </c>
      <c r="B222" s="695" t="s">
        <v>1928</v>
      </c>
      <c r="C222" s="695" t="s">
        <v>115</v>
      </c>
      <c r="D222" s="696">
        <v>25</v>
      </c>
      <c r="E222" s="540">
        <v>770</v>
      </c>
      <c r="F222" s="100">
        <f>SUMIF(pro!$A:$A,$V:$V,pro!$N:$N)</f>
        <v>114</v>
      </c>
      <c r="G222" s="356"/>
      <c r="H222" s="356"/>
      <c r="I222" s="100">
        <f>SUMIF(data!$D:$D,$B222&amp;$D222,data!$J:$J)</f>
        <v>0</v>
      </c>
      <c r="J222" s="356">
        <f>SUMIF(data!$D:$D,$B222&amp;$D222,data!$K:$K)</f>
        <v>0</v>
      </c>
      <c r="K222" s="356">
        <f>SUMIF(AJOUT!$A:$A,BRAN!$V:$V,AJOUT!$L:$L)</f>
        <v>0</v>
      </c>
      <c r="L222" s="356">
        <f>SUMIF(CBOUT!$A:$A,BRAN!$V:$V,CBOUT!$G:$G)</f>
        <v>0</v>
      </c>
      <c r="M222" s="540">
        <f>E222+F222+H222-I222-L222+G222-K222</f>
        <v>884</v>
      </c>
      <c r="N222" s="356">
        <f t="shared" si="90"/>
        <v>22100</v>
      </c>
      <c r="O222" s="357">
        <f>SUM(X222:BB222)</f>
        <v>22925</v>
      </c>
      <c r="P222" s="355"/>
      <c r="Q222" s="355"/>
      <c r="R222" s="350">
        <f>O222/INTGRATE!$N$293</f>
        <v>1528.3333333333333</v>
      </c>
      <c r="S222" s="349">
        <f>IF(R222=0,0,N222/R222)</f>
        <v>14.460196292257361</v>
      </c>
      <c r="T222" s="472"/>
      <c r="U222" s="145"/>
      <c r="V222" s="960" t="str">
        <f t="shared" si="79"/>
        <v>GT11S25</v>
      </c>
      <c r="W222" s="943">
        <v>114301</v>
      </c>
      <c r="X222" s="456"/>
      <c r="Y222" s="456">
        <v>0</v>
      </c>
      <c r="Z222" s="100">
        <v>0</v>
      </c>
      <c r="AA222" s="100">
        <v>0</v>
      </c>
      <c r="AB222" s="100">
        <v>4300</v>
      </c>
      <c r="AC222" s="100">
        <v>0</v>
      </c>
      <c r="AD222" s="100">
        <v>0</v>
      </c>
      <c r="AE222" s="100">
        <v>4250</v>
      </c>
      <c r="AF222" s="100">
        <v>0</v>
      </c>
      <c r="AG222" s="356"/>
      <c r="AH222" s="100">
        <v>0</v>
      </c>
      <c r="AI222" s="100">
        <v>9000</v>
      </c>
      <c r="AJ222" s="100">
        <v>0</v>
      </c>
      <c r="AK222" s="356">
        <v>5375</v>
      </c>
      <c r="AL222" s="100">
        <v>0</v>
      </c>
      <c r="AM222" s="100">
        <v>0</v>
      </c>
      <c r="AN222" s="100"/>
      <c r="AO222" s="100"/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86"/>
        <v>22925</v>
      </c>
      <c r="BD222" s="896">
        <f t="shared" si="87"/>
        <v>4</v>
      </c>
      <c r="BE222" s="896">
        <f t="shared" si="88"/>
        <v>5731.25</v>
      </c>
      <c r="BH222" s="505"/>
    </row>
    <row r="223" spans="1:60" s="38" customFormat="1" ht="15" customHeight="1">
      <c r="A223" s="68">
        <v>16</v>
      </c>
      <c r="B223" s="695" t="s">
        <v>1503</v>
      </c>
      <c r="C223" s="695" t="s">
        <v>61</v>
      </c>
      <c r="D223" s="696">
        <v>25</v>
      </c>
      <c r="E223" s="540">
        <v>1140</v>
      </c>
      <c r="F223" s="100">
        <f>SUMIF(pro!$A:$A,$V:$V,pro!$N:$N)</f>
        <v>0</v>
      </c>
      <c r="G223" s="356"/>
      <c r="H223" s="356">
        <f>SUMIF(CBIN!$A:$A,BRAN!$V:$V,CBIN!$G:$G)</f>
        <v>0</v>
      </c>
      <c r="I223" s="100">
        <f>SUMIF(data!$D:$D,$B223&amp;$D223,data!$J:$J)</f>
        <v>0</v>
      </c>
      <c r="J223" s="356">
        <f>SUMIF(data!$D:$D,$B223&amp;$D223,data!$K:$K)</f>
        <v>0</v>
      </c>
      <c r="K223" s="356">
        <f>SUMIF(AJOUT!$A:$A,BRAN!$V:$V,AJOUT!$L:$L)</f>
        <v>0</v>
      </c>
      <c r="L223" s="356">
        <f>SUMIF(CBOUT!$A:$A,BRAN!$V:$V,CBOUT!$G:$G)</f>
        <v>0</v>
      </c>
      <c r="M223" s="540">
        <f>E223+F223+H223-I223-L223+G223-K223</f>
        <v>1140</v>
      </c>
      <c r="N223" s="356">
        <f t="shared" si="90"/>
        <v>28500</v>
      </c>
      <c r="O223" s="357">
        <f t="shared" si="80"/>
        <v>3625</v>
      </c>
      <c r="P223" s="355"/>
      <c r="Q223" s="355"/>
      <c r="R223" s="350">
        <f>O223/INTGRATE!$N$293</f>
        <v>241.66666666666666</v>
      </c>
      <c r="S223" s="349">
        <f t="shared" si="91"/>
        <v>117.93103448275862</v>
      </c>
      <c r="T223" s="630"/>
      <c r="U223" s="145"/>
      <c r="V223" s="960" t="str">
        <f t="shared" si="79"/>
        <v>GT1225</v>
      </c>
      <c r="W223" s="943">
        <v>114601</v>
      </c>
      <c r="X223" s="456"/>
      <c r="Y223" s="456">
        <v>0</v>
      </c>
      <c r="Z223" s="100">
        <v>0</v>
      </c>
      <c r="AA223" s="100">
        <v>0</v>
      </c>
      <c r="AB223" s="100">
        <v>0</v>
      </c>
      <c r="AC223" s="100">
        <v>0</v>
      </c>
      <c r="AD223" s="100">
        <v>0</v>
      </c>
      <c r="AE223" s="100">
        <v>0</v>
      </c>
      <c r="AF223" s="100">
        <v>0</v>
      </c>
      <c r="AG223" s="356"/>
      <c r="AH223" s="100">
        <v>0</v>
      </c>
      <c r="AI223" s="100">
        <v>0</v>
      </c>
      <c r="AJ223" s="100">
        <v>0</v>
      </c>
      <c r="AK223" s="356">
        <v>3625</v>
      </c>
      <c r="AL223" s="100">
        <v>0</v>
      </c>
      <c r="AM223" s="100">
        <v>0</v>
      </c>
      <c r="AN223" s="100"/>
      <c r="AO223" s="100"/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86"/>
        <v>3625</v>
      </c>
      <c r="BD223" s="896">
        <f t="shared" si="87"/>
        <v>1</v>
      </c>
      <c r="BE223" s="896">
        <f t="shared" si="88"/>
        <v>3625</v>
      </c>
      <c r="BH223" s="505"/>
    </row>
    <row r="224" spans="1:60" s="38" customFormat="1" ht="15" customHeight="1">
      <c r="A224" s="68">
        <v>17</v>
      </c>
      <c r="B224" s="695" t="s">
        <v>1503</v>
      </c>
      <c r="C224" s="695" t="s">
        <v>61</v>
      </c>
      <c r="D224" s="696" t="s">
        <v>901</v>
      </c>
      <c r="E224" s="540">
        <v>0</v>
      </c>
      <c r="F224" s="100">
        <f>+J224</f>
        <v>0</v>
      </c>
      <c r="G224" s="356"/>
      <c r="H224" s="356"/>
      <c r="I224" s="100">
        <f>SUMIF(data!$D:$D,$B224&amp;$D224,data!$J:$J)</f>
        <v>0</v>
      </c>
      <c r="J224" s="356">
        <f>SUMIF(data!$D:$D,$B224&amp;$D224,data!$K:$K)</f>
        <v>0</v>
      </c>
      <c r="K224" s="356">
        <v>0</v>
      </c>
      <c r="L224" s="356">
        <v>0</v>
      </c>
      <c r="M224" s="540">
        <v>0</v>
      </c>
      <c r="N224" s="356"/>
      <c r="O224" s="357">
        <f t="shared" si="80"/>
        <v>28470</v>
      </c>
      <c r="P224" s="355"/>
      <c r="Q224" s="355"/>
      <c r="R224" s="350">
        <f>O224/INTGRATE!$N$293</f>
        <v>1898</v>
      </c>
      <c r="S224" s="349">
        <f>IF(R224=0,0,N224/R224)</f>
        <v>0</v>
      </c>
      <c r="T224" s="472"/>
      <c r="U224" s="145"/>
      <c r="V224" s="960" t="str">
        <f t="shared" ref="V224:V233" si="92">B224&amp;D224</f>
        <v>GT12silo</v>
      </c>
      <c r="W224" s="943">
        <v>114601</v>
      </c>
      <c r="X224" s="456"/>
      <c r="Y224" s="456">
        <v>0</v>
      </c>
      <c r="Z224" s="100">
        <v>0</v>
      </c>
      <c r="AA224" s="100">
        <v>0</v>
      </c>
      <c r="AB224" s="100">
        <v>15000</v>
      </c>
      <c r="AC224" s="100">
        <v>0</v>
      </c>
      <c r="AD224" s="100">
        <v>0</v>
      </c>
      <c r="AE224" s="100">
        <v>0</v>
      </c>
      <c r="AF224" s="100">
        <v>0</v>
      </c>
      <c r="AG224" s="356"/>
      <c r="AH224" s="100">
        <v>0</v>
      </c>
      <c r="AI224" s="100">
        <v>0</v>
      </c>
      <c r="AJ224" s="100">
        <v>0</v>
      </c>
      <c r="AK224" s="356">
        <v>0</v>
      </c>
      <c r="AL224" s="100">
        <v>13470</v>
      </c>
      <c r="AM224" s="100">
        <v>0</v>
      </c>
      <c r="AN224" s="100"/>
      <c r="AO224" s="100"/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86"/>
        <v>28470</v>
      </c>
      <c r="BD224" s="896">
        <f t="shared" si="87"/>
        <v>2</v>
      </c>
      <c r="BE224" s="896">
        <f t="shared" si="88"/>
        <v>14235</v>
      </c>
      <c r="BH224" s="505"/>
    </row>
    <row r="225" spans="1:60" s="38" customFormat="1" ht="15" customHeight="1">
      <c r="A225" s="68">
        <v>18</v>
      </c>
      <c r="B225" s="695" t="s">
        <v>1448</v>
      </c>
      <c r="C225" s="695" t="s">
        <v>40</v>
      </c>
      <c r="D225" s="696">
        <v>25</v>
      </c>
      <c r="E225" s="540">
        <v>2</v>
      </c>
      <c r="F225" s="100">
        <f>SUMIF(pro!$A:$A,$V:$V,pro!$N:$N)</f>
        <v>0</v>
      </c>
      <c r="G225" s="356"/>
      <c r="H225" s="356">
        <f>SUMIF(CBIN!$A:$A,BRAN!$V:$V,CBIN!$G:$G)</f>
        <v>0</v>
      </c>
      <c r="I225" s="100">
        <f>SUMIF(data!$D:$D,$B225&amp;$D225,data!$J:$J)</f>
        <v>0</v>
      </c>
      <c r="J225" s="356">
        <f>SUMIF(data!$D:$D,$B225&amp;$D225,data!$K:$K)</f>
        <v>0</v>
      </c>
      <c r="K225" s="356">
        <f>SUMIF(AJOUT!$A:$A,BRAN!$V:$V,AJOUT!$L:$L)</f>
        <v>0</v>
      </c>
      <c r="L225" s="356">
        <f>SUMIF(CBOUT!$A:$A,BRAN!$V:$V,CBOUT!$G:$G)</f>
        <v>0</v>
      </c>
      <c r="M225" s="540">
        <f t="shared" ref="M225:M252" si="93">E225+F225+H225-I225-L225+G225-K225</f>
        <v>2</v>
      </c>
      <c r="N225" s="356">
        <f t="shared" si="90"/>
        <v>50</v>
      </c>
      <c r="O225" s="357">
        <f t="shared" si="80"/>
        <v>7350</v>
      </c>
      <c r="P225" s="355"/>
      <c r="Q225" s="355"/>
      <c r="R225" s="350">
        <f>O225/INTGRATE!$N$293</f>
        <v>490</v>
      </c>
      <c r="S225" s="349">
        <f t="shared" si="91"/>
        <v>0.10204081632653061</v>
      </c>
      <c r="T225" s="472"/>
      <c r="U225" s="145"/>
      <c r="V225" s="960" t="str">
        <f t="shared" si="92"/>
        <v>GT12B25</v>
      </c>
      <c r="W225" s="943" t="s">
        <v>881</v>
      </c>
      <c r="X225" s="456"/>
      <c r="Y225" s="456">
        <v>0</v>
      </c>
      <c r="Z225" s="100">
        <v>450</v>
      </c>
      <c r="AA225" s="100">
        <v>0</v>
      </c>
      <c r="AB225" s="100">
        <v>0</v>
      </c>
      <c r="AC225" s="100">
        <v>750</v>
      </c>
      <c r="AD225" s="100">
        <v>0</v>
      </c>
      <c r="AE225" s="100">
        <v>0</v>
      </c>
      <c r="AF225" s="100">
        <v>4750</v>
      </c>
      <c r="AG225" s="356"/>
      <c r="AH225" s="100">
        <v>0</v>
      </c>
      <c r="AI225" s="100">
        <v>500</v>
      </c>
      <c r="AJ225" s="100">
        <v>900</v>
      </c>
      <c r="AK225" s="356">
        <v>0</v>
      </c>
      <c r="AL225" s="100">
        <v>0</v>
      </c>
      <c r="AM225" s="100">
        <v>0</v>
      </c>
      <c r="AN225" s="100"/>
      <c r="AO225" s="100"/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86"/>
        <v>7350</v>
      </c>
      <c r="BD225" s="896">
        <f t="shared" si="87"/>
        <v>5</v>
      </c>
      <c r="BE225" s="896">
        <f t="shared" si="88"/>
        <v>1470</v>
      </c>
      <c r="BH225" s="505"/>
    </row>
    <row r="226" spans="1:60" s="38" customFormat="1" ht="15" customHeight="1">
      <c r="A226" s="68">
        <v>19</v>
      </c>
      <c r="B226" s="695" t="s">
        <v>1448</v>
      </c>
      <c r="C226" s="695" t="s">
        <v>40</v>
      </c>
      <c r="D226" s="696" t="s">
        <v>901</v>
      </c>
      <c r="E226" s="540"/>
      <c r="F226" s="100">
        <f>+J226</f>
        <v>0</v>
      </c>
      <c r="G226" s="356"/>
      <c r="H226" s="356"/>
      <c r="I226" s="100"/>
      <c r="J226" s="356">
        <f>SUMIF(data!$D:$D,$B226&amp;$D226,data!$K:$K)</f>
        <v>0</v>
      </c>
      <c r="K226" s="356">
        <f>SUMIF(AJOUT!$A:$A,BRAN!$V:$V,AJOUT!$L:$L)</f>
        <v>0</v>
      </c>
      <c r="L226" s="356"/>
      <c r="M226" s="540"/>
      <c r="N226" s="356"/>
      <c r="O226" s="357">
        <f>SUM(X226:BB226)</f>
        <v>0</v>
      </c>
      <c r="P226" s="355"/>
      <c r="Q226" s="355"/>
      <c r="R226" s="350">
        <f>O226/INTGRATE!$N$293</f>
        <v>0</v>
      </c>
      <c r="S226" s="349">
        <f>IF(R226=0,0,N226/R226)</f>
        <v>0</v>
      </c>
      <c r="T226" s="472"/>
      <c r="U226" s="145"/>
      <c r="V226" s="960" t="str">
        <f t="shared" si="92"/>
        <v>GT12Bsilo</v>
      </c>
      <c r="W226" s="943" t="s">
        <v>881</v>
      </c>
      <c r="X226" s="456"/>
      <c r="Y226" s="456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0</v>
      </c>
      <c r="AG226" s="356"/>
      <c r="AH226" s="100">
        <v>0</v>
      </c>
      <c r="AI226" s="100">
        <v>0</v>
      </c>
      <c r="AJ226" s="100">
        <v>0</v>
      </c>
      <c r="AK226" s="356">
        <v>0</v>
      </c>
      <c r="AL226" s="100">
        <v>0</v>
      </c>
      <c r="AM226" s="100">
        <v>0</v>
      </c>
      <c r="AN226" s="100"/>
      <c r="AO226" s="100"/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86"/>
        <v>0</v>
      </c>
      <c r="BD226" s="896">
        <f t="shared" si="87"/>
        <v>0</v>
      </c>
      <c r="BE226" s="896">
        <f t="shared" si="88"/>
        <v>0</v>
      </c>
      <c r="BH226" s="505"/>
    </row>
    <row r="227" spans="1:60" s="38" customFormat="1" ht="15" customHeight="1">
      <c r="A227" s="68">
        <v>20</v>
      </c>
      <c r="B227" s="695" t="s">
        <v>1960</v>
      </c>
      <c r="C227" s="695" t="s">
        <v>40</v>
      </c>
      <c r="D227" s="696">
        <v>25</v>
      </c>
      <c r="E227" s="540">
        <v>6</v>
      </c>
      <c r="F227" s="100">
        <f>SUMIF(pro!$A:$A,$V:$V,pro!$N:$N)</f>
        <v>0</v>
      </c>
      <c r="G227" s="356"/>
      <c r="H227" s="356">
        <f>SUMIF(CBIN!$A:$A,BRAN!$V:$V,CBIN!$G:$G)</f>
        <v>0</v>
      </c>
      <c r="I227" s="100">
        <f>SUMIF(data!$D:$D,$B227&amp;$D227,data!$J:$J)</f>
        <v>0</v>
      </c>
      <c r="J227" s="356">
        <f>SUMIF(data!$D:$D,$B227&amp;$D227,data!$K:$K)</f>
        <v>0</v>
      </c>
      <c r="K227" s="356">
        <f>SUMIF(AJOUT!$A:$A,BRAN!$V:$V,AJOUT!$L:$L)</f>
        <v>0</v>
      </c>
      <c r="L227" s="356">
        <f>SUMIF(CBOUT!$A:$A,BRAN!$V:$V,CBOUT!$G:$G)</f>
        <v>0</v>
      </c>
      <c r="M227" s="540">
        <f>E227+F227+H227-I227-L227+G227-K227</f>
        <v>6</v>
      </c>
      <c r="N227" s="356">
        <f t="shared" si="90"/>
        <v>150</v>
      </c>
      <c r="O227" s="357">
        <f>SUM(X227:BB227)</f>
        <v>30925</v>
      </c>
      <c r="P227" s="355"/>
      <c r="Q227" s="355"/>
      <c r="R227" s="350">
        <f>O227/INTGRATE!$N$293</f>
        <v>2061.6666666666665</v>
      </c>
      <c r="S227" s="349">
        <f>IF(R227=0,0,N227/R227)</f>
        <v>7.2756669361358134E-2</v>
      </c>
      <c r="T227" s="472"/>
      <c r="U227" s="145"/>
      <c r="V227" s="960" t="str">
        <f t="shared" si="92"/>
        <v>GT12BS25</v>
      </c>
      <c r="W227" s="943" t="s">
        <v>1961</v>
      </c>
      <c r="X227" s="456"/>
      <c r="Y227" s="456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15925</v>
      </c>
      <c r="AG227" s="356"/>
      <c r="AH227" s="100">
        <v>0</v>
      </c>
      <c r="AI227" s="100">
        <v>15000</v>
      </c>
      <c r="AJ227" s="100">
        <v>0</v>
      </c>
      <c r="AK227" s="356">
        <v>0</v>
      </c>
      <c r="AL227" s="100">
        <v>0</v>
      </c>
      <c r="AM227" s="100">
        <v>0</v>
      </c>
      <c r="AN227" s="100"/>
      <c r="AO227" s="100"/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86"/>
        <v>30925</v>
      </c>
      <c r="BD227" s="896">
        <f t="shared" si="87"/>
        <v>2</v>
      </c>
      <c r="BE227" s="896">
        <f t="shared" si="88"/>
        <v>15462.5</v>
      </c>
      <c r="BH227" s="505"/>
    </row>
    <row r="228" spans="1:60" s="38" customFormat="1" ht="15" customHeight="1">
      <c r="A228" s="68">
        <v>21</v>
      </c>
      <c r="B228" s="695" t="s">
        <v>2618</v>
      </c>
      <c r="C228" s="695" t="s">
        <v>40</v>
      </c>
      <c r="D228" s="696">
        <v>25</v>
      </c>
      <c r="E228" s="540">
        <v>0</v>
      </c>
      <c r="F228" s="100">
        <f>SUMIF(pro!$A:$A,$V:$V,pro!$N:$N)</f>
        <v>0</v>
      </c>
      <c r="G228" s="356"/>
      <c r="H228" s="356">
        <f>SUMIF(CBIN!$A:$A,BRAN!$V:$V,CBIN!$G:$G)</f>
        <v>0</v>
      </c>
      <c r="I228" s="100">
        <f>SUMIF(data!$D:$D,$B228&amp;$D228,data!$J:$J)</f>
        <v>0</v>
      </c>
      <c r="J228" s="356">
        <f>SUMIF(data!$D:$D,$B228&amp;$D228,data!$K:$K)</f>
        <v>0</v>
      </c>
      <c r="K228" s="356">
        <f>SUMIF(AJOUT!$A:$A,BRAN!$V:$V,AJOUT!$L:$L)</f>
        <v>0</v>
      </c>
      <c r="L228" s="356">
        <f>SUMIF(CBOUT!$A:$A,BRAN!$V:$V,CBOUT!$G:$G)</f>
        <v>0</v>
      </c>
      <c r="M228" s="540">
        <f>E228+F228+H228-I228-L228+G228-K228</f>
        <v>0</v>
      </c>
      <c r="N228" s="356">
        <f t="shared" si="90"/>
        <v>0</v>
      </c>
      <c r="O228" s="357">
        <f>SUM(X228:BB228)</f>
        <v>0</v>
      </c>
      <c r="P228" s="355"/>
      <c r="Q228" s="355"/>
      <c r="R228" s="350">
        <f>O228/INTGRATE!$N$293</f>
        <v>0</v>
      </c>
      <c r="S228" s="349">
        <f>IF(R228=0,0,N228/R228)</f>
        <v>0</v>
      </c>
      <c r="T228" s="472"/>
      <c r="U228" s="145"/>
      <c r="V228" s="960" t="str">
        <f t="shared" si="92"/>
        <v>GT12BSP25</v>
      </c>
      <c r="W228" s="943" t="s">
        <v>2619</v>
      </c>
      <c r="X228" s="456"/>
      <c r="Y228" s="456">
        <v>0</v>
      </c>
      <c r="Z228" s="100">
        <v>0</v>
      </c>
      <c r="AA228" s="100">
        <v>0</v>
      </c>
      <c r="AB228" s="100">
        <v>0</v>
      </c>
      <c r="AC228" s="100">
        <v>0</v>
      </c>
      <c r="AD228" s="100">
        <v>0</v>
      </c>
      <c r="AE228" s="100">
        <v>0</v>
      </c>
      <c r="AF228" s="100">
        <v>0</v>
      </c>
      <c r="AG228" s="356"/>
      <c r="AH228" s="100">
        <v>0</v>
      </c>
      <c r="AI228" s="100">
        <v>0</v>
      </c>
      <c r="AJ228" s="100">
        <v>0</v>
      </c>
      <c r="AK228" s="356">
        <v>0</v>
      </c>
      <c r="AL228" s="100">
        <v>0</v>
      </c>
      <c r="AM228" s="100">
        <v>0</v>
      </c>
      <c r="AN228" s="100"/>
      <c r="AO228" s="100"/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86"/>
        <v>0</v>
      </c>
      <c r="BD228" s="896">
        <f t="shared" si="87"/>
        <v>0</v>
      </c>
      <c r="BE228" s="896">
        <f t="shared" si="88"/>
        <v>0</v>
      </c>
      <c r="BH228" s="505"/>
    </row>
    <row r="229" spans="1:60" s="38" customFormat="1" ht="15" customHeight="1">
      <c r="A229" s="68">
        <v>22</v>
      </c>
      <c r="B229" s="695" t="s">
        <v>1443</v>
      </c>
      <c r="C229" s="695" t="s">
        <v>1504</v>
      </c>
      <c r="D229" s="696" t="s">
        <v>901</v>
      </c>
      <c r="E229" s="540">
        <v>0</v>
      </c>
      <c r="F229" s="100">
        <f>+J229</f>
        <v>0</v>
      </c>
      <c r="G229" s="356"/>
      <c r="H229" s="356"/>
      <c r="I229" s="100"/>
      <c r="J229" s="356">
        <f>SUMIF(data!$D:$D,$B229&amp;$D229,data!$K:$K)</f>
        <v>0</v>
      </c>
      <c r="K229" s="356">
        <f>SUMIF(AJOUT!$A:$A,BRAN!$V:$V,AJOUT!$L:$L)</f>
        <v>0</v>
      </c>
      <c r="L229" s="356"/>
      <c r="M229" s="540">
        <v>0</v>
      </c>
      <c r="N229" s="356"/>
      <c r="O229" s="357">
        <f>SUM(X229:BB229)</f>
        <v>26970</v>
      </c>
      <c r="P229" s="355"/>
      <c r="Q229" s="355"/>
      <c r="R229" s="350">
        <f>O229/INTGRATE!$N$293</f>
        <v>1798</v>
      </c>
      <c r="S229" s="349">
        <f>IF(R229=0,0,N229/R229)</f>
        <v>0</v>
      </c>
      <c r="T229" s="472"/>
      <c r="U229" s="145"/>
      <c r="V229" s="960" t="str">
        <f t="shared" si="92"/>
        <v>GT12Asilo</v>
      </c>
      <c r="W229" s="943">
        <v>113601</v>
      </c>
      <c r="X229" s="456"/>
      <c r="Y229" s="456">
        <v>0</v>
      </c>
      <c r="Z229" s="100">
        <v>0</v>
      </c>
      <c r="AA229" s="100">
        <v>13940</v>
      </c>
      <c r="AB229" s="100">
        <v>13030</v>
      </c>
      <c r="AC229" s="100">
        <v>0</v>
      </c>
      <c r="AD229" s="100">
        <v>0</v>
      </c>
      <c r="AE229" s="100">
        <v>0</v>
      </c>
      <c r="AF229" s="100">
        <v>0</v>
      </c>
      <c r="AG229" s="356"/>
      <c r="AH229" s="100">
        <v>0</v>
      </c>
      <c r="AI229" s="100">
        <v>0</v>
      </c>
      <c r="AJ229" s="100">
        <v>0</v>
      </c>
      <c r="AK229" s="356">
        <v>0</v>
      </c>
      <c r="AL229" s="100">
        <v>0</v>
      </c>
      <c r="AM229" s="100">
        <v>0</v>
      </c>
      <c r="AN229" s="100"/>
      <c r="AO229" s="100"/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86"/>
        <v>26970</v>
      </c>
      <c r="BD229" s="896">
        <f t="shared" si="87"/>
        <v>2</v>
      </c>
      <c r="BE229" s="896">
        <f t="shared" si="88"/>
        <v>13485</v>
      </c>
      <c r="BH229" s="505"/>
    </row>
    <row r="230" spans="1:60" s="38" customFormat="1" ht="15" customHeight="1">
      <c r="A230" s="68">
        <v>23</v>
      </c>
      <c r="B230" s="695" t="s">
        <v>1443</v>
      </c>
      <c r="C230" s="695" t="s">
        <v>1504</v>
      </c>
      <c r="D230" s="696">
        <v>25</v>
      </c>
      <c r="E230" s="540">
        <v>0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 t="shared" si="93"/>
        <v>0</v>
      </c>
      <c r="N230" s="356">
        <f t="shared" si="90"/>
        <v>0</v>
      </c>
      <c r="O230" s="357">
        <f t="shared" si="80"/>
        <v>2950</v>
      </c>
      <c r="P230" s="355"/>
      <c r="Q230" s="355"/>
      <c r="R230" s="350">
        <f>O230/INTGRATE!$N$293</f>
        <v>196.66666666666666</v>
      </c>
      <c r="S230" s="349">
        <f t="shared" si="91"/>
        <v>0</v>
      </c>
      <c r="T230" s="472"/>
      <c r="U230" s="145"/>
      <c r="V230" s="960" t="str">
        <f t="shared" si="92"/>
        <v>GT12A25</v>
      </c>
      <c r="W230" s="943">
        <v>113601</v>
      </c>
      <c r="X230" s="456"/>
      <c r="Y230" s="456">
        <v>0</v>
      </c>
      <c r="Z230" s="100">
        <v>0</v>
      </c>
      <c r="AA230" s="100">
        <v>0</v>
      </c>
      <c r="AB230" s="100">
        <v>2950</v>
      </c>
      <c r="AC230" s="100">
        <v>0</v>
      </c>
      <c r="AD230" s="100">
        <v>0</v>
      </c>
      <c r="AE230" s="100">
        <v>0</v>
      </c>
      <c r="AF230" s="100">
        <v>0</v>
      </c>
      <c r="AG230" s="356"/>
      <c r="AH230" s="100">
        <v>0</v>
      </c>
      <c r="AI230" s="100">
        <v>0</v>
      </c>
      <c r="AJ230" s="100">
        <v>0</v>
      </c>
      <c r="AK230" s="356">
        <v>0</v>
      </c>
      <c r="AL230" s="100">
        <v>0</v>
      </c>
      <c r="AM230" s="100">
        <v>0</v>
      </c>
      <c r="AN230" s="100"/>
      <c r="AO230" s="100"/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86"/>
        <v>2950</v>
      </c>
      <c r="BD230" s="896">
        <f t="shared" si="87"/>
        <v>1</v>
      </c>
      <c r="BE230" s="896">
        <f t="shared" si="88"/>
        <v>2950</v>
      </c>
      <c r="BH230" s="505"/>
    </row>
    <row r="231" spans="1:60" s="38" customFormat="1" ht="15" customHeight="1">
      <c r="A231" s="68">
        <v>24</v>
      </c>
      <c r="B231" s="695" t="s">
        <v>1912</v>
      </c>
      <c r="C231" s="902" t="s">
        <v>1550</v>
      </c>
      <c r="D231" s="696">
        <v>25</v>
      </c>
      <c r="E231" s="540">
        <v>0</v>
      </c>
      <c r="F231" s="100">
        <f>SUMIF(pro!$A:$A,$V:$V,pro!$N:$N)</f>
        <v>0</v>
      </c>
      <c r="G231" s="356"/>
      <c r="H231" s="356">
        <f>SUMIF(CBIN!$A:$A,BRAN!$V:$V,CBIN!$G:$G)</f>
        <v>0</v>
      </c>
      <c r="I231" s="100">
        <f>SUMIF(data!$D:$D,$B231&amp;$D231,data!$J:$J)</f>
        <v>0</v>
      </c>
      <c r="J231" s="356">
        <f>SUMIF(data!$D:$D,$B231&amp;$D231,data!$K:$K)</f>
        <v>0</v>
      </c>
      <c r="K231" s="356">
        <f>SUMIF(AJOUT!$A:$A,BRAN!$V:$V,AJOUT!$L:$L)</f>
        <v>0</v>
      </c>
      <c r="L231" s="356">
        <f>SUMIF(CBOUT!$A:$A,BRAN!$V:$V,CBOUT!$G:$G)</f>
        <v>0</v>
      </c>
      <c r="M231" s="540">
        <f t="shared" si="93"/>
        <v>0</v>
      </c>
      <c r="N231" s="356">
        <f t="shared" si="90"/>
        <v>0</v>
      </c>
      <c r="O231" s="357">
        <f t="shared" si="80"/>
        <v>0</v>
      </c>
      <c r="P231" s="355"/>
      <c r="Q231" s="355"/>
      <c r="R231" s="350">
        <f>O231/INTGRATE!$N$293</f>
        <v>0</v>
      </c>
      <c r="S231" s="349">
        <f t="shared" si="91"/>
        <v>0</v>
      </c>
      <c r="T231" s="472"/>
      <c r="U231" s="145"/>
      <c r="V231" s="960" t="str">
        <f t="shared" si="92"/>
        <v>GT12S25</v>
      </c>
      <c r="W231" s="943">
        <v>113301</v>
      </c>
      <c r="X231" s="456"/>
      <c r="Y231" s="456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>
        <v>0</v>
      </c>
      <c r="AG231" s="356"/>
      <c r="AH231" s="100">
        <v>0</v>
      </c>
      <c r="AI231" s="100">
        <v>0</v>
      </c>
      <c r="AJ231" s="100">
        <v>0</v>
      </c>
      <c r="AK231" s="356">
        <v>0</v>
      </c>
      <c r="AL231" s="100">
        <v>0</v>
      </c>
      <c r="AM231" s="100">
        <v>0</v>
      </c>
      <c r="AN231" s="100"/>
      <c r="AO231" s="100"/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86"/>
        <v>0</v>
      </c>
      <c r="BD231" s="896">
        <f t="shared" si="87"/>
        <v>0</v>
      </c>
      <c r="BE231" s="896">
        <f t="shared" si="88"/>
        <v>0</v>
      </c>
      <c r="BH231" s="505"/>
    </row>
    <row r="232" spans="1:60" s="38" customFormat="1" ht="15" customHeight="1">
      <c r="A232" s="68">
        <v>25</v>
      </c>
      <c r="B232" s="695" t="s">
        <v>1899</v>
      </c>
      <c r="C232" s="695" t="s">
        <v>40</v>
      </c>
      <c r="D232" s="696">
        <v>25</v>
      </c>
      <c r="E232" s="540">
        <v>1</v>
      </c>
      <c r="F232" s="100">
        <f>SUMIF(pro!$A:$A,$V:$V,pro!$N:$N)</f>
        <v>0</v>
      </c>
      <c r="G232" s="356"/>
      <c r="H232" s="356">
        <f>SUMIF(CBIN!$A:$A,BRAN!$V:$V,CBIN!$G:$G)</f>
        <v>0</v>
      </c>
      <c r="I232" s="100">
        <f>SUMIF(data!$D:$D,$B232&amp;$D232,data!$J:$J)</f>
        <v>0</v>
      </c>
      <c r="J232" s="356">
        <f>SUMIF(data!$D:$D,$B232&amp;$D232,data!$K:$K)</f>
        <v>0</v>
      </c>
      <c r="K232" s="356">
        <f>SUMIF(AJOUT!$A:$A,BRAN!$V:$V,AJOUT!$L:$L)</f>
        <v>0</v>
      </c>
      <c r="L232" s="356">
        <f>SUMIF(CBOUT!$A:$A,BRAN!$V:$V,CBOUT!$G:$G)</f>
        <v>0</v>
      </c>
      <c r="M232" s="540">
        <f>E232+F232+H232-I232-L232+G232-K232</f>
        <v>1</v>
      </c>
      <c r="N232" s="356">
        <f t="shared" si="90"/>
        <v>25</v>
      </c>
      <c r="O232" s="357">
        <f>SUM(X232:BB232)</f>
        <v>5900</v>
      </c>
      <c r="P232" s="355"/>
      <c r="Q232" s="355"/>
      <c r="R232" s="350">
        <f>O232/INTGRATE!$N$293</f>
        <v>393.33333333333331</v>
      </c>
      <c r="S232" s="349">
        <f>IF(R232=0,0,N232/R232)</f>
        <v>6.3559322033898302E-2</v>
      </c>
      <c r="T232" s="472"/>
      <c r="U232" s="145"/>
      <c r="V232" s="960" t="str">
        <f t="shared" si="92"/>
        <v>GT12AS25</v>
      </c>
      <c r="W232" s="943">
        <v>113301</v>
      </c>
      <c r="X232" s="456"/>
      <c r="Y232" s="456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3450</v>
      </c>
      <c r="AF232" s="100">
        <v>0</v>
      </c>
      <c r="AG232" s="356"/>
      <c r="AH232" s="100">
        <v>0</v>
      </c>
      <c r="AI232" s="100">
        <v>0</v>
      </c>
      <c r="AJ232" s="100">
        <v>0</v>
      </c>
      <c r="AK232" s="356">
        <v>2450</v>
      </c>
      <c r="AL232" s="100">
        <v>0</v>
      </c>
      <c r="AM232" s="100">
        <v>0</v>
      </c>
      <c r="AN232" s="100"/>
      <c r="AO232" s="100"/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86"/>
        <v>5900</v>
      </c>
      <c r="BD232" s="896">
        <f t="shared" si="87"/>
        <v>2</v>
      </c>
      <c r="BE232" s="896">
        <f t="shared" si="88"/>
        <v>2950</v>
      </c>
      <c r="BH232" s="505"/>
    </row>
    <row r="233" spans="1:60" s="38" customFormat="1" ht="15" customHeight="1">
      <c r="A233" s="68">
        <v>26</v>
      </c>
      <c r="B233" s="695" t="s">
        <v>1899</v>
      </c>
      <c r="C233" s="695" t="s">
        <v>40</v>
      </c>
      <c r="D233" s="696" t="s">
        <v>81</v>
      </c>
      <c r="E233" s="540"/>
      <c r="F233" s="100">
        <f>+J233</f>
        <v>0</v>
      </c>
      <c r="G233" s="356"/>
      <c r="H233" s="356"/>
      <c r="I233" s="100">
        <f>SUMIF(data!$D:$D,$B233&amp;$D233,data!$J:$J)</f>
        <v>0</v>
      </c>
      <c r="J233" s="356">
        <f>SUMIF(data!$D:$D,$B233&amp;$D233,data!$K:$K)</f>
        <v>0</v>
      </c>
      <c r="K233" s="356"/>
      <c r="L233" s="356"/>
      <c r="M233" s="540"/>
      <c r="N233" s="356"/>
      <c r="O233" s="357">
        <f>SUM(X233:BB233)</f>
        <v>0</v>
      </c>
      <c r="P233" s="925" t="s">
        <v>2488</v>
      </c>
      <c r="Q233" s="355"/>
      <c r="R233" s="350">
        <f>O233/INTGRATE!$N$293</f>
        <v>0</v>
      </c>
      <c r="S233" s="349">
        <f>IF(R233=0,0,N233/R233)</f>
        <v>0</v>
      </c>
      <c r="T233" s="472"/>
      <c r="U233" s="145"/>
      <c r="V233" s="960" t="str">
        <f t="shared" si="92"/>
        <v>GT12ASSILO</v>
      </c>
      <c r="W233" s="943">
        <v>113301</v>
      </c>
      <c r="X233" s="456"/>
      <c r="Y233" s="456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356"/>
      <c r="AH233" s="100">
        <v>0</v>
      </c>
      <c r="AI233" s="100">
        <v>0</v>
      </c>
      <c r="AJ233" s="100">
        <v>0</v>
      </c>
      <c r="AK233" s="356">
        <v>0</v>
      </c>
      <c r="AL233" s="100">
        <v>0</v>
      </c>
      <c r="AM233" s="100">
        <v>0</v>
      </c>
      <c r="AN233" s="100"/>
      <c r="AO233" s="100"/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86"/>
        <v>0</v>
      </c>
      <c r="BD233" s="896">
        <f t="shared" si="87"/>
        <v>0</v>
      </c>
      <c r="BE233" s="896">
        <f t="shared" si="88"/>
        <v>0</v>
      </c>
      <c r="BH233" s="505"/>
    </row>
    <row r="234" spans="1:60" s="38" customFormat="1" ht="15" customHeight="1">
      <c r="A234" s="68">
        <v>27</v>
      </c>
      <c r="B234" s="163" t="s">
        <v>1252</v>
      </c>
      <c r="C234" s="163" t="s">
        <v>39</v>
      </c>
      <c r="D234" s="164">
        <v>25</v>
      </c>
      <c r="E234" s="540">
        <v>0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 t="shared" si="93"/>
        <v>0</v>
      </c>
      <c r="N234" s="356">
        <f t="shared" si="90"/>
        <v>0</v>
      </c>
      <c r="O234" s="357">
        <f t="shared" si="80"/>
        <v>0</v>
      </c>
      <c r="P234" s="359">
        <f>+N219+N252+N253+N254+N256+N260+N261+N262+N263+N220+N255</f>
        <v>325</v>
      </c>
      <c r="Q234" s="359">
        <f>+O219+O252+O253+O254+O256+O260+O261+O262+O263+O220+O255</f>
        <v>234685</v>
      </c>
      <c r="R234" s="350">
        <f>O234/INTGRATE!$N$293</f>
        <v>0</v>
      </c>
      <c r="S234" s="349">
        <f>IF(R234=0,0,N234/R234)</f>
        <v>0</v>
      </c>
      <c r="T234" s="472"/>
      <c r="U234" s="145"/>
      <c r="V234" s="960" t="str">
        <f t="shared" ref="V234:V281" si="94">B234&amp;D234</f>
        <v>CD0225</v>
      </c>
      <c r="W234" s="943">
        <v>546000</v>
      </c>
      <c r="X234" s="456"/>
      <c r="Y234" s="456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0</v>
      </c>
      <c r="AE234" s="100">
        <v>0</v>
      </c>
      <c r="AF234" s="100">
        <v>0</v>
      </c>
      <c r="AG234" s="356"/>
      <c r="AH234" s="100">
        <v>0</v>
      </c>
      <c r="AI234" s="100">
        <v>0</v>
      </c>
      <c r="AJ234" s="100">
        <v>0</v>
      </c>
      <c r="AK234" s="356">
        <v>0</v>
      </c>
      <c r="AL234" s="100">
        <v>0</v>
      </c>
      <c r="AM234" s="100">
        <v>0</v>
      </c>
      <c r="AN234" s="100"/>
      <c r="AO234" s="100"/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86"/>
        <v>0</v>
      </c>
      <c r="BD234" s="896">
        <f t="shared" si="87"/>
        <v>0</v>
      </c>
      <c r="BE234" s="896">
        <f t="shared" si="88"/>
        <v>0</v>
      </c>
      <c r="BH234" s="505"/>
    </row>
    <row r="235" spans="1:60" s="38" customFormat="1" ht="15" customHeight="1">
      <c r="A235" s="68">
        <v>28</v>
      </c>
      <c r="B235" s="428" t="s">
        <v>2492</v>
      </c>
      <c r="C235" s="851" t="s">
        <v>39</v>
      </c>
      <c r="D235" s="852">
        <v>25</v>
      </c>
      <c r="E235" s="540">
        <v>352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269</v>
      </c>
      <c r="J235" s="356">
        <f>SUMIF(data!$D:$D,$B235&amp;$D235,data!$K:$K)</f>
        <v>6725</v>
      </c>
      <c r="K235" s="356">
        <f>SUMIF(AJOUT!$A:$A,BRAN!$V:$V,AJOUT!$L:$L)</f>
        <v>0</v>
      </c>
      <c r="L235" s="356">
        <f>SUMIF(CBOUT!$A:$A,BRAN!$V:$V,CBOUT!$G:$G)</f>
        <v>0</v>
      </c>
      <c r="M235" s="540">
        <f t="shared" si="93"/>
        <v>83</v>
      </c>
      <c r="N235" s="356">
        <f t="shared" si="90"/>
        <v>2075</v>
      </c>
      <c r="O235" s="357">
        <f t="shared" si="80"/>
        <v>17600</v>
      </c>
      <c r="P235" s="355">
        <f>+N231+N210+N212+N213+N216+N221+N222+N217</f>
        <v>93300</v>
      </c>
      <c r="Q235" s="355">
        <f>+O231+O210+O212+O213+O216+O221+O222+O217</f>
        <v>181525</v>
      </c>
      <c r="R235" s="350">
        <f>O235/INTGRATE!$N$293</f>
        <v>1173.3333333333333</v>
      </c>
      <c r="S235" s="349">
        <f t="shared" si="91"/>
        <v>1.7684659090909092</v>
      </c>
      <c r="T235" s="472"/>
      <c r="U235" s="145"/>
      <c r="V235" s="960" t="str">
        <f t="shared" si="94"/>
        <v>BS045A25</v>
      </c>
      <c r="W235" s="943">
        <v>433060</v>
      </c>
      <c r="X235" s="456"/>
      <c r="Y235" s="456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1350</v>
      </c>
      <c r="AE235" s="100">
        <v>750</v>
      </c>
      <c r="AF235" s="100">
        <v>6675</v>
      </c>
      <c r="AG235" s="356"/>
      <c r="AH235" s="100">
        <v>0</v>
      </c>
      <c r="AI235" s="100">
        <v>0</v>
      </c>
      <c r="AJ235" s="100">
        <v>0</v>
      </c>
      <c r="AK235" s="356">
        <v>1425</v>
      </c>
      <c r="AL235" s="100">
        <v>675</v>
      </c>
      <c r="AM235" s="100">
        <v>6725</v>
      </c>
      <c r="AN235" s="100"/>
      <c r="AO235" s="100"/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86"/>
        <v>17600</v>
      </c>
      <c r="BD235" s="896">
        <f t="shared" si="87"/>
        <v>6</v>
      </c>
      <c r="BE235" s="896">
        <f t="shared" si="88"/>
        <v>2933.3333333333335</v>
      </c>
      <c r="BH235" s="505"/>
    </row>
    <row r="236" spans="1:60" s="38" customFormat="1" ht="14.25" customHeight="1">
      <c r="A236" s="68">
        <v>29</v>
      </c>
      <c r="B236" s="428" t="s">
        <v>2491</v>
      </c>
      <c r="C236" s="851" t="s">
        <v>39</v>
      </c>
      <c r="D236" s="852">
        <v>25</v>
      </c>
      <c r="E236" s="540">
        <v>165</v>
      </c>
      <c r="F236" s="100">
        <f>SUMIF(pro!$A:$A,$V:$V,pro!$N:$N)</f>
        <v>688</v>
      </c>
      <c r="G236" s="356"/>
      <c r="H236" s="356">
        <f>SUMIF(CBIN!$A:$A,BRAN!$V:$V,CBIN!$G:$G)</f>
        <v>0</v>
      </c>
      <c r="I236" s="100">
        <f>SUMIF(data!$D:$D,$B236&amp;$D236,data!$J:$J)</f>
        <v>73</v>
      </c>
      <c r="J236" s="356">
        <f>SUMIF(data!$D:$D,$B236&amp;$D236,data!$K:$K)</f>
        <v>1825</v>
      </c>
      <c r="K236" s="356">
        <f>SUMIF(AJOUT!$A:$A,BRAN!$V:$V,AJOUT!$L:$L)</f>
        <v>0</v>
      </c>
      <c r="L236" s="356">
        <f>SUMIF(CBOUT!$A:$A,BRAN!$V:$V,CBOUT!$G:$G)</f>
        <v>0</v>
      </c>
      <c r="M236" s="540">
        <f>E236+F236+H236-I236-L236+G236-K236</f>
        <v>780</v>
      </c>
      <c r="N236" s="356">
        <f t="shared" si="90"/>
        <v>19500</v>
      </c>
      <c r="O236" s="357">
        <f t="shared" ref="O236:O238" si="95">SUM(X236:BB236)</f>
        <v>25000</v>
      </c>
      <c r="P236" s="925" t="s">
        <v>1856</v>
      </c>
      <c r="Q236" s="355"/>
      <c r="R236" s="350">
        <f>O236/INTGRATE!$N$293</f>
        <v>1666.6666666666667</v>
      </c>
      <c r="S236" s="349">
        <f t="shared" ref="S236:S238" si="96">IF(R236=0,0,N236/R236)</f>
        <v>11.7</v>
      </c>
      <c r="T236" s="472"/>
      <c r="U236" s="145"/>
      <c r="V236" s="960" t="str">
        <f t="shared" si="94"/>
        <v>BS04A5A25</v>
      </c>
      <c r="W236" s="943">
        <v>433760</v>
      </c>
      <c r="X236" s="456"/>
      <c r="Y236" s="456">
        <v>0</v>
      </c>
      <c r="Z236" s="100">
        <v>0</v>
      </c>
      <c r="AA236" s="100">
        <v>0</v>
      </c>
      <c r="AB236" s="100">
        <v>0</v>
      </c>
      <c r="AC236" s="100">
        <v>3900</v>
      </c>
      <c r="AD236" s="100">
        <v>2750</v>
      </c>
      <c r="AE236" s="100">
        <v>4525</v>
      </c>
      <c r="AF236" s="100">
        <v>1800</v>
      </c>
      <c r="AG236" s="356"/>
      <c r="AH236" s="100">
        <v>0</v>
      </c>
      <c r="AI236" s="100">
        <v>0</v>
      </c>
      <c r="AJ236" s="100">
        <v>3775</v>
      </c>
      <c r="AK236" s="356">
        <v>1925</v>
      </c>
      <c r="AL236" s="100">
        <v>4500</v>
      </c>
      <c r="AM236" s="100">
        <v>1825</v>
      </c>
      <c r="AN236" s="100"/>
      <c r="AO236" s="100"/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86"/>
        <v>25000</v>
      </c>
      <c r="BD236" s="896">
        <f t="shared" si="87"/>
        <v>8</v>
      </c>
      <c r="BE236" s="896">
        <f t="shared" si="88"/>
        <v>3125</v>
      </c>
      <c r="BH236" s="505"/>
    </row>
    <row r="237" spans="1:60" s="38" customFormat="1" ht="15" customHeight="1">
      <c r="A237" s="68">
        <v>30</v>
      </c>
      <c r="B237" s="428" t="s">
        <v>1967</v>
      </c>
      <c r="C237" s="851" t="s">
        <v>39</v>
      </c>
      <c r="D237" s="852">
        <v>25</v>
      </c>
      <c r="E237" s="540">
        <v>0</v>
      </c>
      <c r="F237" s="100">
        <f>SUMIF(pro!$A:$A,$V:$V,pro!$N:$N)</f>
        <v>0</v>
      </c>
      <c r="G237" s="356"/>
      <c r="H237" s="356">
        <f>SUMIF(CBIN!$A:$A,BRAN!$V:$V,CBIN!$G:$G)</f>
        <v>0</v>
      </c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>
        <f>SUMIF(CBOUT!$A:$A,BRAN!$V:$V,CBOUT!$G:$G)</f>
        <v>0</v>
      </c>
      <c r="M237" s="540">
        <f>E237+F237+H237-I237-L237+G237-K237</f>
        <v>0</v>
      </c>
      <c r="N237" s="356">
        <f t="shared" si="90"/>
        <v>0</v>
      </c>
      <c r="O237" s="357">
        <f t="shared" si="95"/>
        <v>0</v>
      </c>
      <c r="P237" s="355"/>
      <c r="Q237" s="355"/>
      <c r="R237" s="350">
        <f>O237/INTGRATE!$N$293</f>
        <v>0</v>
      </c>
      <c r="S237" s="349">
        <f t="shared" si="96"/>
        <v>0</v>
      </c>
      <c r="T237" s="472"/>
      <c r="U237" s="145"/>
      <c r="V237" s="960" t="str">
        <f>B237&amp;D237</f>
        <v>BS04V25</v>
      </c>
      <c r="W237" s="943">
        <v>433769</v>
      </c>
      <c r="X237" s="456"/>
      <c r="Y237" s="456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356"/>
      <c r="AH237" s="100">
        <v>0</v>
      </c>
      <c r="AI237" s="100">
        <v>0</v>
      </c>
      <c r="AJ237" s="100">
        <v>0</v>
      </c>
      <c r="AK237" s="356">
        <v>0</v>
      </c>
      <c r="AL237" s="100">
        <v>0</v>
      </c>
      <c r="AM237" s="100">
        <v>0</v>
      </c>
      <c r="AN237" s="100"/>
      <c r="AO237" s="100"/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si="86"/>
        <v>0</v>
      </c>
      <c r="BD237" s="896">
        <f t="shared" si="87"/>
        <v>0</v>
      </c>
      <c r="BE237" s="896">
        <f t="shared" si="88"/>
        <v>0</v>
      </c>
      <c r="BH237" s="505"/>
    </row>
    <row r="238" spans="1:60" s="38" customFormat="1" ht="15" customHeight="1">
      <c r="A238" s="68">
        <v>31</v>
      </c>
      <c r="B238" s="428" t="s">
        <v>1967</v>
      </c>
      <c r="C238" s="851" t="s">
        <v>39</v>
      </c>
      <c r="D238" s="852">
        <v>40</v>
      </c>
      <c r="E238" s="540">
        <v>0</v>
      </c>
      <c r="F238" s="100">
        <f>SUMIF(pro!$A:$A,$V:$V,pro!$N:$N)</f>
        <v>0</v>
      </c>
      <c r="G238" s="356"/>
      <c r="H238" s="356">
        <f>SUMIF(CBIN!$A:$A,BRAN!$V:$V,CBIN!$G:$G)</f>
        <v>0</v>
      </c>
      <c r="I238" s="100">
        <f>SUMIF(data!$D:$D,$B238&amp;$D238,data!$J:$J)</f>
        <v>0</v>
      </c>
      <c r="J238" s="356">
        <f>SUMIF(data!$D:$D,$B238&amp;$D238,data!$K:$K)</f>
        <v>0</v>
      </c>
      <c r="K238" s="356">
        <v>0</v>
      </c>
      <c r="L238" s="356">
        <f>SUMIF(CBOUT!$A:$A,BRAN!$V:$V,CBOUT!$G:$G)</f>
        <v>0</v>
      </c>
      <c r="M238" s="540">
        <f>E238+F238+H238-I238-L238+G238-K238</f>
        <v>0</v>
      </c>
      <c r="N238" s="356">
        <f t="shared" si="90"/>
        <v>0</v>
      </c>
      <c r="O238" s="357">
        <f t="shared" si="95"/>
        <v>0</v>
      </c>
      <c r="P238" s="355"/>
      <c r="Q238" s="355"/>
      <c r="R238" s="350">
        <f>O238/INTGRATE!$N$293</f>
        <v>0</v>
      </c>
      <c r="S238" s="349">
        <f t="shared" si="96"/>
        <v>0</v>
      </c>
      <c r="T238" s="472"/>
      <c r="U238" s="145"/>
      <c r="V238" s="960" t="str">
        <f t="shared" si="94"/>
        <v>BS04V40</v>
      </c>
      <c r="W238" s="943">
        <v>433769</v>
      </c>
      <c r="X238" s="456"/>
      <c r="Y238" s="456">
        <v>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356"/>
      <c r="AH238" s="100">
        <v>0</v>
      </c>
      <c r="AI238" s="100">
        <v>0</v>
      </c>
      <c r="AJ238" s="100">
        <v>0</v>
      </c>
      <c r="AK238" s="356">
        <v>0</v>
      </c>
      <c r="AL238" s="100">
        <v>0</v>
      </c>
      <c r="AM238" s="100">
        <v>0</v>
      </c>
      <c r="AN238" s="100"/>
      <c r="AO238" s="100"/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100"/>
      <c r="BB238" s="100"/>
      <c r="BC238" s="298">
        <f t="shared" si="86"/>
        <v>0</v>
      </c>
      <c r="BD238" s="896">
        <f t="shared" si="87"/>
        <v>0</v>
      </c>
      <c r="BE238" s="896">
        <f t="shared" si="88"/>
        <v>0</v>
      </c>
      <c r="BH238" s="505"/>
    </row>
    <row r="239" spans="1:60" s="38" customFormat="1" ht="15" customHeight="1">
      <c r="A239" s="68">
        <v>32</v>
      </c>
      <c r="B239" s="428" t="s">
        <v>2660</v>
      </c>
      <c r="C239" s="851" t="s">
        <v>39</v>
      </c>
      <c r="D239" s="852">
        <v>40</v>
      </c>
      <c r="E239" s="540">
        <v>0</v>
      </c>
      <c r="F239" s="100">
        <f>SUMIF(pro!$A:$A,$V:$V,pro!$N:$N)</f>
        <v>304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>
        <v>0</v>
      </c>
      <c r="L239" s="356"/>
      <c r="M239" s="540">
        <f>E239+F239+H239-I239-L239+G239-K239</f>
        <v>304</v>
      </c>
      <c r="N239" s="356">
        <f t="shared" ref="N239" si="97">+M239*D239</f>
        <v>12160</v>
      </c>
      <c r="O239" s="357">
        <f t="shared" ref="O239" si="98">SUM(X239:BB239)</f>
        <v>12000</v>
      </c>
      <c r="P239" s="355"/>
      <c r="Q239" s="355"/>
      <c r="R239" s="350">
        <f>O239/INTGRATE!$N$293</f>
        <v>800</v>
      </c>
      <c r="S239" s="349">
        <f t="shared" ref="S239" si="99">IF(R239=0,0,N239/R239)</f>
        <v>15.2</v>
      </c>
      <c r="T239" s="472"/>
      <c r="U239" s="145"/>
      <c r="V239" s="960" t="str">
        <f t="shared" si="94"/>
        <v>BS06TA40</v>
      </c>
      <c r="W239" s="943">
        <v>433778</v>
      </c>
      <c r="X239" s="456"/>
      <c r="Y239" s="456">
        <v>12000</v>
      </c>
      <c r="Z239" s="100">
        <v>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>
        <v>0</v>
      </c>
      <c r="AG239" s="356"/>
      <c r="AH239" s="100">
        <v>0</v>
      </c>
      <c r="AI239" s="100">
        <v>0</v>
      </c>
      <c r="AJ239" s="100">
        <v>0</v>
      </c>
      <c r="AK239" s="356">
        <v>0</v>
      </c>
      <c r="AL239" s="100">
        <v>0</v>
      </c>
      <c r="AM239" s="100">
        <v>0</v>
      </c>
      <c r="AN239" s="100"/>
      <c r="AO239" s="100"/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100"/>
      <c r="BB239" s="100"/>
      <c r="BC239" s="298">
        <f t="shared" ref="BC239" si="100">SUM(X239:BB239)</f>
        <v>12000</v>
      </c>
      <c r="BD239" s="896">
        <f t="shared" ref="BD239" si="101">COUNTIF(X239:BB239,"&gt;0")</f>
        <v>1</v>
      </c>
      <c r="BE239" s="896">
        <f t="shared" ref="BE239" si="102">IFERROR(BC239/BD239,0)</f>
        <v>12000</v>
      </c>
      <c r="BH239" s="704"/>
    </row>
    <row r="240" spans="1:60" s="38" customFormat="1" ht="15" customHeight="1">
      <c r="A240" s="68">
        <v>33</v>
      </c>
      <c r="B240" s="428" t="s">
        <v>2648</v>
      </c>
      <c r="C240" s="851" t="s">
        <v>39</v>
      </c>
      <c r="D240" s="852" t="s">
        <v>81</v>
      </c>
      <c r="E240" s="540">
        <v>0</v>
      </c>
      <c r="F240" s="100">
        <f>+J240</f>
        <v>16020</v>
      </c>
      <c r="G240" s="356"/>
      <c r="H240" s="356"/>
      <c r="I240" s="100">
        <f>SUMIF(data!$D:$D,$B240&amp;$D240,data!$J:$J)</f>
        <v>0</v>
      </c>
      <c r="J240" s="356">
        <f>SUMIF(data!$D:$D,$B240&amp;$D240,data!$K:$K)</f>
        <v>16020</v>
      </c>
      <c r="K240" s="356"/>
      <c r="L240" s="356"/>
      <c r="M240" s="540">
        <v>0</v>
      </c>
      <c r="N240" s="356"/>
      <c r="O240" s="357">
        <f t="shared" ref="O240:O248" si="103">SUM(X240:BB240)</f>
        <v>112080</v>
      </c>
      <c r="P240" s="355"/>
      <c r="Q240" s="355"/>
      <c r="R240" s="350">
        <f>O240/INTGRATE!$N$293</f>
        <v>7472</v>
      </c>
      <c r="S240" s="349">
        <f t="shared" ref="S240:S248" si="104">IF(R240=0,0,N240/R240)</f>
        <v>0</v>
      </c>
      <c r="T240" s="472"/>
      <c r="U240" s="145"/>
      <c r="V240" s="960" t="str">
        <f t="shared" si="94"/>
        <v>BS07TASILO</v>
      </c>
      <c r="W240" s="943">
        <v>433779</v>
      </c>
      <c r="X240" s="456"/>
      <c r="Y240" s="456">
        <v>0</v>
      </c>
      <c r="Z240" s="100">
        <v>0</v>
      </c>
      <c r="AA240" s="100">
        <v>16080</v>
      </c>
      <c r="AB240" s="100">
        <v>0</v>
      </c>
      <c r="AC240" s="100">
        <f>-16010+32010</f>
        <v>16000</v>
      </c>
      <c r="AD240" s="100">
        <v>0</v>
      </c>
      <c r="AE240" s="100">
        <v>16010</v>
      </c>
      <c r="AF240" s="100">
        <v>15990</v>
      </c>
      <c r="AG240" s="356"/>
      <c r="AH240" s="100">
        <v>15970</v>
      </c>
      <c r="AI240" s="100">
        <v>0</v>
      </c>
      <c r="AJ240" s="100">
        <v>0</v>
      </c>
      <c r="AK240" s="356">
        <v>16010</v>
      </c>
      <c r="AL240" s="100">
        <v>0</v>
      </c>
      <c r="AM240" s="100">
        <v>16020</v>
      </c>
      <c r="AN240" s="100"/>
      <c r="AO240" s="100"/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494"/>
      <c r="BB240" s="100"/>
      <c r="BC240" s="298">
        <f t="shared" si="86"/>
        <v>112080</v>
      </c>
      <c r="BD240" s="896">
        <f t="shared" si="87"/>
        <v>7</v>
      </c>
      <c r="BE240" s="896">
        <f t="shared" si="88"/>
        <v>16011.428571428571</v>
      </c>
      <c r="BH240" s="505"/>
    </row>
    <row r="241" spans="1:60" s="38" customFormat="1" ht="15" customHeight="1">
      <c r="A241" s="68">
        <v>34</v>
      </c>
      <c r="B241" s="428" t="s">
        <v>2640</v>
      </c>
      <c r="C241" s="851" t="s">
        <v>39</v>
      </c>
      <c r="D241" s="852" t="s">
        <v>81</v>
      </c>
      <c r="E241" s="540">
        <v>0</v>
      </c>
      <c r="F241" s="100">
        <f>+J241</f>
        <v>9850</v>
      </c>
      <c r="G241" s="356"/>
      <c r="H241" s="356"/>
      <c r="I241" s="100">
        <f>SUMIF(data!$D:$D,$B241&amp;$D241,data!$J:$J)</f>
        <v>0</v>
      </c>
      <c r="J241" s="356">
        <f>SUMIF(data!$D:$D,$B241&amp;$D241,data!$K:$K)</f>
        <v>9850</v>
      </c>
      <c r="K241" s="356"/>
      <c r="L241" s="356"/>
      <c r="M241" s="540">
        <v>0</v>
      </c>
      <c r="N241" s="356"/>
      <c r="O241" s="357">
        <f t="shared" si="103"/>
        <v>29740</v>
      </c>
      <c r="P241" s="355"/>
      <c r="Q241" s="355"/>
      <c r="R241" s="350">
        <f>O241/INTGRATE!$N$293</f>
        <v>1982.6666666666667</v>
      </c>
      <c r="S241" s="349">
        <f t="shared" si="104"/>
        <v>0</v>
      </c>
      <c r="T241" s="472"/>
      <c r="U241" s="145"/>
      <c r="V241" s="960" t="str">
        <f t="shared" si="94"/>
        <v>BS09TASILO</v>
      </c>
      <c r="W241" s="943">
        <v>433780</v>
      </c>
      <c r="X241" s="456"/>
      <c r="Y241" s="456">
        <v>0</v>
      </c>
      <c r="Z241" s="100">
        <v>10030</v>
      </c>
      <c r="AA241" s="100">
        <v>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9860</v>
      </c>
      <c r="AG241" s="356"/>
      <c r="AH241" s="100">
        <v>0</v>
      </c>
      <c r="AI241" s="100">
        <v>0</v>
      </c>
      <c r="AJ241" s="100">
        <v>0</v>
      </c>
      <c r="AK241" s="356">
        <v>0</v>
      </c>
      <c r="AL241" s="100">
        <v>0</v>
      </c>
      <c r="AM241" s="100">
        <v>9850</v>
      </c>
      <c r="AN241" s="100"/>
      <c r="AO241" s="100"/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86"/>
        <v>29740</v>
      </c>
      <c r="BD241" s="896">
        <f t="shared" si="87"/>
        <v>3</v>
      </c>
      <c r="BE241" s="896">
        <f t="shared" si="88"/>
        <v>9913.3333333333339</v>
      </c>
      <c r="BF241" s="85"/>
      <c r="BH241" s="505"/>
    </row>
    <row r="242" spans="1:60" s="38" customFormat="1" ht="15" customHeight="1">
      <c r="A242" s="68">
        <v>35</v>
      </c>
      <c r="B242" s="428" t="s">
        <v>2633</v>
      </c>
      <c r="C242" s="851" t="s">
        <v>39</v>
      </c>
      <c r="D242" s="852">
        <v>40</v>
      </c>
      <c r="E242" s="540">
        <v>0</v>
      </c>
      <c r="F242" s="100">
        <f>SUMIF(pro!$A:$A,$V:$V,pro!$N:$N)</f>
        <v>97</v>
      </c>
      <c r="G242" s="356"/>
      <c r="H242" s="356">
        <f>SUMIF(CBIN!$A:$A,BRAN!$V:$V,CBIN!$G:$G)</f>
        <v>0</v>
      </c>
      <c r="I242" s="100">
        <f>SUMIF(data!$D:$D,$B242&amp;$D242,data!$J:$J)</f>
        <v>0</v>
      </c>
      <c r="J242" s="356">
        <f>SUMIF(data!$D:$D,$B242&amp;$D242,data!$K:$K)</f>
        <v>0</v>
      </c>
      <c r="K242" s="356">
        <v>0</v>
      </c>
      <c r="L242" s="356">
        <f>SUMIF(CBOUT!$A:$A,BRAN!$V:$V,CBOUT!$G:$G)</f>
        <v>0</v>
      </c>
      <c r="M242" s="540">
        <f t="shared" ref="M242:M248" si="105">E242+F242+H242-I242-L242+G242-K242</f>
        <v>97</v>
      </c>
      <c r="N242" s="356">
        <f t="shared" si="90"/>
        <v>3880</v>
      </c>
      <c r="O242" s="357">
        <f t="shared" si="103"/>
        <v>28400</v>
      </c>
      <c r="P242" s="355"/>
      <c r="Q242" s="355"/>
      <c r="R242" s="350">
        <f>O242/INTGRATE!$N$293</f>
        <v>1893.3333333333333</v>
      </c>
      <c r="S242" s="349">
        <f t="shared" si="104"/>
        <v>2.0492957746478875</v>
      </c>
      <c r="T242" s="472"/>
      <c r="U242" s="145"/>
      <c r="V242" s="960" t="str">
        <f t="shared" si="94"/>
        <v>BS10TA40</v>
      </c>
      <c r="W242" s="943">
        <v>433781</v>
      </c>
      <c r="X242" s="456"/>
      <c r="Y242" s="456">
        <v>0</v>
      </c>
      <c r="Z242" s="100">
        <v>0</v>
      </c>
      <c r="AA242" s="100">
        <v>14400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356"/>
      <c r="AH242" s="100">
        <v>0</v>
      </c>
      <c r="AI242" s="100">
        <v>0</v>
      </c>
      <c r="AJ242" s="100">
        <v>14000</v>
      </c>
      <c r="AK242" s="356">
        <v>0</v>
      </c>
      <c r="AL242" s="100">
        <v>0</v>
      </c>
      <c r="AM242" s="100">
        <v>0</v>
      </c>
      <c r="AN242" s="100"/>
      <c r="AO242" s="100"/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86"/>
        <v>28400</v>
      </c>
      <c r="BD242" s="896">
        <f t="shared" si="87"/>
        <v>2</v>
      </c>
      <c r="BE242" s="896">
        <f t="shared" si="88"/>
        <v>14200</v>
      </c>
      <c r="BH242" s="505"/>
    </row>
    <row r="243" spans="1:60" s="38" customFormat="1" ht="14.25" customHeight="1">
      <c r="A243" s="68">
        <v>36</v>
      </c>
      <c r="B243" s="428" t="s">
        <v>2654</v>
      </c>
      <c r="C243" s="851" t="s">
        <v>39</v>
      </c>
      <c r="D243" s="852">
        <v>40</v>
      </c>
      <c r="E243" s="540">
        <v>0</v>
      </c>
      <c r="F243" s="100">
        <f>SUMIF(pro!$A:$A,$V:$V,pro!$N:$N)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f t="shared" si="105"/>
        <v>0</v>
      </c>
      <c r="N243" s="356">
        <f t="shared" si="90"/>
        <v>0</v>
      </c>
      <c r="O243" s="357">
        <f t="shared" si="103"/>
        <v>4000</v>
      </c>
      <c r="P243" s="355"/>
      <c r="Q243" s="355"/>
      <c r="R243" s="350">
        <f>O243/INTGRATE!$N$293</f>
        <v>266.66666666666669</v>
      </c>
      <c r="S243" s="349">
        <f t="shared" si="104"/>
        <v>0</v>
      </c>
      <c r="T243" s="472"/>
      <c r="U243" s="145"/>
      <c r="V243" s="960" t="str">
        <f t="shared" si="94"/>
        <v>BS06LD40</v>
      </c>
      <c r="W243" s="943">
        <v>433782</v>
      </c>
      <c r="X243" s="456"/>
      <c r="Y243" s="456">
        <v>0</v>
      </c>
      <c r="Z243" s="100">
        <v>0</v>
      </c>
      <c r="AA243" s="100">
        <v>4000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356"/>
      <c r="AH243" s="100">
        <v>0</v>
      </c>
      <c r="AI243" s="100">
        <v>0</v>
      </c>
      <c r="AJ243" s="100">
        <v>0</v>
      </c>
      <c r="AK243" s="356">
        <v>0</v>
      </c>
      <c r="AL243" s="100">
        <v>0</v>
      </c>
      <c r="AM243" s="100">
        <v>0</v>
      </c>
      <c r="AN243" s="100"/>
      <c r="AO243" s="100"/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86"/>
        <v>4000</v>
      </c>
      <c r="BD243" s="896">
        <f t="shared" si="87"/>
        <v>1</v>
      </c>
      <c r="BE243" s="896">
        <f t="shared" si="88"/>
        <v>4000</v>
      </c>
      <c r="BH243" s="505"/>
    </row>
    <row r="244" spans="1:60" s="38" customFormat="1" ht="15" customHeight="1">
      <c r="A244" s="68">
        <v>37</v>
      </c>
      <c r="B244" s="428" t="s">
        <v>2655</v>
      </c>
      <c r="C244" s="851" t="s">
        <v>39</v>
      </c>
      <c r="D244" s="852" t="s">
        <v>81</v>
      </c>
      <c r="E244" s="540">
        <v>0</v>
      </c>
      <c r="F244" s="100">
        <f>+J244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/>
      <c r="L244" s="356"/>
      <c r="M244" s="540">
        <v>0</v>
      </c>
      <c r="N244" s="356"/>
      <c r="O244" s="357">
        <f t="shared" si="103"/>
        <v>0</v>
      </c>
      <c r="P244" s="355"/>
      <c r="Q244" s="355"/>
      <c r="R244" s="350">
        <f>O244/INTGRATE!$N$293</f>
        <v>0</v>
      </c>
      <c r="S244" s="349">
        <f t="shared" si="104"/>
        <v>0</v>
      </c>
      <c r="T244" s="472"/>
      <c r="U244" s="145"/>
      <c r="V244" s="960" t="str">
        <f t="shared" si="94"/>
        <v>BS07LDSILO</v>
      </c>
      <c r="W244" s="943">
        <v>433783</v>
      </c>
      <c r="X244" s="456"/>
      <c r="Y244" s="456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356"/>
      <c r="AH244" s="100">
        <v>0</v>
      </c>
      <c r="AI244" s="100">
        <v>0</v>
      </c>
      <c r="AJ244" s="100">
        <v>0</v>
      </c>
      <c r="AK244" s="356">
        <v>0</v>
      </c>
      <c r="AL244" s="100">
        <v>0</v>
      </c>
      <c r="AM244" s="100">
        <v>0</v>
      </c>
      <c r="AN244" s="100"/>
      <c r="AO244" s="100"/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86"/>
        <v>0</v>
      </c>
      <c r="BD244" s="896">
        <f t="shared" si="87"/>
        <v>0</v>
      </c>
      <c r="BE244" s="896">
        <f t="shared" si="88"/>
        <v>0</v>
      </c>
      <c r="BH244" s="505"/>
    </row>
    <row r="245" spans="1:60" s="38" customFormat="1" ht="15" customHeight="1">
      <c r="A245" s="68">
        <v>38</v>
      </c>
      <c r="B245" s="428" t="s">
        <v>2653</v>
      </c>
      <c r="C245" s="851" t="s">
        <v>39</v>
      </c>
      <c r="D245" s="852">
        <v>40</v>
      </c>
      <c r="E245" s="540">
        <v>0</v>
      </c>
      <c r="F245" s="100">
        <f>SUMIF(pro!$A:$A,$V:$V,pro!$N:$N)</f>
        <v>0</v>
      </c>
      <c r="G245" s="356"/>
      <c r="H245" s="356"/>
      <c r="I245" s="100">
        <f>SUMIF(data!$D:$D,$B245&amp;$D245,data!$J:$J)</f>
        <v>0</v>
      </c>
      <c r="J245" s="356">
        <f>SUMIF(data!$D:$D,$B245&amp;$D245,data!$K:$K)</f>
        <v>0</v>
      </c>
      <c r="K245" s="356"/>
      <c r="L245" s="356"/>
      <c r="M245" s="540">
        <f t="shared" si="105"/>
        <v>0</v>
      </c>
      <c r="N245" s="356">
        <f t="shared" si="90"/>
        <v>0</v>
      </c>
      <c r="O245" s="357">
        <f t="shared" si="103"/>
        <v>4000</v>
      </c>
      <c r="P245" s="355"/>
      <c r="Q245" s="355"/>
      <c r="R245" s="350">
        <f>O245/INTGRATE!$N$293</f>
        <v>266.66666666666669</v>
      </c>
      <c r="S245" s="349">
        <f t="shared" si="104"/>
        <v>0</v>
      </c>
      <c r="T245" s="472"/>
      <c r="U245" s="145"/>
      <c r="V245" s="960" t="str">
        <f t="shared" si="94"/>
        <v>BS10LD40</v>
      </c>
      <c r="W245" s="943">
        <v>433774</v>
      </c>
      <c r="X245" s="456"/>
      <c r="Y245" s="456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356"/>
      <c r="AH245" s="100">
        <v>0</v>
      </c>
      <c r="AI245" s="100">
        <v>0</v>
      </c>
      <c r="AJ245" s="100">
        <v>0</v>
      </c>
      <c r="AK245" s="356">
        <v>0</v>
      </c>
      <c r="AL245" s="100">
        <v>4000</v>
      </c>
      <c r="AM245" s="100">
        <v>0</v>
      </c>
      <c r="AN245" s="100"/>
      <c r="AO245" s="100"/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86"/>
        <v>4000</v>
      </c>
      <c r="BD245" s="896">
        <f t="shared" si="87"/>
        <v>1</v>
      </c>
      <c r="BE245" s="896">
        <f t="shared" si="88"/>
        <v>4000</v>
      </c>
      <c r="BH245" s="505"/>
    </row>
    <row r="246" spans="1:60" s="38" customFormat="1" ht="15" customHeight="1">
      <c r="A246" s="68">
        <v>39</v>
      </c>
      <c r="B246" s="428" t="s">
        <v>1900</v>
      </c>
      <c r="C246" s="851" t="s">
        <v>61</v>
      </c>
      <c r="D246" s="852">
        <v>25</v>
      </c>
      <c r="E246" s="540">
        <v>0</v>
      </c>
      <c r="F246" s="100">
        <f>SUMIF(pro!$A:$A,$V:$V,pro!$N:$N)</f>
        <v>0</v>
      </c>
      <c r="G246" s="356"/>
      <c r="H246" s="356"/>
      <c r="I246" s="100">
        <f>SUMIF(data!$D:$D,$B246&amp;$D246,data!$J:$J)</f>
        <v>0</v>
      </c>
      <c r="J246" s="356">
        <f>SUMIF(data!$D:$D,$B246&amp;$D246,data!$K:$K)</f>
        <v>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105"/>
        <v>0</v>
      </c>
      <c r="N246" s="356">
        <f t="shared" si="90"/>
        <v>0</v>
      </c>
      <c r="O246" s="357">
        <f t="shared" si="103"/>
        <v>0</v>
      </c>
      <c r="P246" s="355"/>
      <c r="Q246" s="355"/>
      <c r="R246" s="350">
        <f>O246/INTGRATE!$N$293</f>
        <v>0</v>
      </c>
      <c r="S246" s="349">
        <f t="shared" si="104"/>
        <v>0</v>
      </c>
      <c r="T246" s="472"/>
      <c r="U246" s="145"/>
      <c r="V246" s="960" t="str">
        <f t="shared" si="94"/>
        <v>BS1425</v>
      </c>
      <c r="W246" s="943">
        <v>433061</v>
      </c>
      <c r="X246" s="456"/>
      <c r="Y246" s="456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>
        <v>0</v>
      </c>
      <c r="AG246" s="356"/>
      <c r="AH246" s="100">
        <v>0</v>
      </c>
      <c r="AI246" s="100">
        <v>0</v>
      </c>
      <c r="AJ246" s="100">
        <v>0</v>
      </c>
      <c r="AK246" s="356">
        <v>0</v>
      </c>
      <c r="AL246" s="100">
        <v>0</v>
      </c>
      <c r="AM246" s="100">
        <v>0</v>
      </c>
      <c r="AN246" s="100"/>
      <c r="AO246" s="100"/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86"/>
        <v>0</v>
      </c>
      <c r="BD246" s="896">
        <f t="shared" si="87"/>
        <v>0</v>
      </c>
      <c r="BE246" s="896">
        <f t="shared" si="88"/>
        <v>0</v>
      </c>
      <c r="BH246" s="505"/>
    </row>
    <row r="247" spans="1:60" s="38" customFormat="1" ht="15" customHeight="1">
      <c r="A247" s="68">
        <v>40</v>
      </c>
      <c r="B247" s="375" t="s">
        <v>16</v>
      </c>
      <c r="C247" s="414" t="s">
        <v>40</v>
      </c>
      <c r="D247" s="377">
        <v>25</v>
      </c>
      <c r="E247" s="540">
        <v>378</v>
      </c>
      <c r="F247" s="100">
        <f>SUMIF(pro!$A:$A,$V:$V,pro!$N:$N)</f>
        <v>0</v>
      </c>
      <c r="G247" s="356"/>
      <c r="H247" s="356">
        <f>SUMIF(CBIN!$A:$A,BRAN!$V:$V,CBIN!$G:$G)</f>
        <v>0</v>
      </c>
      <c r="I247" s="100">
        <f>SUMIF(data!$D:$D,$B247&amp;$D247,data!$J:$J)</f>
        <v>100</v>
      </c>
      <c r="J247" s="356">
        <f>SUMIF(data!$D:$D,$B247&amp;$D247,data!$K:$K)</f>
        <v>2500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105"/>
        <v>278</v>
      </c>
      <c r="N247" s="356">
        <f t="shared" si="90"/>
        <v>6950</v>
      </c>
      <c r="O247" s="357">
        <f t="shared" si="103"/>
        <v>36325</v>
      </c>
      <c r="P247" s="355">
        <f>N279-P235-P234-P218-P208</f>
        <v>56760</v>
      </c>
      <c r="Q247" s="355">
        <f>O279-Q235-Q234-Q218-Q208</f>
        <v>421700</v>
      </c>
      <c r="R247" s="350">
        <f>O247/INTGRATE!$N$293</f>
        <v>2421.6666666666665</v>
      </c>
      <c r="S247" s="349">
        <f t="shared" si="104"/>
        <v>2.8699242945629733</v>
      </c>
      <c r="T247" s="472"/>
      <c r="U247" s="145"/>
      <c r="V247" s="960" t="str">
        <f t="shared" si="94"/>
        <v>VT1125</v>
      </c>
      <c r="W247" s="951">
        <v>201101</v>
      </c>
      <c r="X247" s="456"/>
      <c r="Y247" s="456">
        <v>3725</v>
      </c>
      <c r="Z247" s="100">
        <v>0</v>
      </c>
      <c r="AA247" s="100">
        <v>5000</v>
      </c>
      <c r="AB247" s="100">
        <v>2500</v>
      </c>
      <c r="AC247" s="100">
        <v>2500</v>
      </c>
      <c r="AD247" s="100">
        <v>2500</v>
      </c>
      <c r="AE247" s="100">
        <v>500</v>
      </c>
      <c r="AF247" s="100">
        <v>4000</v>
      </c>
      <c r="AG247" s="356"/>
      <c r="AH247" s="100">
        <v>1875</v>
      </c>
      <c r="AI247" s="100">
        <v>0</v>
      </c>
      <c r="AJ247" s="100">
        <v>5975</v>
      </c>
      <c r="AK247" s="356">
        <v>2500</v>
      </c>
      <c r="AL247" s="100">
        <v>2750</v>
      </c>
      <c r="AM247" s="100">
        <v>2500</v>
      </c>
      <c r="AN247" s="100"/>
      <c r="AO247" s="100"/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86"/>
        <v>36325</v>
      </c>
      <c r="BD247" s="896">
        <f t="shared" si="87"/>
        <v>12</v>
      </c>
      <c r="BE247" s="896">
        <f t="shared" si="88"/>
        <v>3027.0833333333335</v>
      </c>
      <c r="BH247" s="505"/>
    </row>
    <row r="248" spans="1:60" s="38" customFormat="1" ht="15" customHeight="1">
      <c r="A248" s="68">
        <v>41</v>
      </c>
      <c r="B248" s="375" t="s">
        <v>16</v>
      </c>
      <c r="C248" s="414" t="s">
        <v>40</v>
      </c>
      <c r="D248" s="759" t="s">
        <v>901</v>
      </c>
      <c r="E248" s="540">
        <v>0</v>
      </c>
      <c r="F248" s="100">
        <f>+J248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si="105"/>
        <v>0</v>
      </c>
      <c r="N248" s="356"/>
      <c r="O248" s="357">
        <f t="shared" si="103"/>
        <v>0</v>
      </c>
      <c r="P248" s="355"/>
      <c r="Q248" s="355"/>
      <c r="R248" s="350">
        <f>O248/INTGRATE!$N$293</f>
        <v>0</v>
      </c>
      <c r="S248" s="349">
        <f t="shared" si="104"/>
        <v>0</v>
      </c>
      <c r="T248" s="472"/>
      <c r="U248" s="145"/>
      <c r="V248" s="960" t="str">
        <f t="shared" si="94"/>
        <v>VT11silo</v>
      </c>
      <c r="W248" s="951">
        <v>201101</v>
      </c>
      <c r="X248" s="456"/>
      <c r="Y248" s="456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356"/>
      <c r="AH248" s="100">
        <v>0</v>
      </c>
      <c r="AI248" s="100">
        <v>0</v>
      </c>
      <c r="AJ248" s="100">
        <v>0</v>
      </c>
      <c r="AK248" s="356">
        <v>0</v>
      </c>
      <c r="AL248" s="100">
        <v>0</v>
      </c>
      <c r="AM248" s="100">
        <v>0</v>
      </c>
      <c r="AN248" s="100"/>
      <c r="AO248" s="100"/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86"/>
        <v>0</v>
      </c>
      <c r="BD248" s="896">
        <f t="shared" si="87"/>
        <v>0</v>
      </c>
      <c r="BE248" s="896">
        <f t="shared" si="88"/>
        <v>0</v>
      </c>
      <c r="BH248" s="505"/>
    </row>
    <row r="249" spans="1:60" s="38" customFormat="1" ht="15" customHeight="1">
      <c r="A249" s="68">
        <v>42</v>
      </c>
      <c r="B249" s="414" t="s">
        <v>114</v>
      </c>
      <c r="C249" s="375" t="s">
        <v>61</v>
      </c>
      <c r="D249" s="377" t="s">
        <v>81</v>
      </c>
      <c r="E249" s="540">
        <v>0</v>
      </c>
      <c r="F249" s="100">
        <f>+J249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si="93"/>
        <v>0</v>
      </c>
      <c r="N249" s="356"/>
      <c r="O249" s="357">
        <f t="shared" si="80"/>
        <v>0</v>
      </c>
      <c r="P249" s="350"/>
      <c r="Q249" s="350"/>
      <c r="R249" s="350">
        <f>O249/INTGRATE!$N$293</f>
        <v>0</v>
      </c>
      <c r="S249" s="349">
        <f t="shared" si="91"/>
        <v>0</v>
      </c>
      <c r="T249" s="472"/>
      <c r="U249" s="145"/>
      <c r="V249" s="960" t="str">
        <f t="shared" si="94"/>
        <v>VT12SILO</v>
      </c>
      <c r="W249" s="951">
        <v>203101</v>
      </c>
      <c r="X249" s="456"/>
      <c r="Y249" s="456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356"/>
      <c r="AH249" s="100">
        <v>0</v>
      </c>
      <c r="AI249" s="100">
        <v>0</v>
      </c>
      <c r="AJ249" s="100">
        <v>0</v>
      </c>
      <c r="AK249" s="356">
        <v>0</v>
      </c>
      <c r="AL249" s="100">
        <v>0</v>
      </c>
      <c r="AM249" s="100">
        <v>0</v>
      </c>
      <c r="AN249" s="100"/>
      <c r="AO249" s="100"/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86"/>
        <v>0</v>
      </c>
      <c r="BD249" s="896">
        <f t="shared" si="87"/>
        <v>0</v>
      </c>
      <c r="BE249" s="896">
        <f t="shared" si="88"/>
        <v>0</v>
      </c>
      <c r="BH249" s="505"/>
    </row>
    <row r="250" spans="1:60" s="38" customFormat="1" ht="15" customHeight="1">
      <c r="A250" s="68">
        <v>43</v>
      </c>
      <c r="B250" s="414" t="s">
        <v>2465</v>
      </c>
      <c r="C250" s="375" t="s">
        <v>61</v>
      </c>
      <c r="D250" s="377">
        <v>25</v>
      </c>
      <c r="E250" s="540">
        <v>0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0</v>
      </c>
      <c r="J250" s="356">
        <f>SUMIF(data!$D:$D,$B250&amp;$D250,data!$K:$K)</f>
        <v>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ref="M250" si="106">E250+F250+H250-I250-L250+G250-K250</f>
        <v>0</v>
      </c>
      <c r="N250" s="356">
        <f t="shared" si="90"/>
        <v>0</v>
      </c>
      <c r="O250" s="357">
        <f t="shared" ref="O250" si="107">SUM(X250:BB250)</f>
        <v>0</v>
      </c>
      <c r="P250" s="350"/>
      <c r="Q250" s="350"/>
      <c r="R250" s="350">
        <f>O250/INTGRATE!$N$293</f>
        <v>0</v>
      </c>
      <c r="S250" s="349">
        <f t="shared" ref="S250" si="108">IF(R250=0,0,N250/R250)</f>
        <v>0</v>
      </c>
      <c r="T250" s="472"/>
      <c r="U250" s="145"/>
      <c r="V250" s="960" t="str">
        <f t="shared" si="94"/>
        <v>VT12P25</v>
      </c>
      <c r="W250" s="951">
        <v>20310890</v>
      </c>
      <c r="X250" s="456"/>
      <c r="Y250" s="456">
        <v>0</v>
      </c>
      <c r="Z250" s="100">
        <v>0</v>
      </c>
      <c r="AA250" s="100">
        <v>0</v>
      </c>
      <c r="AB250" s="100">
        <v>0</v>
      </c>
      <c r="AC250" s="100">
        <v>0</v>
      </c>
      <c r="AD250" s="100">
        <v>0</v>
      </c>
      <c r="AE250" s="100">
        <v>0</v>
      </c>
      <c r="AF250" s="100">
        <v>0</v>
      </c>
      <c r="AG250" s="356"/>
      <c r="AH250" s="100">
        <v>0</v>
      </c>
      <c r="AI250" s="100">
        <v>0</v>
      </c>
      <c r="AJ250" s="100">
        <v>0</v>
      </c>
      <c r="AK250" s="356">
        <v>0</v>
      </c>
      <c r="AL250" s="100">
        <v>0</v>
      </c>
      <c r="AM250" s="100">
        <v>0</v>
      </c>
      <c r="AN250" s="100"/>
      <c r="AO250" s="100"/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86"/>
        <v>0</v>
      </c>
      <c r="BD250" s="896">
        <f t="shared" si="87"/>
        <v>0</v>
      </c>
      <c r="BE250" s="896">
        <f t="shared" si="88"/>
        <v>0</v>
      </c>
      <c r="BH250" s="505"/>
    </row>
    <row r="251" spans="1:60" s="38" customFormat="1" ht="15" customHeight="1">
      <c r="A251" s="68">
        <v>44</v>
      </c>
      <c r="B251" s="414" t="s">
        <v>114</v>
      </c>
      <c r="C251" s="375" t="s">
        <v>61</v>
      </c>
      <c r="D251" s="377">
        <v>25</v>
      </c>
      <c r="E251" s="540">
        <v>557</v>
      </c>
      <c r="F251" s="100">
        <f>SUMIF(pro!$A:$A,$V:$V,pro!$N:$N)</f>
        <v>1643</v>
      </c>
      <c r="G251" s="356"/>
      <c r="H251" s="356">
        <f>SUMIF(CBIN!$A:$A,BRAN!$V:$V,CBIN!$G:$G)</f>
        <v>0</v>
      </c>
      <c r="I251" s="100">
        <f>SUMIF(data!$D:$D,$B251&amp;$D251,data!$J:$J)</f>
        <v>433</v>
      </c>
      <c r="J251" s="356">
        <f>SUMIF(data!$D:$D,$B251&amp;$D251,data!$K:$K)</f>
        <v>10825</v>
      </c>
      <c r="K251" s="356">
        <f>SUMIF(AJOUT!$A:$A,BRAN!$V:$V,AJOUT!$L:$L)</f>
        <v>0</v>
      </c>
      <c r="L251" s="356">
        <f>SUMIF(CBOUT!$A:$A,BRAN!$V:$V,CBOUT!$G:$G)</f>
        <v>4</v>
      </c>
      <c r="M251" s="540">
        <f t="shared" si="93"/>
        <v>1763</v>
      </c>
      <c r="N251" s="356">
        <f t="shared" si="90"/>
        <v>44075</v>
      </c>
      <c r="O251" s="357">
        <f t="shared" si="80"/>
        <v>186325</v>
      </c>
      <c r="P251" s="350"/>
      <c r="Q251" s="350"/>
      <c r="R251" s="350">
        <f>O251/INTGRATE!$N$293</f>
        <v>12421.666666666666</v>
      </c>
      <c r="S251" s="349">
        <f t="shared" si="91"/>
        <v>3.5482356098215484</v>
      </c>
      <c r="T251" s="472"/>
      <c r="U251" s="145"/>
      <c r="V251" s="960" t="str">
        <f>B251&amp;D251</f>
        <v>VT1225</v>
      </c>
      <c r="W251" s="951">
        <v>203101</v>
      </c>
      <c r="X251" s="456"/>
      <c r="Y251" s="456">
        <v>12250</v>
      </c>
      <c r="Z251" s="100">
        <v>21750</v>
      </c>
      <c r="AA251" s="100">
        <v>12750</v>
      </c>
      <c r="AB251" s="100">
        <v>11500</v>
      </c>
      <c r="AC251" s="100">
        <v>11725</v>
      </c>
      <c r="AD251" s="100">
        <v>15250</v>
      </c>
      <c r="AE251" s="100">
        <v>6625</v>
      </c>
      <c r="AF251" s="100">
        <v>13500</v>
      </c>
      <c r="AG251" s="356"/>
      <c r="AH251" s="100">
        <v>16150</v>
      </c>
      <c r="AI251" s="100">
        <v>9000</v>
      </c>
      <c r="AJ251" s="100">
        <v>23750</v>
      </c>
      <c r="AK251" s="356">
        <v>8250</v>
      </c>
      <c r="AL251" s="100">
        <v>13000</v>
      </c>
      <c r="AM251" s="100">
        <v>10825</v>
      </c>
      <c r="AN251" s="100"/>
      <c r="AO251" s="100"/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86"/>
        <v>186325</v>
      </c>
      <c r="BD251" s="896">
        <f t="shared" si="87"/>
        <v>14</v>
      </c>
      <c r="BE251" s="896">
        <f t="shared" si="88"/>
        <v>13308.928571428571</v>
      </c>
      <c r="BH251" s="505"/>
    </row>
    <row r="252" spans="1:60" s="38" customFormat="1" ht="15" customHeight="1">
      <c r="A252" s="68">
        <v>45</v>
      </c>
      <c r="B252" s="191" t="s">
        <v>19</v>
      </c>
      <c r="C252" s="617" t="s">
        <v>1314</v>
      </c>
      <c r="D252" s="168">
        <v>25</v>
      </c>
      <c r="E252" s="540">
        <v>0</v>
      </c>
      <c r="F252" s="100">
        <f>SUMIF(pro!$A:$A,$V:$V,pro!$N:$N)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f t="shared" si="93"/>
        <v>0</v>
      </c>
      <c r="N252" s="356">
        <f t="shared" si="90"/>
        <v>0</v>
      </c>
      <c r="O252" s="357">
        <f t="shared" si="80"/>
        <v>8750</v>
      </c>
      <c r="P252" s="350"/>
      <c r="Q252" s="350"/>
      <c r="R252" s="350">
        <f>O252/INTGRATE!$N$293</f>
        <v>583.33333333333337</v>
      </c>
      <c r="S252" s="349">
        <f t="shared" si="91"/>
        <v>0</v>
      </c>
      <c r="T252" s="472"/>
      <c r="U252" s="145"/>
      <c r="V252" s="960" t="str">
        <f t="shared" si="94"/>
        <v>HT1125</v>
      </c>
      <c r="W252" s="951">
        <v>314001</v>
      </c>
      <c r="X252" s="456"/>
      <c r="Y252" s="456">
        <v>0</v>
      </c>
      <c r="Z252" s="100">
        <v>0</v>
      </c>
      <c r="AA252" s="100">
        <v>0</v>
      </c>
      <c r="AB252" s="100">
        <v>0</v>
      </c>
      <c r="AC252" s="100">
        <v>2500</v>
      </c>
      <c r="AD252" s="100">
        <v>0</v>
      </c>
      <c r="AE252" s="100">
        <v>250</v>
      </c>
      <c r="AF252" s="100">
        <v>0</v>
      </c>
      <c r="AG252" s="356"/>
      <c r="AH252" s="100">
        <v>0</v>
      </c>
      <c r="AI252" s="100">
        <v>0</v>
      </c>
      <c r="AJ252" s="100">
        <v>1000</v>
      </c>
      <c r="AK252" s="356">
        <v>5000</v>
      </c>
      <c r="AL252" s="100">
        <v>0</v>
      </c>
      <c r="AM252" s="100">
        <v>0</v>
      </c>
      <c r="AN252" s="100"/>
      <c r="AO252" s="100"/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86"/>
        <v>8750</v>
      </c>
      <c r="BD252" s="896">
        <f t="shared" si="87"/>
        <v>4</v>
      </c>
      <c r="BE252" s="896">
        <f t="shared" si="88"/>
        <v>2187.5</v>
      </c>
      <c r="BH252" s="505"/>
    </row>
    <row r="253" spans="1:60" s="38" customFormat="1" ht="15" customHeight="1">
      <c r="A253" s="68">
        <v>46</v>
      </c>
      <c r="B253" s="191" t="s">
        <v>19</v>
      </c>
      <c r="C253" s="617" t="s">
        <v>1314</v>
      </c>
      <c r="D253" s="701" t="s">
        <v>81</v>
      </c>
      <c r="E253" s="540">
        <v>0</v>
      </c>
      <c r="F253" s="100">
        <f>+J253</f>
        <v>0</v>
      </c>
      <c r="G253" s="356"/>
      <c r="H253" s="356">
        <f>SUMIF(CBIN!$A:$A,BRAN!$V:$V,CBIN!$G:$G)</f>
        <v>0</v>
      </c>
      <c r="I253" s="100">
        <f>SUMIF(data!$D:$D,$B253&amp;$D253,data!$J:$J)</f>
        <v>0</v>
      </c>
      <c r="J253" s="356">
        <f>SUMIF(data!$D:$D,$B253&amp;$D253,data!$K:$K)</f>
        <v>0</v>
      </c>
      <c r="K253" s="356">
        <f>SUMIF(AJOUT!$A:$A,BRAN!$V:$V,AJOUT!$L:$L)</f>
        <v>0</v>
      </c>
      <c r="L253" s="356">
        <f>SUMIF(CBOUT!$A:$A,BRAN!$V:$V,CBOUT!$G:$G)</f>
        <v>0</v>
      </c>
      <c r="M253" s="540">
        <v>0</v>
      </c>
      <c r="N253" s="356"/>
      <c r="O253" s="357">
        <f t="shared" si="80"/>
        <v>18400</v>
      </c>
      <c r="P253" s="350"/>
      <c r="Q253" s="350"/>
      <c r="R253" s="350">
        <f>O253/INTGRATE!$N$293</f>
        <v>1226.6666666666667</v>
      </c>
      <c r="S253" s="349">
        <f t="shared" si="91"/>
        <v>0</v>
      </c>
      <c r="T253" s="472"/>
      <c r="U253" s="145"/>
      <c r="V253" s="960" t="str">
        <f t="shared" si="94"/>
        <v>HT11SILO</v>
      </c>
      <c r="W253" s="951">
        <v>314001</v>
      </c>
      <c r="X253" s="456"/>
      <c r="Y253" s="456">
        <v>0</v>
      </c>
      <c r="Z253" s="100">
        <v>0</v>
      </c>
      <c r="AA253" s="100">
        <v>0</v>
      </c>
      <c r="AB253" s="100">
        <v>0</v>
      </c>
      <c r="AC253" s="100">
        <v>7430</v>
      </c>
      <c r="AD253" s="100">
        <v>0</v>
      </c>
      <c r="AE253" s="100">
        <v>0</v>
      </c>
      <c r="AF253" s="100">
        <v>5530</v>
      </c>
      <c r="AG253" s="356"/>
      <c r="AH253" s="100">
        <v>0</v>
      </c>
      <c r="AI253" s="100">
        <v>0</v>
      </c>
      <c r="AJ253" s="100">
        <v>5440</v>
      </c>
      <c r="AK253" s="356">
        <v>0</v>
      </c>
      <c r="AL253" s="100">
        <v>0</v>
      </c>
      <c r="AM253" s="100">
        <v>0</v>
      </c>
      <c r="AN253" s="100"/>
      <c r="AO253" s="100"/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86"/>
        <v>18400</v>
      </c>
      <c r="BD253" s="896">
        <f t="shared" si="87"/>
        <v>3</v>
      </c>
      <c r="BE253" s="896">
        <f t="shared" si="88"/>
        <v>6133.333333333333</v>
      </c>
      <c r="BF253" s="85"/>
      <c r="BH253" s="505"/>
    </row>
    <row r="254" spans="1:60" s="38" customFormat="1" ht="15" customHeight="1">
      <c r="A254" s="68">
        <v>47</v>
      </c>
      <c r="B254" s="191" t="s">
        <v>1651</v>
      </c>
      <c r="C254" s="617" t="s">
        <v>1314</v>
      </c>
      <c r="D254" s="763">
        <v>25</v>
      </c>
      <c r="E254" s="540">
        <v>0</v>
      </c>
      <c r="F254" s="100">
        <f>SUMIF(pro!$A:$A,$V:$V,pro!$N:$N)</f>
        <v>0</v>
      </c>
      <c r="G254" s="356"/>
      <c r="H254" s="356">
        <f>SUMIF(CBIN!$A:$A,BRAN!$V:$V,CBIN!$G:$G)</f>
        <v>0</v>
      </c>
      <c r="I254" s="100">
        <f>SUMIF(data!$D:$D,$B254&amp;$D254,data!$J:$J)</f>
        <v>0</v>
      </c>
      <c r="J254" s="356">
        <f>SUMIF(data!$D:$D,$B254&amp;$D254,data!$K:$K)</f>
        <v>0</v>
      </c>
      <c r="K254" s="356">
        <f>SUMIF(AJOUT!$A:$A,BRAN!$V:$V,AJOUT!$L:$L)</f>
        <v>0</v>
      </c>
      <c r="L254" s="356">
        <f>SUMIF(CBOUT!$A:$A,BRAN!$V:$V,CBOUT!$G:$G)</f>
        <v>0</v>
      </c>
      <c r="M254" s="540">
        <f>E254+F254+H254-I254-L254+G254-K254</f>
        <v>0</v>
      </c>
      <c r="N254" s="356">
        <f t="shared" si="90"/>
        <v>0</v>
      </c>
      <c r="O254" s="357">
        <f t="shared" si="80"/>
        <v>0</v>
      </c>
      <c r="P254" s="350"/>
      <c r="Q254" s="350"/>
      <c r="R254" s="350">
        <f>O254/INTGRATE!$N$293</f>
        <v>0</v>
      </c>
      <c r="S254" s="349">
        <f t="shared" si="91"/>
        <v>0</v>
      </c>
      <c r="T254" s="472"/>
      <c r="U254" s="145"/>
      <c r="V254" s="960" t="str">
        <f t="shared" si="94"/>
        <v>HT11X25</v>
      </c>
      <c r="W254" s="951">
        <v>314008</v>
      </c>
      <c r="X254" s="456"/>
      <c r="Y254" s="456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356"/>
      <c r="AH254" s="100">
        <v>0</v>
      </c>
      <c r="AI254" s="100">
        <v>0</v>
      </c>
      <c r="AJ254" s="100">
        <v>0</v>
      </c>
      <c r="AK254" s="356">
        <v>0</v>
      </c>
      <c r="AL254" s="100">
        <v>0</v>
      </c>
      <c r="AM254" s="100">
        <v>0</v>
      </c>
      <c r="AN254" s="100"/>
      <c r="AO254" s="100"/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86"/>
        <v>0</v>
      </c>
      <c r="BD254" s="896">
        <f t="shared" si="87"/>
        <v>0</v>
      </c>
      <c r="BE254" s="896">
        <f t="shared" si="88"/>
        <v>0</v>
      </c>
      <c r="BF254" s="85"/>
      <c r="BH254" s="505"/>
    </row>
    <row r="255" spans="1:60" s="38" customFormat="1" ht="15" customHeight="1">
      <c r="A255" s="68">
        <v>48</v>
      </c>
      <c r="B255" s="191" t="s">
        <v>1651</v>
      </c>
      <c r="C255" s="617" t="s">
        <v>1314</v>
      </c>
      <c r="D255" s="701" t="s">
        <v>81</v>
      </c>
      <c r="E255" s="540"/>
      <c r="F255" s="100">
        <f>+J255</f>
        <v>0</v>
      </c>
      <c r="G255" s="356"/>
      <c r="H255" s="356"/>
      <c r="I255" s="100">
        <f>SUMIF(data!$D:$D,$B255&amp;$D255,data!$J:$J)</f>
        <v>0</v>
      </c>
      <c r="J255" s="356">
        <f>SUMIF(data!$D:$D,$B255&amp;$D255,data!$K:$K)</f>
        <v>0</v>
      </c>
      <c r="K255" s="356"/>
      <c r="L255" s="356"/>
      <c r="M255" s="540"/>
      <c r="N255" s="356"/>
      <c r="O255" s="357">
        <f t="shared" si="80"/>
        <v>0</v>
      </c>
      <c r="P255" s="350"/>
      <c r="Q255" s="350"/>
      <c r="R255" s="350">
        <f>O255/INTGRATE!$N$293</f>
        <v>0</v>
      </c>
      <c r="S255" s="349">
        <f t="shared" si="91"/>
        <v>0</v>
      </c>
      <c r="T255" s="472"/>
      <c r="U255" s="145"/>
      <c r="V255" s="960" t="str">
        <f t="shared" si="94"/>
        <v>HT11XSILO</v>
      </c>
      <c r="W255" s="951">
        <v>314008</v>
      </c>
      <c r="X255" s="456"/>
      <c r="Y255" s="456">
        <v>0</v>
      </c>
      <c r="Z255" s="100">
        <v>0</v>
      </c>
      <c r="AA255" s="100">
        <v>0</v>
      </c>
      <c r="AB255" s="100">
        <v>0</v>
      </c>
      <c r="AC255" s="100">
        <v>0</v>
      </c>
      <c r="AD255" s="100">
        <v>0</v>
      </c>
      <c r="AE255" s="100">
        <v>0</v>
      </c>
      <c r="AF255" s="100">
        <v>0</v>
      </c>
      <c r="AG255" s="356"/>
      <c r="AH255" s="100">
        <v>0</v>
      </c>
      <c r="AI255" s="100">
        <v>0</v>
      </c>
      <c r="AJ255" s="100">
        <v>0</v>
      </c>
      <c r="AK255" s="356">
        <v>0</v>
      </c>
      <c r="AL255" s="100">
        <v>0</v>
      </c>
      <c r="AM255" s="100">
        <v>0</v>
      </c>
      <c r="AN255" s="100"/>
      <c r="AO255" s="100"/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86"/>
        <v>0</v>
      </c>
      <c r="BD255" s="896">
        <f t="shared" si="87"/>
        <v>0</v>
      </c>
      <c r="BE255" s="896">
        <f t="shared" si="88"/>
        <v>0</v>
      </c>
      <c r="BF255" s="85"/>
      <c r="BH255" s="505"/>
    </row>
    <row r="256" spans="1:60" s="38" customFormat="1" ht="15" customHeight="1">
      <c r="A256" s="68">
        <v>49</v>
      </c>
      <c r="B256" s="191" t="s">
        <v>1356</v>
      </c>
      <c r="C256" s="617" t="s">
        <v>1314</v>
      </c>
      <c r="D256" s="168">
        <v>25</v>
      </c>
      <c r="E256" s="540">
        <v>92</v>
      </c>
      <c r="F256" s="100">
        <f>SUMIF(pro!$A:$A,$V:$V,pro!$N:$N)</f>
        <v>0</v>
      </c>
      <c r="G256" s="356"/>
      <c r="H256" s="356">
        <f>SUMIF(CBIN!$A:$A,BRAN!$V:$V,CBIN!$G:$G)</f>
        <v>0</v>
      </c>
      <c r="I256" s="100">
        <f>SUMIF(data!$D:$D,$B256&amp;$D256,data!$J:$J)</f>
        <v>91</v>
      </c>
      <c r="J256" s="356">
        <f>SUMIF(data!$D:$D,$B256&amp;$D256,data!$K:$K)</f>
        <v>2275</v>
      </c>
      <c r="K256" s="356">
        <f>SUMIF(AJOUT!$A:$A,BRAN!$V:$V,AJOUT!$L:$L)</f>
        <v>0</v>
      </c>
      <c r="L256" s="356">
        <f>SUMIF(CBOUT!$A:$A,BRAN!$V:$V,CBOUT!$G:$G)</f>
        <v>0</v>
      </c>
      <c r="M256" s="540">
        <f>E256+F256+H256-I256-L256+G256-K256</f>
        <v>1</v>
      </c>
      <c r="N256" s="356">
        <f t="shared" si="90"/>
        <v>25</v>
      </c>
      <c r="O256" s="357">
        <f>SUM(X256:BB256)</f>
        <v>20825</v>
      </c>
      <c r="P256" s="350"/>
      <c r="Q256" s="350"/>
      <c r="R256" s="350">
        <f>O256/INTGRATE!$N$293</f>
        <v>1388.3333333333333</v>
      </c>
      <c r="S256" s="349">
        <f t="shared" si="91"/>
        <v>1.8007202881152463E-2</v>
      </c>
      <c r="T256" s="472"/>
      <c r="U256" s="145"/>
      <c r="V256" s="960" t="str">
        <f t="shared" si="94"/>
        <v>HT11GP25</v>
      </c>
      <c r="W256" s="943">
        <v>314011</v>
      </c>
      <c r="X256" s="456"/>
      <c r="Y256" s="456">
        <v>0</v>
      </c>
      <c r="Z256" s="100">
        <v>0</v>
      </c>
      <c r="AA256" s="100">
        <v>0</v>
      </c>
      <c r="AB256" s="100">
        <v>0</v>
      </c>
      <c r="AC256" s="100">
        <v>7875</v>
      </c>
      <c r="AD256" s="100">
        <v>0</v>
      </c>
      <c r="AE256" s="100">
        <v>0</v>
      </c>
      <c r="AF256" s="100">
        <v>0</v>
      </c>
      <c r="AG256" s="356"/>
      <c r="AH256" s="100">
        <v>6925</v>
      </c>
      <c r="AI256" s="100">
        <v>0</v>
      </c>
      <c r="AJ256" s="100">
        <v>0</v>
      </c>
      <c r="AK256" s="356">
        <v>3750</v>
      </c>
      <c r="AL256" s="100">
        <v>0</v>
      </c>
      <c r="AM256" s="100">
        <v>2275</v>
      </c>
      <c r="AN256" s="100"/>
      <c r="AO256" s="100"/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86"/>
        <v>20825</v>
      </c>
      <c r="BD256" s="896">
        <f t="shared" si="87"/>
        <v>4</v>
      </c>
      <c r="BE256" s="896">
        <f t="shared" si="88"/>
        <v>5206.25</v>
      </c>
      <c r="BH256" s="505"/>
    </row>
    <row r="257" spans="1:60" s="38" customFormat="1" ht="15" customHeight="1">
      <c r="A257" s="68">
        <v>50</v>
      </c>
      <c r="B257" s="107" t="s">
        <v>12</v>
      </c>
      <c r="C257" s="107" t="s">
        <v>61</v>
      </c>
      <c r="D257" s="91">
        <v>25</v>
      </c>
      <c r="E257" s="540">
        <v>587</v>
      </c>
      <c r="F257" s="100">
        <f>SUMIF(pro!$A:$A,$V:$V,pro!$N:$N)</f>
        <v>0</v>
      </c>
      <c r="G257" s="356"/>
      <c r="H257" s="356">
        <f>SUMIF(CBIN!$A:$A,BRAN!$V:$V,CBIN!$G:$G)</f>
        <v>0</v>
      </c>
      <c r="I257" s="100">
        <f>SUMIF(data!$D:$D,$B257&amp;$D257,data!$J:$J)</f>
        <v>586</v>
      </c>
      <c r="J257" s="356">
        <f>SUMIF(data!$D:$D,$B257&amp;$D257,data!$K:$K)</f>
        <v>14650</v>
      </c>
      <c r="K257" s="356">
        <f>SUMIF(AJOUT!$A:$A,BRAN!$V:$V,AJOUT!$L:$L)</f>
        <v>0</v>
      </c>
      <c r="L257" s="356">
        <f>SUMIF(CBOUT!$A:$A,BRAN!$V:$V,CBOUT!$G:$G)</f>
        <v>0</v>
      </c>
      <c r="M257" s="540">
        <f>E257+F257+H257-I257-L257+G257-K257</f>
        <v>1</v>
      </c>
      <c r="N257" s="356">
        <f t="shared" si="90"/>
        <v>25</v>
      </c>
      <c r="O257" s="357">
        <f t="shared" si="80"/>
        <v>59525</v>
      </c>
      <c r="P257" s="350"/>
      <c r="Q257" s="350"/>
      <c r="R257" s="350">
        <f>O257/INTGRATE!$N$293</f>
        <v>3968.3333333333335</v>
      </c>
      <c r="S257" s="349">
        <f t="shared" si="91"/>
        <v>6.2998740025199491E-3</v>
      </c>
      <c r="T257" s="472"/>
      <c r="U257" s="145"/>
      <c r="V257" s="960" t="str">
        <f t="shared" si="94"/>
        <v>HT1225</v>
      </c>
      <c r="W257" s="951">
        <v>321001</v>
      </c>
      <c r="X257" s="456"/>
      <c r="Y257" s="456">
        <v>0</v>
      </c>
      <c r="Z257" s="100">
        <v>0</v>
      </c>
      <c r="AA257" s="100">
        <v>0</v>
      </c>
      <c r="AB257" s="100">
        <v>0</v>
      </c>
      <c r="AC257" s="100">
        <v>10000</v>
      </c>
      <c r="AD257" s="100">
        <v>0</v>
      </c>
      <c r="AE257" s="100">
        <v>0</v>
      </c>
      <c r="AF257" s="100">
        <v>0</v>
      </c>
      <c r="AG257" s="356"/>
      <c r="AH257" s="100">
        <v>12875</v>
      </c>
      <c r="AI257" s="100">
        <v>0</v>
      </c>
      <c r="AJ257" s="100">
        <v>9000</v>
      </c>
      <c r="AK257" s="356">
        <v>13000</v>
      </c>
      <c r="AL257" s="100">
        <v>0</v>
      </c>
      <c r="AM257" s="100">
        <v>14650</v>
      </c>
      <c r="AN257" s="100"/>
      <c r="AO257" s="100"/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86"/>
        <v>59525</v>
      </c>
      <c r="BD257" s="896">
        <f t="shared" si="87"/>
        <v>5</v>
      </c>
      <c r="BE257" s="896">
        <f t="shared" si="88"/>
        <v>11905</v>
      </c>
      <c r="BH257" s="505"/>
    </row>
    <row r="258" spans="1:60" s="38" customFormat="1" ht="15" customHeight="1">
      <c r="A258" s="68">
        <v>51</v>
      </c>
      <c r="B258" s="107" t="s">
        <v>12</v>
      </c>
      <c r="C258" s="107" t="s">
        <v>61</v>
      </c>
      <c r="D258" s="494" t="s">
        <v>81</v>
      </c>
      <c r="E258" s="540">
        <v>0</v>
      </c>
      <c r="F258" s="100">
        <f>+J258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v>0</v>
      </c>
      <c r="N258" s="356"/>
      <c r="O258" s="357">
        <f t="shared" si="80"/>
        <v>0</v>
      </c>
      <c r="P258" s="350"/>
      <c r="Q258" s="350"/>
      <c r="R258" s="350">
        <f>O258/INTGRATE!$N$293</f>
        <v>0</v>
      </c>
      <c r="S258" s="349">
        <f t="shared" si="91"/>
        <v>0</v>
      </c>
      <c r="T258" s="472"/>
      <c r="U258" s="145"/>
      <c r="V258" s="960" t="str">
        <f t="shared" si="94"/>
        <v>HT12SILO</v>
      </c>
      <c r="W258" s="951">
        <v>321001</v>
      </c>
      <c r="X258" s="456"/>
      <c r="Y258" s="456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356"/>
      <c r="AH258" s="100">
        <v>0</v>
      </c>
      <c r="AI258" s="100">
        <v>0</v>
      </c>
      <c r="AJ258" s="100">
        <v>0</v>
      </c>
      <c r="AK258" s="356">
        <v>0</v>
      </c>
      <c r="AL258" s="100">
        <v>0</v>
      </c>
      <c r="AM258" s="100">
        <v>0</v>
      </c>
      <c r="AN258" s="100"/>
      <c r="AO258" s="100"/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86"/>
        <v>0</v>
      </c>
      <c r="BD258" s="896">
        <f t="shared" si="87"/>
        <v>0</v>
      </c>
      <c r="BE258" s="896">
        <f t="shared" si="88"/>
        <v>0</v>
      </c>
      <c r="BH258" s="505"/>
    </row>
    <row r="259" spans="1:60" s="38" customFormat="1" ht="15" customHeight="1">
      <c r="A259" s="68">
        <v>52</v>
      </c>
      <c r="B259" s="107" t="s">
        <v>1439</v>
      </c>
      <c r="C259" s="107" t="s">
        <v>61</v>
      </c>
      <c r="D259" s="91">
        <v>25</v>
      </c>
      <c r="E259" s="540">
        <v>0</v>
      </c>
      <c r="F259" s="100">
        <f>SUMIF(pro!$A:$A,$V:$V,pro!$N:$N)</f>
        <v>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0</v>
      </c>
      <c r="K259" s="356">
        <f>SUMIF(AJOUT!$A:$A,BRAN!$V:$V,AJOUT!$L:$L)</f>
        <v>0</v>
      </c>
      <c r="L259" s="356">
        <f>SUMIF(CBOUT!$A:$A,BRAN!$V:$V,CBOUT!$G:$G)</f>
        <v>0</v>
      </c>
      <c r="M259" s="540">
        <f>E259+F259+H259-I259-L259+G259-K259</f>
        <v>0</v>
      </c>
      <c r="N259" s="356">
        <f t="shared" si="90"/>
        <v>0</v>
      </c>
      <c r="O259" s="357">
        <f t="shared" si="80"/>
        <v>0</v>
      </c>
      <c r="P259" s="350"/>
      <c r="Q259" s="350"/>
      <c r="R259" s="350">
        <f>O259/INTGRATE!$N$293</f>
        <v>0</v>
      </c>
      <c r="S259" s="349">
        <f t="shared" si="91"/>
        <v>0</v>
      </c>
      <c r="T259" s="472"/>
      <c r="U259" s="145"/>
      <c r="V259" s="960" t="str">
        <f t="shared" si="94"/>
        <v>HT12M25</v>
      </c>
      <c r="W259" s="951">
        <v>321012</v>
      </c>
      <c r="X259" s="456"/>
      <c r="Y259" s="456">
        <v>0</v>
      </c>
      <c r="Z259" s="100">
        <v>0</v>
      </c>
      <c r="AA259" s="100">
        <v>0</v>
      </c>
      <c r="AB259" s="100">
        <v>0</v>
      </c>
      <c r="AC259" s="100">
        <v>0</v>
      </c>
      <c r="AD259" s="100">
        <v>0</v>
      </c>
      <c r="AE259" s="100">
        <v>0</v>
      </c>
      <c r="AF259" s="100">
        <v>0</v>
      </c>
      <c r="AG259" s="356"/>
      <c r="AH259" s="100">
        <v>0</v>
      </c>
      <c r="AI259" s="100">
        <v>0</v>
      </c>
      <c r="AJ259" s="100">
        <v>0</v>
      </c>
      <c r="AK259" s="356">
        <v>0</v>
      </c>
      <c r="AL259" s="100">
        <v>0</v>
      </c>
      <c r="AM259" s="100">
        <v>0</v>
      </c>
      <c r="AN259" s="100"/>
      <c r="AO259" s="100"/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86"/>
        <v>0</v>
      </c>
      <c r="BD259" s="896">
        <f t="shared" si="87"/>
        <v>0</v>
      </c>
      <c r="BE259" s="896">
        <f t="shared" si="88"/>
        <v>0</v>
      </c>
      <c r="BH259" s="505"/>
    </row>
    <row r="260" spans="1:60" s="38" customFormat="1" ht="15" customHeight="1">
      <c r="A260" s="68">
        <v>53</v>
      </c>
      <c r="B260" s="107" t="s">
        <v>55</v>
      </c>
      <c r="C260" s="124" t="s">
        <v>1314</v>
      </c>
      <c r="D260" s="91">
        <v>25</v>
      </c>
      <c r="E260" s="540">
        <v>603</v>
      </c>
      <c r="F260" s="100">
        <f>SUMIF(pro!$A:$A,$V:$V,pro!$N:$N)</f>
        <v>0</v>
      </c>
      <c r="G260" s="356"/>
      <c r="H260" s="356">
        <f>SUMIF(CBIN!$A:$A,BRAN!$V:$V,CBIN!$G:$G)</f>
        <v>0</v>
      </c>
      <c r="I260" s="100">
        <f>SUMIF(data!$D:$D,$B260&amp;$D260,data!$J:$J)</f>
        <v>600</v>
      </c>
      <c r="J260" s="356">
        <f>SUMIF(data!$D:$D,$B260&amp;$D260,data!$K:$K)</f>
        <v>15000</v>
      </c>
      <c r="K260" s="356">
        <f>SUMIF(AJOUT!$A:$A,BRAN!$V:$V,AJOUT!$L:$L)</f>
        <v>0</v>
      </c>
      <c r="L260" s="356">
        <f>SUMIF(CBOUT!$A:$A,BRAN!$V:$V,CBOUT!$G:$G)</f>
        <v>0</v>
      </c>
      <c r="M260" s="540">
        <f>E260+F260+H260-I260-L260+G260-K260</f>
        <v>3</v>
      </c>
      <c r="N260" s="356">
        <f t="shared" si="90"/>
        <v>75</v>
      </c>
      <c r="O260" s="357">
        <f t="shared" si="80"/>
        <v>99750</v>
      </c>
      <c r="P260" s="350"/>
      <c r="Q260" s="350"/>
      <c r="R260" s="350">
        <f>O260/INTGRATE!$N$293</f>
        <v>6650</v>
      </c>
      <c r="S260" s="349">
        <f t="shared" si="91"/>
        <v>1.1278195488721804E-2</v>
      </c>
      <c r="T260" s="472"/>
      <c r="U260" s="145"/>
      <c r="V260" s="956" t="str">
        <f t="shared" si="94"/>
        <v>HT12S25</v>
      </c>
      <c r="W260" s="943">
        <v>320001</v>
      </c>
      <c r="X260" s="456"/>
      <c r="Y260" s="456">
        <v>0</v>
      </c>
      <c r="Z260" s="100">
        <v>14250</v>
      </c>
      <c r="AA260" s="100">
        <v>0</v>
      </c>
      <c r="AB260" s="100">
        <v>0</v>
      </c>
      <c r="AC260" s="100">
        <v>10000</v>
      </c>
      <c r="AD260" s="100">
        <v>16000</v>
      </c>
      <c r="AE260" s="100">
        <v>0</v>
      </c>
      <c r="AF260" s="100">
        <v>0</v>
      </c>
      <c r="AG260" s="356"/>
      <c r="AH260" s="100">
        <v>12500</v>
      </c>
      <c r="AI260" s="100">
        <v>0</v>
      </c>
      <c r="AJ260" s="100">
        <v>22000</v>
      </c>
      <c r="AK260" s="356">
        <v>10000</v>
      </c>
      <c r="AL260" s="100">
        <v>0</v>
      </c>
      <c r="AM260" s="100">
        <v>15000</v>
      </c>
      <c r="AN260" s="100"/>
      <c r="AO260" s="100"/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86"/>
        <v>99750</v>
      </c>
      <c r="BD260" s="896">
        <f t="shared" si="87"/>
        <v>7</v>
      </c>
      <c r="BE260" s="896">
        <f t="shared" si="88"/>
        <v>14250</v>
      </c>
      <c r="BH260" s="505"/>
    </row>
    <row r="261" spans="1:60" s="38" customFormat="1" ht="15" customHeight="1">
      <c r="A261" s="68">
        <v>54</v>
      </c>
      <c r="B261" s="107" t="s">
        <v>55</v>
      </c>
      <c r="C261" s="124" t="s">
        <v>1314</v>
      </c>
      <c r="D261" s="494" t="s">
        <v>81</v>
      </c>
      <c r="E261" s="540">
        <v>0</v>
      </c>
      <c r="F261" s="100">
        <f>+J261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v>0</v>
      </c>
      <c r="N261" s="356"/>
      <c r="O261" s="357">
        <f t="shared" si="80"/>
        <v>49370</v>
      </c>
      <c r="P261" s="350"/>
      <c r="Q261" s="350"/>
      <c r="R261" s="350">
        <f>O261/INTGRATE!$N$293</f>
        <v>3291.3333333333335</v>
      </c>
      <c r="S261" s="349">
        <f t="shared" si="91"/>
        <v>0</v>
      </c>
      <c r="T261" s="472"/>
      <c r="U261" s="145"/>
      <c r="V261" s="956" t="str">
        <f t="shared" si="94"/>
        <v>HT12SSILO</v>
      </c>
      <c r="W261" s="943">
        <v>320001</v>
      </c>
      <c r="X261" s="456"/>
      <c r="Y261" s="456">
        <v>13220</v>
      </c>
      <c r="Z261" s="100">
        <v>0</v>
      </c>
      <c r="AA261" s="100">
        <v>0</v>
      </c>
      <c r="AB261" s="100">
        <v>7960</v>
      </c>
      <c r="AC261" s="100">
        <v>5450</v>
      </c>
      <c r="AD261" s="100">
        <v>0</v>
      </c>
      <c r="AE261" s="100">
        <v>0</v>
      </c>
      <c r="AF261" s="100">
        <v>7470</v>
      </c>
      <c r="AG261" s="356"/>
      <c r="AH261" s="100">
        <v>0</v>
      </c>
      <c r="AI261" s="100">
        <v>0</v>
      </c>
      <c r="AJ261" s="100">
        <v>7460</v>
      </c>
      <c r="AK261" s="356">
        <v>7810</v>
      </c>
      <c r="AL261" s="100">
        <v>0</v>
      </c>
      <c r="AM261" s="100">
        <v>0</v>
      </c>
      <c r="AN261" s="100"/>
      <c r="AO261" s="100"/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86"/>
        <v>49370</v>
      </c>
      <c r="BD261" s="896">
        <f t="shared" si="87"/>
        <v>6</v>
      </c>
      <c r="BE261" s="896">
        <f t="shared" si="88"/>
        <v>8228.3333333333339</v>
      </c>
      <c r="BH261" s="505"/>
    </row>
    <row r="262" spans="1:60" s="38" customFormat="1" ht="15" customHeight="1">
      <c r="A262" s="68">
        <v>55</v>
      </c>
      <c r="B262" s="175" t="s">
        <v>1510</v>
      </c>
      <c r="C262" s="617" t="s">
        <v>1314</v>
      </c>
      <c r="D262" s="168">
        <v>25</v>
      </c>
      <c r="E262" s="540">
        <v>0</v>
      </c>
      <c r="F262" s="100">
        <f>SUMIF(pro!$A:$A,$V:$V,pro!$N:$N)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f>E262+F262+H262-I262-L262+G262-K262</f>
        <v>0</v>
      </c>
      <c r="N262" s="356">
        <f t="shared" si="90"/>
        <v>0</v>
      </c>
      <c r="O262" s="357">
        <f t="shared" si="80"/>
        <v>0</v>
      </c>
      <c r="P262" s="350"/>
      <c r="Q262" s="350"/>
      <c r="R262" s="350">
        <f>O262/INTGRATE!$N$293</f>
        <v>0</v>
      </c>
      <c r="S262" s="349">
        <f t="shared" si="91"/>
        <v>0</v>
      </c>
      <c r="T262" s="472"/>
      <c r="U262" s="145"/>
      <c r="V262" s="956" t="str">
        <f t="shared" si="94"/>
        <v>HT12SX25</v>
      </c>
      <c r="W262" s="943">
        <v>320008</v>
      </c>
      <c r="X262" s="456"/>
      <c r="Y262" s="456">
        <v>0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>
        <v>0</v>
      </c>
      <c r="AG262" s="356"/>
      <c r="AH262" s="100">
        <v>0</v>
      </c>
      <c r="AI262" s="100">
        <v>0</v>
      </c>
      <c r="AJ262" s="100">
        <v>0</v>
      </c>
      <c r="AK262" s="356">
        <v>0</v>
      </c>
      <c r="AL262" s="100">
        <v>0</v>
      </c>
      <c r="AM262" s="100">
        <v>0</v>
      </c>
      <c r="AN262" s="100"/>
      <c r="AO262" s="100"/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86"/>
        <v>0</v>
      </c>
      <c r="BD262" s="896">
        <f t="shared" si="87"/>
        <v>0</v>
      </c>
      <c r="BE262" s="896">
        <f t="shared" si="88"/>
        <v>0</v>
      </c>
      <c r="BH262" s="505"/>
    </row>
    <row r="263" spans="1:60" s="38" customFormat="1" ht="15" customHeight="1">
      <c r="A263" s="68">
        <v>56</v>
      </c>
      <c r="B263" s="175" t="s">
        <v>1510</v>
      </c>
      <c r="C263" s="617" t="s">
        <v>1314</v>
      </c>
      <c r="D263" s="701" t="s">
        <v>81</v>
      </c>
      <c r="E263" s="540">
        <v>0</v>
      </c>
      <c r="F263" s="100">
        <f>+J263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v>0</v>
      </c>
      <c r="N263" s="356"/>
      <c r="O263" s="357">
        <f t="shared" si="80"/>
        <v>30590</v>
      </c>
      <c r="P263" s="350"/>
      <c r="Q263" s="350"/>
      <c r="R263" s="350">
        <f>O263/INTGRATE!$N$293</f>
        <v>2039.3333333333333</v>
      </c>
      <c r="S263" s="349">
        <f t="shared" si="91"/>
        <v>0</v>
      </c>
      <c r="T263" s="472"/>
      <c r="U263" s="145"/>
      <c r="V263" s="956" t="str">
        <f t="shared" si="94"/>
        <v>HT12SXSILO</v>
      </c>
      <c r="W263" s="943">
        <v>320008</v>
      </c>
      <c r="X263" s="456"/>
      <c r="Y263" s="456">
        <v>0</v>
      </c>
      <c r="Z263" s="100">
        <v>0</v>
      </c>
      <c r="AA263" s="100">
        <v>0</v>
      </c>
      <c r="AB263" s="100">
        <v>15290</v>
      </c>
      <c r="AC263" s="100">
        <v>0</v>
      </c>
      <c r="AD263" s="100">
        <v>0</v>
      </c>
      <c r="AE263" s="100">
        <v>0</v>
      </c>
      <c r="AF263" s="100">
        <v>0</v>
      </c>
      <c r="AG263" s="356"/>
      <c r="AH263" s="100">
        <v>0</v>
      </c>
      <c r="AI263" s="100">
        <v>0</v>
      </c>
      <c r="AJ263" s="100">
        <v>0</v>
      </c>
      <c r="AK263" s="356">
        <v>0</v>
      </c>
      <c r="AL263" s="100">
        <v>15300</v>
      </c>
      <c r="AM263" s="100">
        <v>0</v>
      </c>
      <c r="AN263" s="100"/>
      <c r="AO263" s="100"/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86"/>
        <v>30590</v>
      </c>
      <c r="BD263" s="896">
        <f t="shared" si="87"/>
        <v>2</v>
      </c>
      <c r="BE263" s="896">
        <f t="shared" si="88"/>
        <v>15295</v>
      </c>
      <c r="BH263" s="505"/>
    </row>
    <row r="264" spans="1:60" s="38" customFormat="1" ht="15" customHeight="1">
      <c r="A264" s="68">
        <v>57</v>
      </c>
      <c r="B264" s="107" t="s">
        <v>11</v>
      </c>
      <c r="C264" s="107" t="s">
        <v>61</v>
      </c>
      <c r="D264" s="91">
        <v>25</v>
      </c>
      <c r="E264" s="540">
        <v>0</v>
      </c>
      <c r="F264" s="100">
        <f>SUMIF(pro!$A:$A,$V:$V,pro!$N:$N)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f>E264+F264+H264-I264-L264+G264-K264</f>
        <v>0</v>
      </c>
      <c r="N264" s="356">
        <f t="shared" si="90"/>
        <v>0</v>
      </c>
      <c r="O264" s="357">
        <f t="shared" si="80"/>
        <v>325</v>
      </c>
      <c r="P264" s="350"/>
      <c r="Q264" s="350"/>
      <c r="R264" s="350">
        <f>O264/INTGRATE!$N$293</f>
        <v>21.666666666666668</v>
      </c>
      <c r="S264" s="349">
        <f t="shared" si="91"/>
        <v>0</v>
      </c>
      <c r="T264" s="472"/>
      <c r="U264" s="145"/>
      <c r="V264" s="960" t="str">
        <f t="shared" si="94"/>
        <v>HT1325</v>
      </c>
      <c r="W264" s="951">
        <v>332301</v>
      </c>
      <c r="X264" s="456"/>
      <c r="Y264" s="456">
        <v>325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356"/>
      <c r="AH264" s="100">
        <v>0</v>
      </c>
      <c r="AI264" s="100">
        <v>0</v>
      </c>
      <c r="AJ264" s="100">
        <v>0</v>
      </c>
      <c r="AK264" s="356">
        <v>0</v>
      </c>
      <c r="AL264" s="100">
        <v>0</v>
      </c>
      <c r="AM264" s="100">
        <v>0</v>
      </c>
      <c r="AN264" s="100"/>
      <c r="AO264" s="100"/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86"/>
        <v>325</v>
      </c>
      <c r="BD264" s="896">
        <f t="shared" si="87"/>
        <v>1</v>
      </c>
      <c r="BE264" s="896">
        <f t="shared" si="88"/>
        <v>325</v>
      </c>
      <c r="BH264" s="505"/>
    </row>
    <row r="265" spans="1:60" s="38" customFormat="1" ht="15" customHeight="1">
      <c r="A265" s="68">
        <v>58</v>
      </c>
      <c r="B265" s="107" t="s">
        <v>78</v>
      </c>
      <c r="C265" s="107" t="s">
        <v>61</v>
      </c>
      <c r="D265" s="91" t="s">
        <v>81</v>
      </c>
      <c r="E265" s="540">
        <v>0</v>
      </c>
      <c r="F265" s="100">
        <f>+J265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v>0</v>
      </c>
      <c r="N265" s="356"/>
      <c r="O265" s="357">
        <f t="shared" si="80"/>
        <v>12830</v>
      </c>
      <c r="P265" s="350"/>
      <c r="Q265" s="350"/>
      <c r="R265" s="350">
        <f>O265/INTGRATE!$N$293</f>
        <v>855.33333333333337</v>
      </c>
      <c r="S265" s="349">
        <f t="shared" si="91"/>
        <v>0</v>
      </c>
      <c r="T265" s="706"/>
      <c r="U265" s="145"/>
      <c r="V265" s="960" t="str">
        <f t="shared" si="94"/>
        <v>HT13SSILO</v>
      </c>
      <c r="W265" s="951">
        <v>332101</v>
      </c>
      <c r="X265" s="456"/>
      <c r="Y265" s="456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356"/>
      <c r="AH265" s="100">
        <v>0</v>
      </c>
      <c r="AI265" s="100">
        <v>0</v>
      </c>
      <c r="AJ265" s="100">
        <v>0</v>
      </c>
      <c r="AK265" s="356">
        <v>12830</v>
      </c>
      <c r="AL265" s="100">
        <v>0</v>
      </c>
      <c r="AM265" s="100">
        <v>0</v>
      </c>
      <c r="AN265" s="100"/>
      <c r="AO265" s="100"/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86"/>
        <v>12830</v>
      </c>
      <c r="BD265" s="896">
        <f t="shared" si="87"/>
        <v>1</v>
      </c>
      <c r="BE265" s="896">
        <f t="shared" si="88"/>
        <v>12830</v>
      </c>
      <c r="BH265" s="505"/>
    </row>
    <row r="266" spans="1:60" s="38" customFormat="1" ht="15" customHeight="1">
      <c r="A266" s="68">
        <v>59</v>
      </c>
      <c r="B266" s="107" t="s">
        <v>78</v>
      </c>
      <c r="C266" s="107" t="s">
        <v>61</v>
      </c>
      <c r="D266" s="91">
        <v>25</v>
      </c>
      <c r="E266" s="540">
        <v>0</v>
      </c>
      <c r="F266" s="100">
        <f>SUMIF(pro!$A:$A,$V:$V,pro!$N:$N)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E266+F266+H266-I266-L266+G266-K266</f>
        <v>0</v>
      </c>
      <c r="N266" s="356">
        <f t="shared" si="90"/>
        <v>0</v>
      </c>
      <c r="O266" s="357">
        <f t="shared" si="80"/>
        <v>0</v>
      </c>
      <c r="P266" s="350"/>
      <c r="Q266" s="350"/>
      <c r="R266" s="350">
        <f>O266/INTGRATE!$N$293</f>
        <v>0</v>
      </c>
      <c r="S266" s="349">
        <f t="shared" si="91"/>
        <v>0</v>
      </c>
      <c r="T266" s="473"/>
      <c r="U266" s="145"/>
      <c r="V266" s="960" t="str">
        <f t="shared" si="94"/>
        <v>HT13S25</v>
      </c>
      <c r="W266" s="951">
        <v>332101</v>
      </c>
      <c r="X266" s="456"/>
      <c r="Y266" s="456">
        <v>0</v>
      </c>
      <c r="Z266" s="100">
        <v>0</v>
      </c>
      <c r="AA266" s="100">
        <v>0</v>
      </c>
      <c r="AB266" s="100">
        <v>0</v>
      </c>
      <c r="AC266" s="100">
        <v>0</v>
      </c>
      <c r="AD266" s="100">
        <v>0</v>
      </c>
      <c r="AE266" s="100">
        <v>0</v>
      </c>
      <c r="AF266" s="100">
        <v>0</v>
      </c>
      <c r="AG266" s="356"/>
      <c r="AH266" s="100">
        <v>0</v>
      </c>
      <c r="AI266" s="100">
        <v>0</v>
      </c>
      <c r="AJ266" s="100">
        <v>0</v>
      </c>
      <c r="AK266" s="356">
        <v>0</v>
      </c>
      <c r="AL266" s="100">
        <v>0</v>
      </c>
      <c r="AM266" s="100">
        <v>0</v>
      </c>
      <c r="AN266" s="100"/>
      <c r="AO266" s="100"/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86"/>
        <v>0</v>
      </c>
      <c r="BD266" s="896">
        <f t="shared" si="87"/>
        <v>0</v>
      </c>
      <c r="BE266" s="896">
        <f t="shared" si="88"/>
        <v>0</v>
      </c>
      <c r="BH266" s="505"/>
    </row>
    <row r="267" spans="1:60" s="38" customFormat="1" ht="15" customHeight="1">
      <c r="A267" s="68">
        <v>60</v>
      </c>
      <c r="B267" s="190" t="s">
        <v>51</v>
      </c>
      <c r="C267" s="178" t="s">
        <v>61</v>
      </c>
      <c r="D267" s="179">
        <v>25</v>
      </c>
      <c r="E267" s="540">
        <v>0</v>
      </c>
      <c r="F267" s="100">
        <f>SUMIF(pro!$A:$A,$V:$V,pro!$N:$N)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E267+F267+H267-I267-L267+G267-K267</f>
        <v>0</v>
      </c>
      <c r="N267" s="356">
        <f t="shared" si="90"/>
        <v>0</v>
      </c>
      <c r="O267" s="357">
        <f t="shared" si="80"/>
        <v>29600</v>
      </c>
      <c r="P267" s="350"/>
      <c r="Q267" s="350"/>
      <c r="R267" s="350">
        <f>O267/INTGRATE!$N$293</f>
        <v>1973.3333333333333</v>
      </c>
      <c r="S267" s="349">
        <f t="shared" si="91"/>
        <v>0</v>
      </c>
      <c r="T267" s="470"/>
      <c r="U267" s="145"/>
      <c r="V267" s="960" t="str">
        <f t="shared" si="94"/>
        <v>HG1625</v>
      </c>
      <c r="W267" s="951">
        <v>366201</v>
      </c>
      <c r="X267" s="456"/>
      <c r="Y267" s="456">
        <v>11125</v>
      </c>
      <c r="Z267" s="100">
        <v>0</v>
      </c>
      <c r="AA267" s="100">
        <v>500</v>
      </c>
      <c r="AB267" s="100">
        <v>0</v>
      </c>
      <c r="AC267" s="100">
        <v>1750</v>
      </c>
      <c r="AD267" s="100">
        <v>0</v>
      </c>
      <c r="AE267" s="100">
        <v>14625</v>
      </c>
      <c r="AF267" s="100">
        <v>0</v>
      </c>
      <c r="AG267" s="356"/>
      <c r="AH267" s="100">
        <v>0</v>
      </c>
      <c r="AI267" s="100">
        <v>0</v>
      </c>
      <c r="AJ267" s="100">
        <v>1600</v>
      </c>
      <c r="AK267" s="356">
        <v>0</v>
      </c>
      <c r="AL267" s="100">
        <v>0</v>
      </c>
      <c r="AM267" s="100">
        <v>0</v>
      </c>
      <c r="AN267" s="100"/>
      <c r="AO267" s="100"/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86"/>
        <v>29600</v>
      </c>
      <c r="BD267" s="896">
        <f t="shared" si="87"/>
        <v>5</v>
      </c>
      <c r="BE267" s="896">
        <f t="shared" si="88"/>
        <v>5920</v>
      </c>
      <c r="BH267" s="704"/>
    </row>
    <row r="268" spans="1:60" s="38" customFormat="1" ht="15" customHeight="1">
      <c r="A268" s="68">
        <v>61</v>
      </c>
      <c r="B268" s="190" t="s">
        <v>51</v>
      </c>
      <c r="C268" s="178" t="s">
        <v>61</v>
      </c>
      <c r="D268" s="702" t="s">
        <v>81</v>
      </c>
      <c r="E268" s="540">
        <v>0</v>
      </c>
      <c r="F268" s="100">
        <f>+J268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+F268-J268</f>
        <v>0</v>
      </c>
      <c r="N268" s="356"/>
      <c r="O268" s="357">
        <f t="shared" si="80"/>
        <v>14470</v>
      </c>
      <c r="P268" s="355"/>
      <c r="Q268" s="355"/>
      <c r="R268" s="350">
        <f>O268/INTGRATE!$N$293</f>
        <v>964.66666666666663</v>
      </c>
      <c r="S268" s="349">
        <f t="shared" si="91"/>
        <v>0</v>
      </c>
      <c r="T268" s="470"/>
      <c r="U268" s="145"/>
      <c r="V268" s="960" t="str">
        <f t="shared" si="94"/>
        <v>HG16SILO</v>
      </c>
      <c r="W268" s="951">
        <v>366201</v>
      </c>
      <c r="X268" s="456"/>
      <c r="Y268" s="456">
        <v>0</v>
      </c>
      <c r="Z268" s="100">
        <v>0</v>
      </c>
      <c r="AA268" s="100">
        <v>0</v>
      </c>
      <c r="AB268" s="100">
        <v>5180</v>
      </c>
      <c r="AC268" s="100">
        <v>0</v>
      </c>
      <c r="AD268" s="100">
        <v>0</v>
      </c>
      <c r="AE268" s="100">
        <v>3990</v>
      </c>
      <c r="AF268" s="100">
        <v>0</v>
      </c>
      <c r="AG268" s="356"/>
      <c r="AH268" s="100">
        <v>0</v>
      </c>
      <c r="AI268" s="100">
        <v>0</v>
      </c>
      <c r="AJ268" s="100">
        <v>0</v>
      </c>
      <c r="AK268" s="356">
        <v>5300</v>
      </c>
      <c r="AL268" s="100">
        <v>0</v>
      </c>
      <c r="AM268" s="100">
        <v>0</v>
      </c>
      <c r="AN268" s="100"/>
      <c r="AO268" s="100"/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86"/>
        <v>14470</v>
      </c>
      <c r="BD268" s="896">
        <f t="shared" si="87"/>
        <v>3</v>
      </c>
      <c r="BE268" s="896">
        <f t="shared" si="88"/>
        <v>4823.333333333333</v>
      </c>
      <c r="BH268" s="505"/>
    </row>
    <row r="269" spans="1:60" s="38" customFormat="1" ht="15" customHeight="1">
      <c r="A269" s="68">
        <v>62</v>
      </c>
      <c r="B269" s="190" t="s">
        <v>1519</v>
      </c>
      <c r="C269" s="178" t="s">
        <v>61</v>
      </c>
      <c r="D269" s="702" t="s">
        <v>81</v>
      </c>
      <c r="E269" s="540">
        <v>0</v>
      </c>
      <c r="F269" s="100">
        <f>+J269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+F269-J269</f>
        <v>0</v>
      </c>
      <c r="N269" s="356"/>
      <c r="O269" s="357">
        <f t="shared" si="80"/>
        <v>7720</v>
      </c>
      <c r="P269" s="355"/>
      <c r="Q269" s="355"/>
      <c r="R269" s="350">
        <f>O269/INTGRATE!$N$293</f>
        <v>514.66666666666663</v>
      </c>
      <c r="S269" s="349">
        <f t="shared" si="91"/>
        <v>0</v>
      </c>
      <c r="T269" s="470"/>
      <c r="U269" s="145"/>
      <c r="V269" s="960" t="str">
        <f>B269&amp;D269</f>
        <v>HG16XSILO</v>
      </c>
      <c r="W269" s="951">
        <v>366208</v>
      </c>
      <c r="X269" s="456"/>
      <c r="Y269" s="456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356"/>
      <c r="AH269" s="100">
        <v>0</v>
      </c>
      <c r="AI269" s="100">
        <v>0</v>
      </c>
      <c r="AJ269" s="100">
        <v>7720</v>
      </c>
      <c r="AK269" s="356">
        <v>0</v>
      </c>
      <c r="AL269" s="100">
        <v>0</v>
      </c>
      <c r="AM269" s="100">
        <v>0</v>
      </c>
      <c r="AN269" s="100"/>
      <c r="AO269" s="100"/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86"/>
        <v>7720</v>
      </c>
      <c r="BD269" s="896">
        <f t="shared" si="87"/>
        <v>1</v>
      </c>
      <c r="BE269" s="896">
        <f t="shared" si="88"/>
        <v>7720</v>
      </c>
      <c r="BH269" s="505"/>
    </row>
    <row r="270" spans="1:60" s="38" customFormat="1" ht="15" customHeight="1">
      <c r="A270" s="68">
        <v>63</v>
      </c>
      <c r="B270" s="190" t="s">
        <v>1519</v>
      </c>
      <c r="C270" s="178" t="s">
        <v>61</v>
      </c>
      <c r="D270" s="702">
        <v>25</v>
      </c>
      <c r="E270" s="540">
        <v>0</v>
      </c>
      <c r="F270" s="100">
        <f>SUMIF(pro!$A:$A,$V:$V,pro!$N:$N)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E270+F270+H270-I270-L270+G270-K270</f>
        <v>0</v>
      </c>
      <c r="N270" s="356"/>
      <c r="O270" s="357">
        <f t="shared" ref="O270" si="109">SUM(X270:BB270)</f>
        <v>0</v>
      </c>
      <c r="P270" s="355"/>
      <c r="Q270" s="355"/>
      <c r="R270" s="350">
        <f>O270/INTGRATE!$N$293</f>
        <v>0</v>
      </c>
      <c r="S270" s="349">
        <f t="shared" si="91"/>
        <v>0</v>
      </c>
      <c r="T270" s="470"/>
      <c r="U270" s="145"/>
      <c r="V270" s="960" t="str">
        <f>B270&amp;D270</f>
        <v>HG16X25</v>
      </c>
      <c r="W270" s="951">
        <v>366208</v>
      </c>
      <c r="X270" s="456"/>
      <c r="Y270" s="456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0</v>
      </c>
      <c r="AF270" s="100">
        <v>0</v>
      </c>
      <c r="AG270" s="356"/>
      <c r="AH270" s="100">
        <v>0</v>
      </c>
      <c r="AI270" s="100">
        <v>0</v>
      </c>
      <c r="AJ270" s="100">
        <v>0</v>
      </c>
      <c r="AK270" s="356">
        <v>0</v>
      </c>
      <c r="AL270" s="100">
        <v>0</v>
      </c>
      <c r="AM270" s="100">
        <v>0</v>
      </c>
      <c r="AN270" s="100"/>
      <c r="AO270" s="100"/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86"/>
        <v>0</v>
      </c>
      <c r="BD270" s="896">
        <f t="shared" si="87"/>
        <v>0</v>
      </c>
      <c r="BE270" s="896">
        <f t="shared" si="88"/>
        <v>0</v>
      </c>
      <c r="BH270" s="505"/>
    </row>
    <row r="271" spans="1:60" s="38" customFormat="1" ht="15" customHeight="1">
      <c r="A271" s="68">
        <v>64</v>
      </c>
      <c r="B271" s="190" t="s">
        <v>1354</v>
      </c>
      <c r="C271" s="178" t="s">
        <v>61</v>
      </c>
      <c r="D271" s="179">
        <v>25</v>
      </c>
      <c r="E271" s="540">
        <v>2</v>
      </c>
      <c r="F271" s="100">
        <f>SUMIF(pro!$A:$A,$V:$V,pro!$N:$N)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E271+F271+H271-I271-L271+G271-K271</f>
        <v>2</v>
      </c>
      <c r="N271" s="356">
        <f t="shared" si="90"/>
        <v>50</v>
      </c>
      <c r="O271" s="357">
        <f t="shared" si="80"/>
        <v>38025</v>
      </c>
      <c r="P271" s="350"/>
      <c r="Q271" s="350"/>
      <c r="R271" s="350">
        <f>O271/INTGRATE!$N$293</f>
        <v>2535</v>
      </c>
      <c r="S271" s="349">
        <f t="shared" si="91"/>
        <v>1.9723865877712032E-2</v>
      </c>
      <c r="T271" s="470"/>
      <c r="U271" s="145"/>
      <c r="V271" s="960" t="str">
        <f t="shared" si="94"/>
        <v>HG17S25</v>
      </c>
      <c r="W271" s="951">
        <v>367101</v>
      </c>
      <c r="X271" s="456"/>
      <c r="Y271" s="456">
        <v>13250</v>
      </c>
      <c r="Z271" s="100">
        <v>0</v>
      </c>
      <c r="AA271" s="100">
        <v>625</v>
      </c>
      <c r="AB271" s="100">
        <v>0</v>
      </c>
      <c r="AC271" s="100">
        <v>750</v>
      </c>
      <c r="AD271" s="100">
        <v>1000</v>
      </c>
      <c r="AE271" s="100">
        <v>21250</v>
      </c>
      <c r="AF271" s="100">
        <v>0</v>
      </c>
      <c r="AG271" s="356"/>
      <c r="AH271" s="100">
        <v>250</v>
      </c>
      <c r="AI271" s="100">
        <v>0</v>
      </c>
      <c r="AJ271" s="100">
        <v>900</v>
      </c>
      <c r="AK271" s="356">
        <v>0</v>
      </c>
      <c r="AL271" s="100">
        <v>0</v>
      </c>
      <c r="AM271" s="100">
        <v>0</v>
      </c>
      <c r="AN271" s="100"/>
      <c r="AO271" s="100"/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86"/>
        <v>38025</v>
      </c>
      <c r="BD271" s="896">
        <f t="shared" si="87"/>
        <v>7</v>
      </c>
      <c r="BE271" s="896">
        <f t="shared" si="88"/>
        <v>5432.1428571428569</v>
      </c>
      <c r="BH271" s="505"/>
    </row>
    <row r="272" spans="1:60" s="38" customFormat="1" ht="15" customHeight="1">
      <c r="A272" s="68">
        <v>65</v>
      </c>
      <c r="B272" s="190" t="s">
        <v>1354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f>SUMIF(AJOUT!$A:$A,BRAN!$V:$V,AJOUT!$L:$L)</f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80"/>
        <v>3870</v>
      </c>
      <c r="P272" s="355"/>
      <c r="Q272" s="355"/>
      <c r="R272" s="350">
        <f>O272/INTGRATE!$N$293</f>
        <v>258</v>
      </c>
      <c r="S272" s="349">
        <f t="shared" si="91"/>
        <v>0</v>
      </c>
      <c r="T272" s="677"/>
      <c r="U272" s="145"/>
      <c r="V272" s="960" t="str">
        <f t="shared" si="94"/>
        <v>HG17SSILO</v>
      </c>
      <c r="W272" s="951">
        <v>367101</v>
      </c>
      <c r="X272" s="456"/>
      <c r="Y272" s="456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3870</v>
      </c>
      <c r="AF272" s="100">
        <v>0</v>
      </c>
      <c r="AG272" s="356"/>
      <c r="AH272" s="100">
        <v>0</v>
      </c>
      <c r="AI272" s="100">
        <v>0</v>
      </c>
      <c r="AJ272" s="100">
        <v>0</v>
      </c>
      <c r="AK272" s="356">
        <v>0</v>
      </c>
      <c r="AL272" s="100">
        <v>0</v>
      </c>
      <c r="AM272" s="100">
        <v>0</v>
      </c>
      <c r="AN272" s="100"/>
      <c r="AO272" s="100"/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86"/>
        <v>3870</v>
      </c>
      <c r="BD272" s="896">
        <f t="shared" si="87"/>
        <v>1</v>
      </c>
      <c r="BE272" s="896">
        <f t="shared" si="88"/>
        <v>3870</v>
      </c>
      <c r="BH272" s="505"/>
    </row>
    <row r="273" spans="1:151" s="38" customFormat="1" ht="15" customHeight="1">
      <c r="A273" s="68">
        <v>66</v>
      </c>
      <c r="B273" s="190" t="s">
        <v>1523</v>
      </c>
      <c r="C273" s="178" t="s">
        <v>61</v>
      </c>
      <c r="D273" s="702" t="s">
        <v>81</v>
      </c>
      <c r="E273" s="540">
        <v>0</v>
      </c>
      <c r="F273" s="100">
        <f>+J273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f>SUMIF(AJOUT!$A:$A,BRAN!$V:$V,AJOUT!$L:$L)</f>
        <v>0</v>
      </c>
      <c r="L273" s="356">
        <f>SUMIF(CBOUT!$A:$A,BRAN!$V:$V,CBOUT!$G:$G)</f>
        <v>0</v>
      </c>
      <c r="M273" s="540">
        <f>+F273-J273</f>
        <v>0</v>
      </c>
      <c r="N273" s="356"/>
      <c r="O273" s="357">
        <f t="shared" si="80"/>
        <v>5990</v>
      </c>
      <c r="P273" s="355"/>
      <c r="Q273" s="355"/>
      <c r="R273" s="350">
        <f>O273/INTGRATE!$N$293</f>
        <v>399.33333333333331</v>
      </c>
      <c r="S273" s="349">
        <f t="shared" si="91"/>
        <v>0</v>
      </c>
      <c r="T273" s="677"/>
      <c r="U273" s="145"/>
      <c r="V273" s="960" t="str">
        <f t="shared" si="94"/>
        <v>HG17SXSILO</v>
      </c>
      <c r="W273" s="951">
        <v>367108</v>
      </c>
      <c r="X273" s="456"/>
      <c r="Y273" s="456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356"/>
      <c r="AH273" s="100">
        <v>0</v>
      </c>
      <c r="AI273" s="100">
        <v>0</v>
      </c>
      <c r="AJ273" s="100">
        <v>5990</v>
      </c>
      <c r="AK273" s="356">
        <v>0</v>
      </c>
      <c r="AL273" s="100">
        <v>0</v>
      </c>
      <c r="AM273" s="100">
        <v>0</v>
      </c>
      <c r="AN273" s="100"/>
      <c r="AO273" s="100"/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si="86"/>
        <v>5990</v>
      </c>
      <c r="BD273" s="896">
        <f t="shared" si="87"/>
        <v>1</v>
      </c>
      <c r="BE273" s="896">
        <f t="shared" si="88"/>
        <v>5990</v>
      </c>
      <c r="BH273" s="505"/>
    </row>
    <row r="274" spans="1:151" s="38" customFormat="1" ht="15" customHeight="1">
      <c r="A274" s="68">
        <v>67</v>
      </c>
      <c r="B274" s="190" t="s">
        <v>52</v>
      </c>
      <c r="C274" s="178" t="s">
        <v>61</v>
      </c>
      <c r="D274" s="702" t="s">
        <v>81</v>
      </c>
      <c r="E274" s="540">
        <v>0</v>
      </c>
      <c r="F274" s="100">
        <f>+J274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v>0</v>
      </c>
      <c r="L274" s="356">
        <f>SUMIF(CBOUT!$A:$A,BRAN!$V:$V,CBOUT!$G:$G)</f>
        <v>0</v>
      </c>
      <c r="M274" s="540">
        <f>+F274-J274</f>
        <v>0</v>
      </c>
      <c r="N274" s="356"/>
      <c r="O274" s="357">
        <f t="shared" si="80"/>
        <v>0</v>
      </c>
      <c r="P274" s="355"/>
      <c r="Q274" s="355"/>
      <c r="R274" s="350">
        <f>O274/INTGRATE!$N$293</f>
        <v>0</v>
      </c>
      <c r="S274" s="349">
        <f t="shared" si="91"/>
        <v>0</v>
      </c>
      <c r="T274" s="677"/>
      <c r="U274" s="145"/>
      <c r="V274" s="960" t="str">
        <f t="shared" si="94"/>
        <v>HG17SILO</v>
      </c>
      <c r="W274" s="951">
        <v>367201</v>
      </c>
      <c r="X274" s="456"/>
      <c r="Y274" s="456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356"/>
      <c r="AH274" s="100">
        <v>0</v>
      </c>
      <c r="AI274" s="100">
        <v>0</v>
      </c>
      <c r="AJ274" s="100">
        <v>0</v>
      </c>
      <c r="AK274" s="356">
        <v>0</v>
      </c>
      <c r="AL274" s="100">
        <v>0</v>
      </c>
      <c r="AM274" s="100">
        <v>0</v>
      </c>
      <c r="AN274" s="100"/>
      <c r="AO274" s="100"/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si="86"/>
        <v>0</v>
      </c>
      <c r="BD274" s="896">
        <f t="shared" si="87"/>
        <v>0</v>
      </c>
      <c r="BE274" s="896">
        <f t="shared" si="88"/>
        <v>0</v>
      </c>
      <c r="BH274" s="505"/>
    </row>
    <row r="275" spans="1:151" s="38" customFormat="1" ht="15" customHeight="1">
      <c r="A275" s="68">
        <v>68</v>
      </c>
      <c r="B275" s="190" t="s">
        <v>52</v>
      </c>
      <c r="C275" s="178" t="s">
        <v>61</v>
      </c>
      <c r="D275" s="179">
        <v>25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90"/>
        <v>0</v>
      </c>
      <c r="O275" s="357">
        <f t="shared" si="80"/>
        <v>0</v>
      </c>
      <c r="P275" s="350"/>
      <c r="Q275" s="350"/>
      <c r="R275" s="350">
        <f>O275/INTGRATE!$N$293</f>
        <v>0</v>
      </c>
      <c r="S275" s="349">
        <f t="shared" si="91"/>
        <v>0</v>
      </c>
      <c r="T275" s="471"/>
      <c r="U275" s="145"/>
      <c r="V275" s="960" t="str">
        <f t="shared" si="94"/>
        <v>HG1725</v>
      </c>
      <c r="W275" s="951">
        <v>367201</v>
      </c>
      <c r="X275" s="456"/>
      <c r="Y275" s="456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356"/>
      <c r="AH275" s="100">
        <v>0</v>
      </c>
      <c r="AI275" s="100">
        <v>0</v>
      </c>
      <c r="AJ275" s="100">
        <v>0</v>
      </c>
      <c r="AK275" s="356">
        <v>0</v>
      </c>
      <c r="AL275" s="100">
        <v>0</v>
      </c>
      <c r="AM275" s="100">
        <v>0</v>
      </c>
      <c r="AN275" s="100"/>
      <c r="AO275" s="100"/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ref="BC275:BC277" si="110">SUM(X275:BB275)</f>
        <v>0</v>
      </c>
      <c r="BD275" s="896">
        <f t="shared" ref="BD275:BD277" si="111">COUNTIF(X275:BB275,"&gt;0")</f>
        <v>0</v>
      </c>
      <c r="BE275" s="896">
        <f t="shared" ref="BE275:BE277" si="112">IFERROR(BC275/BD275,0)</f>
        <v>0</v>
      </c>
      <c r="BH275" s="505"/>
    </row>
    <row r="276" spans="1:151" s="38" customFormat="1" ht="15" customHeight="1">
      <c r="A276" s="68">
        <v>69</v>
      </c>
      <c r="B276" s="375" t="s">
        <v>15</v>
      </c>
      <c r="C276" s="376" t="s">
        <v>61</v>
      </c>
      <c r="D276" s="378">
        <v>25</v>
      </c>
      <c r="E276" s="540">
        <v>0</v>
      </c>
      <c r="F276" s="100">
        <f>SUMIF(pro!$A:$A,$V:$V,pro!$N:$N)</f>
        <v>0</v>
      </c>
      <c r="G276" s="356"/>
      <c r="H276" s="356">
        <f>SUMIF(CBIN!$A:$A,BRAN!$V:$V,CBIN!$G:$G)</f>
        <v>0</v>
      </c>
      <c r="I276" s="100">
        <f>SUMIF(data!$D:$D,$B276&amp;$D276,data!$J:$J)</f>
        <v>0</v>
      </c>
      <c r="J276" s="356">
        <f>SUMIF(data!$D:$D,$B276&amp;$D276,data!$K:$K)</f>
        <v>0</v>
      </c>
      <c r="K276" s="356">
        <f>SUMIF(AJOUT!$A:$A,BRAN!$V:$V,AJOUT!$L:$L)</f>
        <v>0</v>
      </c>
      <c r="L276" s="356">
        <f>SUMIF(CBOUT!$A:$A,BRAN!$V:$V,CBOUT!$G:$G)</f>
        <v>0</v>
      </c>
      <c r="M276" s="540">
        <f>E276+F276+H276-I276-L276+G276-K276</f>
        <v>0</v>
      </c>
      <c r="N276" s="356">
        <f t="shared" si="90"/>
        <v>0</v>
      </c>
      <c r="O276" s="357">
        <f t="shared" si="80"/>
        <v>0</v>
      </c>
      <c r="P276" s="350"/>
      <c r="Q276" s="350"/>
      <c r="R276" s="350">
        <f>O276/INTGRATE!$N$293</f>
        <v>0</v>
      </c>
      <c r="S276" s="349">
        <f t="shared" si="91"/>
        <v>0</v>
      </c>
      <c r="T276" s="677"/>
      <c r="U276" s="145"/>
      <c r="V276" s="960" t="str">
        <f t="shared" si="94"/>
        <v>VD1425</v>
      </c>
      <c r="W276" s="951">
        <v>216201</v>
      </c>
      <c r="X276" s="456"/>
      <c r="Y276" s="456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356"/>
      <c r="AH276" s="100">
        <v>0</v>
      </c>
      <c r="AI276" s="100">
        <v>0</v>
      </c>
      <c r="AJ276" s="100">
        <v>0</v>
      </c>
      <c r="AK276" s="356">
        <v>0</v>
      </c>
      <c r="AL276" s="100">
        <v>0</v>
      </c>
      <c r="AM276" s="100">
        <v>0</v>
      </c>
      <c r="AN276" s="100"/>
      <c r="AO276" s="100"/>
      <c r="AP276" s="100"/>
      <c r="AQ276" s="356"/>
      <c r="AR276" s="100"/>
      <c r="AS276" s="100"/>
      <c r="AT276" s="100"/>
      <c r="AU276" s="356"/>
      <c r="AV276" s="100"/>
      <c r="AW276" s="100"/>
      <c r="AX276" s="100"/>
      <c r="AY276" s="100"/>
      <c r="AZ276" s="100"/>
      <c r="BA276" s="100"/>
      <c r="BB276" s="100"/>
      <c r="BC276" s="298">
        <f t="shared" si="110"/>
        <v>0</v>
      </c>
      <c r="BD276" s="896">
        <f t="shared" si="111"/>
        <v>0</v>
      </c>
      <c r="BE276" s="896">
        <f t="shared" si="112"/>
        <v>0</v>
      </c>
      <c r="BH276" s="505"/>
    </row>
    <row r="277" spans="1:151" s="108" customFormat="1" ht="15" customHeight="1">
      <c r="A277" s="68">
        <v>70</v>
      </c>
      <c r="B277" s="375" t="s">
        <v>15</v>
      </c>
      <c r="C277" s="376" t="s">
        <v>61</v>
      </c>
      <c r="D277" s="378">
        <v>40</v>
      </c>
      <c r="E277" s="540">
        <v>0</v>
      </c>
      <c r="F277" s="100">
        <f>SUMIF(pro!$A:$A,$V:$V,pro!$N:$N)</f>
        <v>0</v>
      </c>
      <c r="G277" s="356"/>
      <c r="H277" s="356">
        <f>SUMIF(CBIN!$A:$A,BRAN!$V:$V,CBIN!$G:$G)</f>
        <v>0</v>
      </c>
      <c r="I277" s="100">
        <f>SUMIF(data!$D:$D,$B277&amp;$D277,data!$J:$J)</f>
        <v>0</v>
      </c>
      <c r="J277" s="356">
        <f>SUMIF(data!$D:$D,$B277&amp;$D277,data!$K:$K)</f>
        <v>0</v>
      </c>
      <c r="K277" s="356">
        <f>SUMIF(AJOUT!$A:$A,BRAN!$V:$V,AJOUT!$L:$L)</f>
        <v>0</v>
      </c>
      <c r="L277" s="356">
        <f>SUMIF(CBOUT!$A:$A,BRAN!$V:$V,CBOUT!$G:$G)</f>
        <v>0</v>
      </c>
      <c r="M277" s="540">
        <f>E277+F277+H277-I277-L277+G277-K277</f>
        <v>0</v>
      </c>
      <c r="N277" s="356">
        <f t="shared" si="90"/>
        <v>0</v>
      </c>
      <c r="O277" s="357">
        <f t="shared" si="80"/>
        <v>0</v>
      </c>
      <c r="P277" s="350"/>
      <c r="Q277" s="350"/>
      <c r="R277" s="350">
        <f>O277/INTGRATE!$N$293</f>
        <v>0</v>
      </c>
      <c r="S277" s="349">
        <f t="shared" si="91"/>
        <v>0</v>
      </c>
      <c r="T277" s="470"/>
      <c r="U277" s="145"/>
      <c r="V277" s="960" t="str">
        <f t="shared" si="94"/>
        <v>VD1440</v>
      </c>
      <c r="W277" s="951">
        <v>216201</v>
      </c>
      <c r="X277" s="456"/>
      <c r="Y277" s="456">
        <v>0</v>
      </c>
      <c r="Z277" s="100">
        <v>0</v>
      </c>
      <c r="AA277" s="100">
        <v>0</v>
      </c>
      <c r="AB277" s="100">
        <v>0</v>
      </c>
      <c r="AC277" s="100">
        <v>0</v>
      </c>
      <c r="AD277" s="100">
        <v>0</v>
      </c>
      <c r="AE277" s="100">
        <v>0</v>
      </c>
      <c r="AF277" s="100">
        <v>0</v>
      </c>
      <c r="AG277" s="356"/>
      <c r="AH277" s="100">
        <v>0</v>
      </c>
      <c r="AI277" s="100">
        <v>0</v>
      </c>
      <c r="AJ277" s="100">
        <v>0</v>
      </c>
      <c r="AK277" s="356">
        <v>0</v>
      </c>
      <c r="AL277" s="100">
        <v>0</v>
      </c>
      <c r="AM277" s="100">
        <v>0</v>
      </c>
      <c r="AN277" s="100"/>
      <c r="AO277" s="100"/>
      <c r="AP277" s="100"/>
      <c r="AQ277" s="356"/>
      <c r="AR277" s="100"/>
      <c r="AS277" s="100"/>
      <c r="AT277" s="100"/>
      <c r="AU277" s="356"/>
      <c r="AV277" s="100"/>
      <c r="AW277" s="100"/>
      <c r="AX277" s="100"/>
      <c r="AY277" s="100"/>
      <c r="AZ277" s="100"/>
      <c r="BA277" s="100"/>
      <c r="BB277" s="100"/>
      <c r="BC277" s="298">
        <f t="shared" si="110"/>
        <v>0</v>
      </c>
      <c r="BD277" s="896">
        <f t="shared" si="111"/>
        <v>0</v>
      </c>
      <c r="BE277" s="896">
        <f t="shared" si="112"/>
        <v>0</v>
      </c>
      <c r="BF277" s="58"/>
      <c r="BG277" s="38"/>
      <c r="BH277" s="507"/>
      <c r="BI277" s="58"/>
      <c r="BJ277" s="58"/>
      <c r="BK277" s="58"/>
      <c r="BL277" s="58"/>
      <c r="BM277" s="58"/>
      <c r="BN277" s="58"/>
      <c r="BO277" s="58"/>
      <c r="BP277" s="58"/>
      <c r="BQ277" s="58"/>
      <c r="BR277" s="58"/>
      <c r="BS277" s="58"/>
      <c r="BT277" s="58"/>
      <c r="BU277" s="58"/>
      <c r="BV277" s="58"/>
      <c r="BW277" s="58"/>
      <c r="BX277" s="58"/>
      <c r="BY277" s="58"/>
      <c r="BZ277" s="58"/>
      <c r="CA277" s="58"/>
      <c r="CB277" s="58"/>
      <c r="CC277" s="58"/>
      <c r="CD277" s="58"/>
      <c r="CE277" s="58"/>
      <c r="CF277" s="58"/>
      <c r="CG277" s="58"/>
      <c r="CH277" s="58"/>
      <c r="CI277" s="58"/>
      <c r="CJ277" s="58"/>
      <c r="CK277" s="58"/>
      <c r="CL277" s="58"/>
      <c r="CM277" s="58"/>
      <c r="CN277" s="58"/>
      <c r="CO277" s="58"/>
      <c r="CP277" s="58"/>
      <c r="CQ277" s="58"/>
      <c r="CR277" s="58"/>
      <c r="CS277" s="58"/>
      <c r="CT277" s="58"/>
      <c r="CU277" s="58"/>
      <c r="CV277" s="58"/>
      <c r="CW277" s="58"/>
      <c r="CX277" s="58"/>
      <c r="CY277" s="58"/>
      <c r="CZ277" s="58"/>
      <c r="DA277" s="58"/>
      <c r="DB277" s="58"/>
      <c r="DC277" s="58"/>
      <c r="DD277" s="58"/>
      <c r="DE277" s="58"/>
      <c r="DF277" s="58"/>
      <c r="DG277" s="58"/>
      <c r="DH277" s="58"/>
      <c r="DI277" s="58"/>
      <c r="DJ277" s="58"/>
      <c r="DK277" s="58"/>
      <c r="DL277" s="58"/>
      <c r="DM277" s="58"/>
      <c r="DN277" s="58"/>
      <c r="DO277" s="58"/>
      <c r="DP277" s="58"/>
      <c r="DQ277" s="58"/>
      <c r="DR277" s="58"/>
      <c r="DS277" s="58"/>
      <c r="DT277" s="58"/>
      <c r="DU277" s="58"/>
      <c r="DV277" s="58"/>
      <c r="DW277" s="58"/>
      <c r="DX277" s="58"/>
      <c r="DY277" s="58"/>
      <c r="DZ277" s="58"/>
      <c r="EA277" s="58"/>
      <c r="EB277" s="58"/>
      <c r="EC277" s="58"/>
      <c r="ED277" s="58"/>
      <c r="EE277" s="58"/>
      <c r="EF277" s="58"/>
      <c r="EG277" s="58"/>
      <c r="EH277" s="58"/>
      <c r="EI277" s="58"/>
      <c r="EJ277" s="58"/>
      <c r="EK277" s="58"/>
      <c r="EL277" s="58"/>
      <c r="EM277" s="58"/>
      <c r="EN277" s="58"/>
      <c r="EO277" s="58"/>
      <c r="EP277" s="58"/>
      <c r="EQ277" s="58"/>
      <c r="ER277" s="58"/>
      <c r="ES277" s="58"/>
      <c r="ET277" s="58"/>
      <c r="EU277" s="58"/>
    </row>
    <row r="278" spans="1:151" s="59" customFormat="1" ht="15" customHeight="1">
      <c r="A278" s="1223" t="s">
        <v>1764</v>
      </c>
      <c r="B278" s="1224"/>
      <c r="C278" s="1224"/>
      <c r="D278" s="1225"/>
      <c r="E278" s="109"/>
      <c r="F278" s="109"/>
      <c r="G278" s="109"/>
      <c r="H278" s="109"/>
      <c r="I278" s="109"/>
      <c r="J278" s="109"/>
      <c r="K278" s="109"/>
      <c r="L278" s="109"/>
      <c r="M278" s="548"/>
      <c r="N278" s="109"/>
      <c r="O278" s="109"/>
      <c r="P278" s="199"/>
      <c r="Q278" s="199"/>
      <c r="R278" s="109"/>
      <c r="S278" s="99"/>
      <c r="T278" s="1229">
        <f>N283/R281</f>
        <v>2.7524832098067771</v>
      </c>
      <c r="U278" s="156"/>
      <c r="V278" s="956" t="str">
        <f t="shared" si="94"/>
        <v/>
      </c>
      <c r="W278" s="943"/>
      <c r="X278" s="78">
        <f t="shared" ref="X278:BB278" si="113">SUM(X208:X277)</f>
        <v>0</v>
      </c>
      <c r="Y278" s="78">
        <f t="shared" si="113"/>
        <v>84770</v>
      </c>
      <c r="Z278" s="78">
        <f t="shared" si="113"/>
        <v>47730</v>
      </c>
      <c r="AA278" s="78">
        <f t="shared" si="113"/>
        <v>67295</v>
      </c>
      <c r="AB278" s="78">
        <f t="shared" si="113"/>
        <v>77710</v>
      </c>
      <c r="AC278" s="78">
        <f t="shared" si="113"/>
        <v>84380</v>
      </c>
      <c r="AD278" s="78">
        <f t="shared" si="113"/>
        <v>62350</v>
      </c>
      <c r="AE278" s="78">
        <f t="shared" si="113"/>
        <v>87595</v>
      </c>
      <c r="AF278" s="78">
        <f t="shared" si="113"/>
        <v>85525</v>
      </c>
      <c r="AG278" s="78">
        <f t="shared" si="113"/>
        <v>0</v>
      </c>
      <c r="AH278" s="78">
        <f t="shared" si="113"/>
        <v>102120</v>
      </c>
      <c r="AI278" s="78">
        <f t="shared" si="113"/>
        <v>41000</v>
      </c>
      <c r="AJ278" s="78">
        <f t="shared" si="113"/>
        <v>144510</v>
      </c>
      <c r="AK278" s="78">
        <f t="shared" si="113"/>
        <v>104250</v>
      </c>
      <c r="AL278" s="78">
        <f t="shared" si="113"/>
        <v>63945</v>
      </c>
      <c r="AM278" s="78">
        <f t="shared" si="113"/>
        <v>97045</v>
      </c>
      <c r="AN278" s="78">
        <f t="shared" si="113"/>
        <v>0</v>
      </c>
      <c r="AO278" s="78">
        <f t="shared" si="113"/>
        <v>0</v>
      </c>
      <c r="AP278" s="78">
        <f t="shared" si="113"/>
        <v>0</v>
      </c>
      <c r="AQ278" s="78">
        <f t="shared" si="113"/>
        <v>0</v>
      </c>
      <c r="AR278" s="78">
        <f t="shared" si="113"/>
        <v>0</v>
      </c>
      <c r="AS278" s="78">
        <f t="shared" si="113"/>
        <v>0</v>
      </c>
      <c r="AT278" s="78">
        <f t="shared" si="113"/>
        <v>0</v>
      </c>
      <c r="AU278" s="78">
        <f t="shared" si="113"/>
        <v>0</v>
      </c>
      <c r="AV278" s="78">
        <f t="shared" si="113"/>
        <v>0</v>
      </c>
      <c r="AW278" s="78">
        <f t="shared" si="113"/>
        <v>0</v>
      </c>
      <c r="AX278" s="78">
        <f t="shared" si="113"/>
        <v>0</v>
      </c>
      <c r="AY278" s="78">
        <f t="shared" si="113"/>
        <v>0</v>
      </c>
      <c r="AZ278" s="78">
        <f t="shared" si="113"/>
        <v>0</v>
      </c>
      <c r="BA278" s="78">
        <f t="shared" si="113"/>
        <v>0</v>
      </c>
      <c r="BB278" s="78">
        <f t="shared" si="113"/>
        <v>0</v>
      </c>
      <c r="BC278" s="607">
        <f t="shared" si="82"/>
        <v>1150225</v>
      </c>
      <c r="BD278" s="900"/>
      <c r="BE278" s="900"/>
      <c r="BH278" s="508"/>
    </row>
    <row r="279" spans="1:151" s="59" customFormat="1" ht="15" customHeight="1">
      <c r="A279" s="1223" t="s">
        <v>1740</v>
      </c>
      <c r="B279" s="1224"/>
      <c r="C279" s="1224"/>
      <c r="D279" s="1225"/>
      <c r="E279" s="110">
        <f>SUM(E208:E277)-E282-E280</f>
        <v>8207</v>
      </c>
      <c r="F279" s="110">
        <f>SUM(F208:F277)-F282-F280</f>
        <v>2445</v>
      </c>
      <c r="G279" s="110">
        <f t="shared" ref="G279:I279" si="114">SUM(G208:G276)-SUM(G209:G212)-G244-G240-G241-G242-G214-G215-G218-G220-G221-G224-G226-G229-G233-G248-G249-G253-G258-G261-G263-G265-G268-G269-G272-G273-G274-G255</f>
        <v>0</v>
      </c>
      <c r="H279" s="110">
        <f t="shared" si="114"/>
        <v>0</v>
      </c>
      <c r="I279" s="110">
        <f t="shared" si="114"/>
        <v>2847</v>
      </c>
      <c r="J279" s="110">
        <f>+J283-J282-J280</f>
        <v>71175</v>
      </c>
      <c r="K279" s="110">
        <f>SUM(K208:K276)-SUM(K209:K212)-K241-K242-K214-K215-K218-K220-K221-K224-K226-K229-K233-K248-K249-K253-K258-K261-K263-K265-K268-K269-K272-K273-K274</f>
        <v>0</v>
      </c>
      <c r="L279" s="110">
        <f>SUM(L208:L276)-SUM(L209:L212)-L241-L242-L214-L215-L218-L220-L221-L224-L226-L229-L233-L248-L249-L253-L258-L261-L263-L265-L268-L269-L272-L273-L274</f>
        <v>4</v>
      </c>
      <c r="M279" s="110">
        <f>SUM(M208:M277)-M282-M280</f>
        <v>7801</v>
      </c>
      <c r="N279" s="110">
        <f>SUM(N208:N276)-N239-N238-SUM(N209:N212)-N242-N214-N215-N218-N220-N221-N224-N226-N229-N233-N248-N249-N253-N258-N261-N263-N265-N268-N269-N272-N273-N274</f>
        <v>195025</v>
      </c>
      <c r="O279" s="110">
        <f>SUM(O208:O277)</f>
        <v>1150225</v>
      </c>
      <c r="P279" s="110">
        <f>SUM(P208:P276)</f>
        <v>195025</v>
      </c>
      <c r="Q279" s="110">
        <f>SUM(Q208:Q276)</f>
        <v>1150225</v>
      </c>
      <c r="R279" s="110">
        <f>SUM(R208:R276)-R218</f>
        <v>76681.666666666657</v>
      </c>
      <c r="S279" s="110">
        <f>SUM(S208:S276)-S218</f>
        <v>177.03688298214306</v>
      </c>
      <c r="T279" s="1230"/>
      <c r="U279" s="157">
        <f>SUM(U247:U275)*25+U223</f>
        <v>0</v>
      </c>
      <c r="V279" s="959" t="str">
        <f t="shared" si="94"/>
        <v/>
      </c>
      <c r="W279" s="94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508"/>
    </row>
    <row r="280" spans="1:151" s="59" customFormat="1" ht="15" customHeight="1">
      <c r="A280" s="1223" t="s">
        <v>1765</v>
      </c>
      <c r="B280" s="1224"/>
      <c r="C280" s="1224"/>
      <c r="D280" s="1225"/>
      <c r="E280" s="111">
        <f>SUM(E277,E238,E242,E243,E245,E239)</f>
        <v>0</v>
      </c>
      <c r="F280" s="111">
        <f>SUM(F277,F238,F242,F243,F245,F239)</f>
        <v>401</v>
      </c>
      <c r="G280" s="111">
        <f t="shared" ref="G280:N280" si="115">SUM(G277,G238,G242,G243,G245,G239)</f>
        <v>0</v>
      </c>
      <c r="H280" s="111">
        <f t="shared" si="115"/>
        <v>0</v>
      </c>
      <c r="I280" s="111">
        <f t="shared" si="115"/>
        <v>0</v>
      </c>
      <c r="J280" s="111">
        <f t="shared" si="115"/>
        <v>0</v>
      </c>
      <c r="K280" s="111">
        <f t="shared" si="115"/>
        <v>0</v>
      </c>
      <c r="L280" s="111">
        <f t="shared" si="115"/>
        <v>0</v>
      </c>
      <c r="M280" s="111">
        <f t="shared" si="115"/>
        <v>401</v>
      </c>
      <c r="N280" s="111">
        <f t="shared" si="115"/>
        <v>16040</v>
      </c>
      <c r="O280" s="111">
        <f t="shared" ref="O280" si="116">SUM(O277,O238,O242,O243,O245)</f>
        <v>36400</v>
      </c>
      <c r="P280" s="111">
        <f t="shared" ref="P280:Q280" si="117">SUM(P277,P238,P242)</f>
        <v>0</v>
      </c>
      <c r="Q280" s="111">
        <f t="shared" si="117"/>
        <v>0</v>
      </c>
      <c r="R280" s="111">
        <f>SUM(R277:R277)</f>
        <v>0</v>
      </c>
      <c r="S280" s="82">
        <f>IF(R280=0,0,N280/R280)</f>
        <v>0</v>
      </c>
      <c r="T280" s="1230"/>
      <c r="U280" s="158">
        <f>SUM(U277:U277)*40</f>
        <v>0</v>
      </c>
      <c r="V280" s="959" t="str">
        <f t="shared" si="94"/>
        <v/>
      </c>
      <c r="W280" s="943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H280" s="508"/>
    </row>
    <row r="281" spans="1:151" s="132" customFormat="1" ht="15" customHeight="1">
      <c r="A281" s="1233" t="s">
        <v>1742</v>
      </c>
      <c r="B281" s="1234"/>
      <c r="C281" s="1234"/>
      <c r="D281" s="1235"/>
      <c r="E281" s="73">
        <f>SUM(E278:E280)</f>
        <v>8207</v>
      </c>
      <c r="F281" s="73">
        <f>SUM(F278:F280)</f>
        <v>2846</v>
      </c>
      <c r="G281" s="73">
        <f t="shared" ref="G281:N281" si="118">SUM(G278:G280)</f>
        <v>0</v>
      </c>
      <c r="H281" s="73">
        <f t="shared" si="118"/>
        <v>0</v>
      </c>
      <c r="I281" s="73">
        <f t="shared" si="118"/>
        <v>2847</v>
      </c>
      <c r="J281" s="73">
        <f>+J280+J279</f>
        <v>71175</v>
      </c>
      <c r="K281" s="73">
        <f t="shared" si="118"/>
        <v>0</v>
      </c>
      <c r="L281" s="73">
        <f t="shared" si="118"/>
        <v>4</v>
      </c>
      <c r="M281" s="73">
        <f>SUM(M278:M280)</f>
        <v>8202</v>
      </c>
      <c r="N281" s="73">
        <f t="shared" si="118"/>
        <v>211065</v>
      </c>
      <c r="O281" s="874">
        <f>+O283-O282</f>
        <v>978515</v>
      </c>
      <c r="P281" s="197">
        <f>SUM(P208:P277)</f>
        <v>195025</v>
      </c>
      <c r="Q281" s="197">
        <f>+Q279-Q219</f>
        <v>1150225</v>
      </c>
      <c r="R281" s="1219">
        <f>SUM(R208:R277)</f>
        <v>76681.666666666657</v>
      </c>
      <c r="S281" s="1221" t="s">
        <v>44</v>
      </c>
      <c r="T281" s="1230"/>
      <c r="U281" s="150">
        <f>SUM(U208:U277)</f>
        <v>0</v>
      </c>
      <c r="V281" s="959" t="str">
        <f t="shared" si="94"/>
        <v/>
      </c>
      <c r="W281" s="94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422"/>
      <c r="BD281" s="422"/>
      <c r="BE281" s="422"/>
      <c r="BH281" s="508"/>
    </row>
    <row r="282" spans="1:151" s="132" customFormat="1" ht="15" customHeight="1">
      <c r="A282" s="1223" t="s">
        <v>1766</v>
      </c>
      <c r="B282" s="1224"/>
      <c r="C282" s="1224"/>
      <c r="D282" s="1225"/>
      <c r="E282" s="680"/>
      <c r="F282" s="680">
        <f>F244+F240+F241+F214+F218+F268+F272+F258+F263+F253+F265+F269+F273+F212+F210+F249+F261+F248+F211+F274+F209+F224+F220+F229+F226+F233+F221+F215+F255</f>
        <v>25870</v>
      </c>
      <c r="G282" s="680">
        <f t="shared" ref="G282:I282" si="119">G244+G240+G241+G214+G218+G268+G272+G258+G263+G253+G265+G269+G273+G212+G210+G249+G261+G248+G211+G274+G209+G224+G220+G229+G226+G233+G221+G215+G255</f>
        <v>0</v>
      </c>
      <c r="H282" s="680">
        <f t="shared" si="119"/>
        <v>0</v>
      </c>
      <c r="I282" s="680">
        <f t="shared" si="119"/>
        <v>0</v>
      </c>
      <c r="J282" s="680">
        <f>J244+J240+J241+J214+J218+J268+J272+J258+J263+J253+J265+J269+J273+J212+J210+J249+J261+J248+J211+J274+J209+J224+J220+J229+J226+J233+J221+J215+J255</f>
        <v>25870</v>
      </c>
      <c r="K282" s="680">
        <f>+K218+K268+K272+K258+K263+K253+K265+K269+K273+K212+K210+K249+K261+K248+K211+K274+K209</f>
        <v>0</v>
      </c>
      <c r="L282" s="680">
        <f>+L218+L268+L272+L258+L263+L253+L265+L269+L273+L212+L210+L249+L261+L248+L211</f>
        <v>0</v>
      </c>
      <c r="M282" s="680">
        <f>+M218+M268+M272+M258+M263+M253+M265+M269+M273+M212+M210+M249+M261+M248+M211+M274+M209+M224+M220</f>
        <v>0</v>
      </c>
      <c r="N282" s="680">
        <f>+N218+N268+N272+N258+N263+N253+N265+N269+N273+N212+N210+N249+N261+N248+N211</f>
        <v>0</v>
      </c>
      <c r="O282" s="874">
        <f>+O209+O210+O211+O212+O218+O224+O248+O249+O253+O258+O261+O263+O268+O269+O272+O273+O274+O265</f>
        <v>171710</v>
      </c>
      <c r="P282" s="681">
        <f>+N281-P279</f>
        <v>16040</v>
      </c>
      <c r="Q282" s="681"/>
      <c r="R282" s="1251"/>
      <c r="S282" s="1250"/>
      <c r="T282" s="1230"/>
      <c r="U282" s="151"/>
      <c r="V282" s="959"/>
      <c r="W282" s="943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C282" s="422"/>
      <c r="BD282" s="422"/>
      <c r="BE282" s="422"/>
      <c r="BH282" s="508"/>
    </row>
    <row r="283" spans="1:151" s="71" customFormat="1" ht="15" customHeight="1">
      <c r="A283" s="1223" t="s">
        <v>1743</v>
      </c>
      <c r="B283" s="1224"/>
      <c r="C283" s="1224"/>
      <c r="D283" s="1225"/>
      <c r="E283" s="69">
        <f>SUM(E278:E279)*25+E280*40</f>
        <v>205175</v>
      </c>
      <c r="F283" s="69">
        <f>+F282+F279*25+F280*40</f>
        <v>103035</v>
      </c>
      <c r="G283" s="69">
        <f t="shared" ref="G283:L283" si="120">+G282+G279*25</f>
        <v>0</v>
      </c>
      <c r="H283" s="69">
        <f t="shared" si="120"/>
        <v>0</v>
      </c>
      <c r="I283" s="69">
        <f>+I282+I279*25</f>
        <v>71175</v>
      </c>
      <c r="J283" s="69">
        <f>SUM(J208:J277)</f>
        <v>97045</v>
      </c>
      <c r="K283" s="69">
        <f t="shared" si="120"/>
        <v>0</v>
      </c>
      <c r="L283" s="69">
        <f t="shared" si="120"/>
        <v>100</v>
      </c>
      <c r="M283" s="69">
        <f>+M282+M279*25+M280*40</f>
        <v>211065</v>
      </c>
      <c r="N283" s="69">
        <f>SUM(N208:N277)</f>
        <v>211065</v>
      </c>
      <c r="O283" s="874">
        <f>SUM(O208:O277)</f>
        <v>1150225</v>
      </c>
      <c r="P283" s="198"/>
      <c r="Q283" s="198"/>
      <c r="R283" s="1220"/>
      <c r="S283" s="1222"/>
      <c r="T283" s="1231"/>
      <c r="U283" s="151">
        <f>U279*25</f>
        <v>0</v>
      </c>
      <c r="V283" s="959" t="str">
        <f t="shared" ref="V283:V288" si="121">B283&amp;D283</f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59"/>
      <c r="BH283" s="508"/>
    </row>
    <row r="284" spans="1:151" s="71" customFormat="1" ht="15" customHeight="1">
      <c r="A284" s="310" t="s">
        <v>137</v>
      </c>
      <c r="B284" s="37"/>
      <c r="C284" s="37"/>
      <c r="D284" s="37"/>
      <c r="E284" s="133"/>
      <c r="F284" s="37"/>
      <c r="G284" s="37"/>
      <c r="H284" s="37"/>
      <c r="I284" s="37"/>
      <c r="J284" s="37"/>
      <c r="K284" s="37"/>
      <c r="L284" s="37"/>
      <c r="M284" s="543"/>
      <c r="N284" s="37"/>
      <c r="O284" s="37"/>
      <c r="P284" s="37"/>
      <c r="Q284" s="37"/>
      <c r="R284" s="37"/>
      <c r="S284" s="37"/>
      <c r="T284" s="528"/>
      <c r="U284" s="143"/>
      <c r="V284" s="959" t="str">
        <f t="shared" si="121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s="71" customFormat="1" ht="15" customHeight="1">
      <c r="A285" s="310" t="s">
        <v>1694</v>
      </c>
      <c r="B285" s="38"/>
      <c r="C285" s="38"/>
      <c r="D285" s="38"/>
      <c r="E285" s="38"/>
      <c r="F285" s="85"/>
      <c r="G285" s="38"/>
      <c r="H285" s="38"/>
      <c r="I285" s="38"/>
      <c r="J285" s="38"/>
      <c r="K285" s="38"/>
      <c r="L285" s="38"/>
      <c r="M285" s="535"/>
      <c r="N285" s="38"/>
      <c r="O285" s="85"/>
      <c r="P285" s="85"/>
      <c r="Q285" s="85"/>
      <c r="R285" s="38"/>
      <c r="S285" s="38"/>
      <c r="T285" s="529"/>
      <c r="U285" s="134"/>
      <c r="V285" s="959" t="str">
        <f t="shared" si="121"/>
        <v/>
      </c>
      <c r="W285" s="94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508"/>
    </row>
    <row r="286" spans="1:151" s="71" customFormat="1" ht="15" customHeight="1">
      <c r="A286" s="310" t="s">
        <v>1695</v>
      </c>
      <c r="B286" s="430"/>
      <c r="C286" s="430"/>
      <c r="D286" s="430"/>
      <c r="E286" s="430"/>
      <c r="F286" s="430"/>
      <c r="G286" s="430"/>
      <c r="H286" s="430"/>
      <c r="I286" s="430"/>
      <c r="J286" s="430"/>
      <c r="K286" s="430"/>
      <c r="L286" s="430"/>
      <c r="M286" s="544"/>
      <c r="N286" s="430"/>
      <c r="O286" s="430"/>
      <c r="P286" s="430"/>
      <c r="Q286" s="430"/>
      <c r="R286" s="430"/>
      <c r="S286" s="430"/>
      <c r="T286" s="530"/>
      <c r="U286" s="134"/>
      <c r="V286" s="959" t="str">
        <f t="shared" si="121"/>
        <v/>
      </c>
      <c r="W286" s="943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58"/>
      <c r="BH286" s="508"/>
    </row>
    <row r="287" spans="1:151" ht="15" customHeight="1">
      <c r="A287" s="512" t="s">
        <v>1733</v>
      </c>
      <c r="B287" s="512"/>
      <c r="C287" s="512"/>
      <c r="D287" s="512"/>
      <c r="E287" s="512"/>
      <c r="F287" s="512"/>
      <c r="G287" s="512"/>
      <c r="H287" s="512"/>
      <c r="I287" s="512"/>
      <c r="J287" s="512"/>
      <c r="K287" s="512"/>
      <c r="L287" s="512"/>
      <c r="M287" s="538"/>
      <c r="N287" s="512"/>
      <c r="O287" s="512"/>
      <c r="P287" s="512"/>
      <c r="Q287" s="512"/>
      <c r="R287" s="512"/>
      <c r="S287" s="512"/>
      <c r="T287" s="78"/>
      <c r="U287" s="143"/>
      <c r="V287" s="959" t="str">
        <f t="shared" si="121"/>
        <v/>
      </c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</row>
    <row r="288" spans="1:151" ht="15" customHeight="1">
      <c r="A288" s="513" t="s">
        <v>1824</v>
      </c>
      <c r="B288" s="513"/>
      <c r="C288" s="513"/>
      <c r="D288" s="513"/>
      <c r="E288" s="513"/>
      <c r="F288" s="513"/>
      <c r="G288" s="513"/>
      <c r="H288" s="513"/>
      <c r="I288" s="513"/>
      <c r="J288" s="513"/>
      <c r="K288" s="513"/>
      <c r="L288" s="513"/>
      <c r="M288" s="539"/>
      <c r="N288" s="513"/>
      <c r="O288" s="513"/>
      <c r="P288" s="513"/>
      <c r="Q288" s="513"/>
      <c r="R288" s="513"/>
      <c r="S288" s="513"/>
      <c r="T288" s="476"/>
      <c r="U288" s="144"/>
      <c r="V288" s="959" t="str">
        <f t="shared" si="121"/>
        <v/>
      </c>
    </row>
    <row r="289" spans="1:60" s="63" customFormat="1" ht="36" customHeight="1">
      <c r="A289" s="1043" t="s">
        <v>1700</v>
      </c>
      <c r="B289" s="1034" t="s">
        <v>1676</v>
      </c>
      <c r="C289" s="1034" t="s">
        <v>1677</v>
      </c>
      <c r="D289" s="1046" t="s">
        <v>1678</v>
      </c>
      <c r="E289" s="61" t="s">
        <v>0</v>
      </c>
      <c r="F289" s="1049" t="s">
        <v>1680</v>
      </c>
      <c r="G289" s="1054"/>
      <c r="H289" s="1050"/>
      <c r="I289" s="1049" t="s">
        <v>1681</v>
      </c>
      <c r="J289" s="1054"/>
      <c r="K289" s="1054"/>
      <c r="L289" s="1054"/>
      <c r="M289" s="1049" t="s">
        <v>1687</v>
      </c>
      <c r="N289" s="1050"/>
      <c r="O289" s="194" t="s">
        <v>1727</v>
      </c>
      <c r="P289" s="194"/>
      <c r="Q289" s="194"/>
      <c r="R289" s="194" t="s">
        <v>1728</v>
      </c>
      <c r="S289" s="1046" t="s">
        <v>1689</v>
      </c>
      <c r="T289" s="1173" t="s">
        <v>1692</v>
      </c>
      <c r="U289" s="999" t="s">
        <v>1693</v>
      </c>
      <c r="V289" s="950"/>
      <c r="W289" s="95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506"/>
    </row>
    <row r="290" spans="1:60" s="63" customFormat="1" ht="51.75" customHeight="1">
      <c r="A290" s="1044"/>
      <c r="B290" s="1035"/>
      <c r="C290" s="1035"/>
      <c r="D290" s="1047" t="s">
        <v>3</v>
      </c>
      <c r="E290" s="64" t="s">
        <v>1679</v>
      </c>
      <c r="F290" s="783" t="s">
        <v>1682</v>
      </c>
      <c r="G290" s="585" t="s">
        <v>1683</v>
      </c>
      <c r="H290" s="784" t="s">
        <v>1685</v>
      </c>
      <c r="I290" s="1049" t="s">
        <v>1684</v>
      </c>
      <c r="J290" s="1054"/>
      <c r="K290" s="585" t="s">
        <v>1688</v>
      </c>
      <c r="L290" s="784" t="s">
        <v>1686</v>
      </c>
      <c r="M290" s="1049" t="s">
        <v>1732</v>
      </c>
      <c r="N290" s="1050"/>
      <c r="O290" s="787" t="s">
        <v>1730</v>
      </c>
      <c r="P290" s="195"/>
      <c r="Q290" s="195"/>
      <c r="R290" s="787" t="s">
        <v>1731</v>
      </c>
      <c r="S290" s="1047"/>
      <c r="T290" s="1174"/>
      <c r="U290" s="1000"/>
      <c r="V290" s="955" t="str">
        <f t="shared" ref="V290:V312" si="122">B290&amp;D290</f>
        <v>SIZE</v>
      </c>
      <c r="W290" s="951"/>
      <c r="X290" s="83"/>
      <c r="Y290" s="83"/>
      <c r="Z290" s="83"/>
      <c r="AA290" s="83"/>
      <c r="AB290" s="83"/>
      <c r="AC290" s="83"/>
      <c r="AD290" s="83"/>
      <c r="AE290" s="83"/>
      <c r="AF290" s="83"/>
      <c r="AG290" s="83"/>
      <c r="AH290" s="83"/>
      <c r="AI290" s="83"/>
      <c r="AJ290" s="83"/>
      <c r="AK290" s="83"/>
      <c r="AL290" s="83"/>
      <c r="AM290" s="83"/>
      <c r="AN290" s="83"/>
      <c r="AO290" s="83"/>
      <c r="AP290" s="83"/>
      <c r="AQ290" s="83"/>
      <c r="AR290" s="83"/>
      <c r="AS290" s="83"/>
      <c r="AT290" s="83"/>
      <c r="AU290" s="83"/>
      <c r="AV290" s="83"/>
      <c r="AW290" s="83"/>
      <c r="AX290" s="83"/>
      <c r="AY290" s="83"/>
      <c r="AZ290" s="83"/>
      <c r="BA290" s="83"/>
      <c r="BH290" s="506"/>
    </row>
    <row r="291" spans="1:60" s="63" customFormat="1" ht="15.75" customHeight="1">
      <c r="A291" s="1045"/>
      <c r="B291" s="1036"/>
      <c r="C291" s="1036"/>
      <c r="D291" s="1048" t="s">
        <v>6</v>
      </c>
      <c r="E291" s="64" t="s">
        <v>1674</v>
      </c>
      <c r="F291" s="64" t="s">
        <v>1674</v>
      </c>
      <c r="G291" s="64" t="s">
        <v>1674</v>
      </c>
      <c r="H291" s="64" t="s">
        <v>1674</v>
      </c>
      <c r="I291" s="64" t="s">
        <v>1674</v>
      </c>
      <c r="J291" s="64" t="s">
        <v>6</v>
      </c>
      <c r="K291" s="64" t="s">
        <v>1674</v>
      </c>
      <c r="L291" s="64" t="s">
        <v>1674</v>
      </c>
      <c r="M291" s="64" t="s">
        <v>1674</v>
      </c>
      <c r="N291" s="65" t="s">
        <v>6</v>
      </c>
      <c r="O291" s="65" t="s">
        <v>6</v>
      </c>
      <c r="P291" s="196"/>
      <c r="Q291" s="196"/>
      <c r="R291" s="65" t="s">
        <v>1729</v>
      </c>
      <c r="S291" s="1048"/>
      <c r="T291" s="1175"/>
      <c r="U291" s="788" t="s">
        <v>1674</v>
      </c>
      <c r="V291" s="955" t="str">
        <f t="shared" si="122"/>
        <v>(Kg)</v>
      </c>
      <c r="W291" s="951"/>
      <c r="X291" s="340">
        <v>1</v>
      </c>
      <c r="Y291" s="89">
        <v>2</v>
      </c>
      <c r="Z291" s="88">
        <v>3</v>
      </c>
      <c r="AA291" s="89">
        <v>4</v>
      </c>
      <c r="AB291" s="88">
        <v>5</v>
      </c>
      <c r="AC291" s="89">
        <v>6</v>
      </c>
      <c r="AD291" s="88">
        <v>7</v>
      </c>
      <c r="AE291" s="89">
        <v>8</v>
      </c>
      <c r="AF291" s="88">
        <v>9</v>
      </c>
      <c r="AG291" s="89">
        <v>10</v>
      </c>
      <c r="AH291" s="88">
        <v>11</v>
      </c>
      <c r="AI291" s="89">
        <v>12</v>
      </c>
      <c r="AJ291" s="88">
        <v>13</v>
      </c>
      <c r="AK291" s="89">
        <v>14</v>
      </c>
      <c r="AL291" s="88">
        <v>15</v>
      </c>
      <c r="AM291" s="89">
        <v>16</v>
      </c>
      <c r="AN291" s="88">
        <v>17</v>
      </c>
      <c r="AO291" s="89">
        <v>18</v>
      </c>
      <c r="AP291" s="88">
        <v>19</v>
      </c>
      <c r="AQ291" s="89">
        <v>20</v>
      </c>
      <c r="AR291" s="88">
        <v>21</v>
      </c>
      <c r="AS291" s="89">
        <v>22</v>
      </c>
      <c r="AT291" s="88">
        <v>23</v>
      </c>
      <c r="AU291" s="89">
        <v>24</v>
      </c>
      <c r="AV291" s="88">
        <v>25</v>
      </c>
      <c r="AW291" s="89">
        <v>26</v>
      </c>
      <c r="AX291" s="88">
        <v>27</v>
      </c>
      <c r="AY291" s="89">
        <v>28</v>
      </c>
      <c r="AZ291" s="88">
        <v>29</v>
      </c>
      <c r="BA291" s="89">
        <v>30</v>
      </c>
      <c r="BB291" s="88">
        <v>31</v>
      </c>
      <c r="BC291" s="90" t="s">
        <v>13</v>
      </c>
      <c r="BD291" s="895" t="s">
        <v>1931</v>
      </c>
      <c r="BE291" s="895" t="s">
        <v>1930</v>
      </c>
      <c r="BH291" s="506"/>
    </row>
    <row r="292" spans="1:60" s="757" customFormat="1" ht="15" customHeight="1">
      <c r="A292" s="747">
        <v>1</v>
      </c>
      <c r="B292" s="360">
        <v>9624</v>
      </c>
      <c r="C292" s="360" t="s">
        <v>1550</v>
      </c>
      <c r="D292" s="750" t="s">
        <v>901</v>
      </c>
      <c r="E292" s="748">
        <v>0</v>
      </c>
      <c r="F292" s="751">
        <f>+J292</f>
        <v>0</v>
      </c>
      <c r="G292" s="748"/>
      <c r="H292" s="751">
        <f>SUMIF(CBIN!$A:$A,BRAN!$V:$V,CBIN!$G:$G)</f>
        <v>0</v>
      </c>
      <c r="I292" s="748">
        <f>SUMIF(data!$D:$D,$B292&amp;$D292,data!$J:$J)</f>
        <v>0</v>
      </c>
      <c r="J292" s="748">
        <f>SUMIF(data!$D:$D,$B292&amp;$D292,data!$K:$K)</f>
        <v>0</v>
      </c>
      <c r="K292" s="751">
        <f>SUMIF(AJOUT!$A:$A,BRAN!$V:$V,AJOUT!$L:$L)</f>
        <v>0</v>
      </c>
      <c r="L292" s="751">
        <f>SUMIF(CBOUT!$A:$A,BRAN!$V:$V,CBOUT!$G:$G)</f>
        <v>0</v>
      </c>
      <c r="M292" s="749">
        <v>0</v>
      </c>
      <c r="N292" s="748">
        <v>0</v>
      </c>
      <c r="O292" s="748">
        <f t="shared" ref="O292:O301" si="123">SUM(X292:BB292)</f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 t="shared" si="122"/>
        <v>9624silo</v>
      </c>
      <c r="W292" s="951">
        <v>127001</v>
      </c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ref="BC292:BC301" si="124">SUM(X292:BB292)</f>
        <v>0</v>
      </c>
      <c r="BD292" s="896">
        <f>COUNTIF(X292:BB292,"&gt;0")</f>
        <v>0</v>
      </c>
      <c r="BE292" s="896">
        <f>IFERROR(BC292/BD292,0)</f>
        <v>0</v>
      </c>
      <c r="BH292" s="758"/>
    </row>
    <row r="293" spans="1:60" s="757" customFormat="1" ht="15" customHeight="1">
      <c r="A293" s="68">
        <v>2</v>
      </c>
      <c r="B293" s="360">
        <v>9622</v>
      </c>
      <c r="C293" s="360" t="s">
        <v>1550</v>
      </c>
      <c r="D293" s="750" t="s">
        <v>901</v>
      </c>
      <c r="E293" s="748">
        <v>0</v>
      </c>
      <c r="F293" s="751">
        <f>+J293</f>
        <v>0</v>
      </c>
      <c r="G293" s="748"/>
      <c r="H293" s="751">
        <f>SUMIF(CBIN!$A:$A,BRAN!$V:$V,CBIN!$G:$G)</f>
        <v>0</v>
      </c>
      <c r="I293" s="748">
        <f>SUMIF(data!$D:$D,$B293&amp;$D293,data!$J:$J)</f>
        <v>0</v>
      </c>
      <c r="J293" s="748">
        <f>SUMIF(data!$D:$D,$B293&amp;$D293,data!$K:$K)</f>
        <v>0</v>
      </c>
      <c r="K293" s="751">
        <f>SUMIF(AJOUT!$A:$A,BRAN!$V:$V,AJOUT!$L:$L)</f>
        <v>0</v>
      </c>
      <c r="L293" s="751">
        <f>SUMIF(CBOUT!$A:$A,BRAN!$V:$V,CBOUT!$G:$G)</f>
        <v>0</v>
      </c>
      <c r="M293" s="749">
        <v>0</v>
      </c>
      <c r="N293" s="748">
        <v>0</v>
      </c>
      <c r="O293" s="748">
        <f t="shared" si="123"/>
        <v>0</v>
      </c>
      <c r="P293" s="752"/>
      <c r="Q293" s="752"/>
      <c r="R293" s="753">
        <f>O293/INTGRATE!$N$293</f>
        <v>0</v>
      </c>
      <c r="S293" s="764">
        <f>IF(R293=0,0,N293/R293)</f>
        <v>0</v>
      </c>
      <c r="T293" s="754"/>
      <c r="U293" s="755"/>
      <c r="V293" s="963" t="str">
        <f t="shared" si="122"/>
        <v>9622silo</v>
      </c>
      <c r="W293" s="951">
        <v>123001</v>
      </c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100"/>
      <c r="AX293" s="748"/>
      <c r="AY293" s="100"/>
      <c r="AZ293" s="100"/>
      <c r="BA293" s="100"/>
      <c r="BB293" s="100"/>
      <c r="BC293" s="756">
        <f t="shared" si="124"/>
        <v>0</v>
      </c>
      <c r="BD293" s="896">
        <f t="shared" ref="BD293:BD301" si="125">COUNTIF(X293:BB293,"&gt;0")</f>
        <v>0</v>
      </c>
      <c r="BE293" s="896">
        <f t="shared" ref="BE293:BE301" si="126">IFERROR(BC293/BD293,0)</f>
        <v>0</v>
      </c>
      <c r="BH293" s="758"/>
    </row>
    <row r="294" spans="1:60" s="757" customFormat="1" ht="15" customHeight="1">
      <c r="A294" s="68">
        <v>3</v>
      </c>
      <c r="B294" s="360" t="s">
        <v>1662</v>
      </c>
      <c r="C294" s="360" t="s">
        <v>1550</v>
      </c>
      <c r="D294" s="750" t="s">
        <v>901</v>
      </c>
      <c r="E294" s="748"/>
      <c r="F294" s="751">
        <f>+J294</f>
        <v>0</v>
      </c>
      <c r="G294" s="748"/>
      <c r="H294" s="751"/>
      <c r="I294" s="748">
        <f>SUMIF(data!$D:$D,$B294&amp;$D294,data!$J:$J)</f>
        <v>0</v>
      </c>
      <c r="J294" s="748">
        <f>SUMIF(data!$D:$D,$B294&amp;$D294,data!$K:$K)</f>
        <v>0</v>
      </c>
      <c r="K294" s="751"/>
      <c r="L294" s="751"/>
      <c r="M294" s="749"/>
      <c r="N294" s="748">
        <v>0</v>
      </c>
      <c r="O294" s="748">
        <f t="shared" si="123"/>
        <v>0</v>
      </c>
      <c r="P294" s="752"/>
      <c r="Q294" s="752"/>
      <c r="R294" s="753">
        <f>O294/INTGRATE!$N$293</f>
        <v>0</v>
      </c>
      <c r="S294" s="764">
        <f>IF(R294=0,0,N294/R294)</f>
        <v>0</v>
      </c>
      <c r="T294" s="754"/>
      <c r="U294" s="755"/>
      <c r="V294" s="963" t="str">
        <f>B294&amp;D294</f>
        <v>9624Psilo</v>
      </c>
      <c r="W294" s="951"/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100"/>
      <c r="AX294" s="748"/>
      <c r="AY294" s="100"/>
      <c r="AZ294" s="100"/>
      <c r="BA294" s="100"/>
      <c r="BB294" s="100"/>
      <c r="BC294" s="756">
        <f t="shared" si="124"/>
        <v>0</v>
      </c>
      <c r="BD294" s="896">
        <f t="shared" si="125"/>
        <v>0</v>
      </c>
      <c r="BE294" s="896">
        <f t="shared" si="126"/>
        <v>0</v>
      </c>
      <c r="BH294" s="758"/>
    </row>
    <row r="295" spans="1:60" s="757" customFormat="1" ht="15" customHeight="1">
      <c r="A295" s="68">
        <v>4</v>
      </c>
      <c r="B295" s="360">
        <v>9624</v>
      </c>
      <c r="C295" s="360" t="s">
        <v>1550</v>
      </c>
      <c r="D295" s="750">
        <v>25</v>
      </c>
      <c r="E295" s="748">
        <v>0</v>
      </c>
      <c r="F295" s="100">
        <f>SUMIF(pro!$A:$A,$V:$V,pro!$N:$N)</f>
        <v>0</v>
      </c>
      <c r="G295" s="7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>E295+F295+H295-I295-L295+G295-K295</f>
        <v>0</v>
      </c>
      <c r="N295" s="348">
        <f>M295*D295</f>
        <v>0</v>
      </c>
      <c r="O295" s="748">
        <f t="shared" si="123"/>
        <v>0</v>
      </c>
      <c r="P295" s="349"/>
      <c r="Q295" s="349"/>
      <c r="R295" s="350">
        <f>O295/INTGRATE!$N$293</f>
        <v>0</v>
      </c>
      <c r="S295" s="764">
        <f>IF(R295=0,0,N295/R295)</f>
        <v>0</v>
      </c>
      <c r="T295" s="754"/>
      <c r="U295" s="755"/>
      <c r="V295" s="963" t="str">
        <f>B295&amp;D295</f>
        <v>962425</v>
      </c>
      <c r="W295" s="951">
        <v>127001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348"/>
      <c r="AX295" s="348"/>
      <c r="AY295" s="100"/>
      <c r="AZ295" s="100"/>
      <c r="BA295" s="100"/>
      <c r="BB295" s="100"/>
      <c r="BC295" s="756">
        <f t="shared" si="124"/>
        <v>0</v>
      </c>
      <c r="BD295" s="896">
        <f t="shared" si="125"/>
        <v>0</v>
      </c>
      <c r="BE295" s="896">
        <f t="shared" si="126"/>
        <v>0</v>
      </c>
      <c r="BH295" s="758"/>
    </row>
    <row r="296" spans="1:60" ht="15" customHeight="1">
      <c r="A296" s="68">
        <v>5</v>
      </c>
      <c r="B296" s="166">
        <v>9651</v>
      </c>
      <c r="C296" s="879" t="s">
        <v>1314</v>
      </c>
      <c r="D296" s="188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ref="M296:M301" si="127">E296+F296+H296-I296-L296+G296-K296</f>
        <v>0</v>
      </c>
      <c r="N296" s="348">
        <f t="shared" ref="N296:N301" si="128">M296*D296</f>
        <v>0</v>
      </c>
      <c r="O296" s="748">
        <f t="shared" si="123"/>
        <v>0</v>
      </c>
      <c r="P296" s="349"/>
      <c r="Q296" s="349"/>
      <c r="R296" s="350">
        <f>O296/INTGRATE!$N$293</f>
        <v>0</v>
      </c>
      <c r="S296" s="349">
        <f t="shared" ref="S296:S301" si="129">IF(R296=0,0,N296/R296)</f>
        <v>0</v>
      </c>
      <c r="T296" s="471"/>
      <c r="U296" s="139"/>
      <c r="V296" s="956" t="str">
        <f t="shared" si="122"/>
        <v>965125</v>
      </c>
      <c r="W296" s="943">
        <v>314001</v>
      </c>
      <c r="X296" s="68"/>
      <c r="Y296" s="68"/>
      <c r="Z296" s="459"/>
      <c r="AA296" s="100"/>
      <c r="AB296" s="100"/>
      <c r="AC296" s="100"/>
      <c r="AD296" s="348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48"/>
      <c r="AR296" s="100"/>
      <c r="AS296" s="100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24"/>
        <v>0</v>
      </c>
      <c r="BD296" s="896">
        <f t="shared" si="125"/>
        <v>0</v>
      </c>
      <c r="BE296" s="896">
        <f t="shared" si="126"/>
        <v>0</v>
      </c>
      <c r="BG296" s="38"/>
    </row>
    <row r="297" spans="1:60" ht="14.25" customHeight="1">
      <c r="A297" s="68">
        <v>6</v>
      </c>
      <c r="B297" s="77">
        <v>9652</v>
      </c>
      <c r="C297" s="77" t="s">
        <v>61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27"/>
        <v>0</v>
      </c>
      <c r="N297" s="348">
        <f t="shared" si="128"/>
        <v>0</v>
      </c>
      <c r="O297" s="748">
        <f t="shared" si="123"/>
        <v>0</v>
      </c>
      <c r="P297" s="349"/>
      <c r="Q297" s="349"/>
      <c r="R297" s="350">
        <f>O297/INTGRATE!$N$293</f>
        <v>0</v>
      </c>
      <c r="S297" s="349">
        <f t="shared" si="129"/>
        <v>0</v>
      </c>
      <c r="T297" s="472"/>
      <c r="U297" s="139"/>
      <c r="V297" s="956" t="str">
        <f t="shared" si="122"/>
        <v>965225</v>
      </c>
      <c r="W297" s="943">
        <v>321001</v>
      </c>
      <c r="X297" s="68"/>
      <c r="Y297" s="68"/>
      <c r="Z297" s="459"/>
      <c r="AA297" s="100"/>
      <c r="AB297" s="100"/>
      <c r="AC297" s="100"/>
      <c r="AD297" s="348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348"/>
      <c r="AR297" s="100"/>
      <c r="AS297" s="100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24"/>
        <v>0</v>
      </c>
      <c r="BD297" s="896">
        <f t="shared" si="125"/>
        <v>0</v>
      </c>
      <c r="BE297" s="896">
        <f t="shared" si="126"/>
        <v>0</v>
      </c>
      <c r="BG297" s="38"/>
    </row>
    <row r="298" spans="1:60" ht="15" customHeight="1">
      <c r="A298" s="68">
        <v>7</v>
      </c>
      <c r="B298" s="77" t="s">
        <v>57</v>
      </c>
      <c r="C298" s="125" t="s">
        <v>1314</v>
      </c>
      <c r="D298" s="67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27"/>
        <v>0</v>
      </c>
      <c r="N298" s="348">
        <f t="shared" si="128"/>
        <v>0</v>
      </c>
      <c r="O298" s="748">
        <f t="shared" si="123"/>
        <v>0</v>
      </c>
      <c r="P298" s="349">
        <f>+N298+N296</f>
        <v>0</v>
      </c>
      <c r="Q298" s="349">
        <f>+O298+O296</f>
        <v>0</v>
      </c>
      <c r="R298" s="350">
        <f>O298/INTGRATE!$N$293</f>
        <v>0</v>
      </c>
      <c r="S298" s="349">
        <f t="shared" si="129"/>
        <v>0</v>
      </c>
      <c r="T298" s="472"/>
      <c r="U298" s="139"/>
      <c r="V298" s="956" t="str">
        <f t="shared" si="122"/>
        <v>9652S25</v>
      </c>
      <c r="W298" s="943">
        <v>320001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24"/>
        <v>0</v>
      </c>
      <c r="BD298" s="896">
        <f t="shared" si="125"/>
        <v>0</v>
      </c>
      <c r="BE298" s="896">
        <f t="shared" si="126"/>
        <v>0</v>
      </c>
      <c r="BG298" s="38"/>
    </row>
    <row r="299" spans="1:60">
      <c r="A299" s="68">
        <v>8</v>
      </c>
      <c r="B299" s="77">
        <v>9653</v>
      </c>
      <c r="C299" s="77" t="s">
        <v>61</v>
      </c>
      <c r="D299" s="67">
        <v>25</v>
      </c>
      <c r="E299" s="347">
        <v>0</v>
      </c>
      <c r="F299" s="100">
        <f>SUMIF(pro!$A:$A,$V:$V,pro!$N:$N)</f>
        <v>0</v>
      </c>
      <c r="G299" s="348"/>
      <c r="H299" s="356">
        <f>SUMIF(CBIN!$A:$A,BRAN!$V:$V,CBIN!$G:$G)</f>
        <v>0</v>
      </c>
      <c r="I299" s="419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27"/>
        <v>0</v>
      </c>
      <c r="N299" s="348">
        <f t="shared" si="128"/>
        <v>0</v>
      </c>
      <c r="O299" s="748">
        <f t="shared" si="123"/>
        <v>0</v>
      </c>
      <c r="P299" s="349">
        <f>+N292+N293+N294+N295</f>
        <v>0</v>
      </c>
      <c r="Q299" s="349">
        <f>+O292+O293+O294+O295</f>
        <v>0</v>
      </c>
      <c r="R299" s="350">
        <f>O299/INTGRATE!$N$293</f>
        <v>0</v>
      </c>
      <c r="S299" s="349">
        <f t="shared" si="129"/>
        <v>0</v>
      </c>
      <c r="T299" s="472"/>
      <c r="U299" s="139"/>
      <c r="V299" s="956" t="str">
        <f t="shared" si="122"/>
        <v>965325</v>
      </c>
      <c r="W299" s="943">
        <v>332301</v>
      </c>
      <c r="X299" s="348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48"/>
      <c r="AP299" s="100"/>
      <c r="AQ299" s="348"/>
      <c r="AR299" s="348"/>
      <c r="AS299" s="748"/>
      <c r="AT299" s="100"/>
      <c r="AU299" s="100"/>
      <c r="AV299" s="100"/>
      <c r="AW299" s="100"/>
      <c r="AX299" s="348"/>
      <c r="AY299" s="100"/>
      <c r="AZ299" s="100"/>
      <c r="BA299" s="100"/>
      <c r="BB299" s="100"/>
      <c r="BC299" s="756">
        <f t="shared" si="124"/>
        <v>0</v>
      </c>
      <c r="BD299" s="896">
        <f t="shared" si="125"/>
        <v>0</v>
      </c>
      <c r="BE299" s="896">
        <f t="shared" si="126"/>
        <v>0</v>
      </c>
      <c r="BG299" s="38"/>
    </row>
    <row r="300" spans="1:60" ht="15" customHeight="1">
      <c r="A300" s="68">
        <v>9</v>
      </c>
      <c r="B300" s="884">
        <v>9666</v>
      </c>
      <c r="C300" s="165" t="s">
        <v>61</v>
      </c>
      <c r="D300" s="185">
        <v>25</v>
      </c>
      <c r="E300" s="347">
        <v>0</v>
      </c>
      <c r="F300" s="100">
        <f>SUMIF(pro!$A:$A,$V:$V,pro!$N:$N)</f>
        <v>0</v>
      </c>
      <c r="G300" s="348"/>
      <c r="H300" s="356">
        <f>SUMIF(CBIN!$A:$A,BRAN!$V:$V,CBIN!$G:$G)</f>
        <v>0</v>
      </c>
      <c r="I300" s="419">
        <f>SUMIF(data!$D:$D,$B300&amp;$D300,data!$J:$J)</f>
        <v>0</v>
      </c>
      <c r="J300" s="348">
        <f>SUMIF(data!$D:$D,$B300&amp;$D300,data!$K:$K)</f>
        <v>0</v>
      </c>
      <c r="K300" s="356">
        <f>SUMIF(AJOUT!$A:$A,BRAN!$V:$V,AJOUT!$L:$L)</f>
        <v>0</v>
      </c>
      <c r="L300" s="356">
        <f>SUMIF(CBOUT!$A:$A,BRAN!$V:$V,CBOUT!$G:$G)</f>
        <v>0</v>
      </c>
      <c r="M300" s="550">
        <f t="shared" si="127"/>
        <v>0</v>
      </c>
      <c r="N300" s="348">
        <f t="shared" si="128"/>
        <v>0</v>
      </c>
      <c r="O300" s="748">
        <f t="shared" si="123"/>
        <v>0</v>
      </c>
      <c r="P300" s="349">
        <f>+N297+N299+N300+N301</f>
        <v>0</v>
      </c>
      <c r="Q300" s="349">
        <f>+O297+O299+O300+O301</f>
        <v>0</v>
      </c>
      <c r="R300" s="350">
        <f>O300/INTGRATE!$N$293</f>
        <v>0</v>
      </c>
      <c r="S300" s="349">
        <f t="shared" si="129"/>
        <v>0</v>
      </c>
      <c r="T300" s="472"/>
      <c r="U300" s="139"/>
      <c r="V300" s="956" t="str">
        <f t="shared" si="122"/>
        <v>966625</v>
      </c>
      <c r="W300" s="943">
        <v>366201</v>
      </c>
      <c r="X300" s="348"/>
      <c r="Y300" s="100"/>
      <c r="Z300" s="100"/>
      <c r="AA300" s="100"/>
      <c r="AB300" s="100"/>
      <c r="AC300" s="100"/>
      <c r="AD300" s="100"/>
      <c r="AE300" s="100"/>
      <c r="AF300" s="100"/>
      <c r="AG300" s="100"/>
      <c r="AH300" s="100"/>
      <c r="AI300" s="100"/>
      <c r="AJ300" s="100"/>
      <c r="AK300" s="100"/>
      <c r="AL300" s="100"/>
      <c r="AM300" s="100"/>
      <c r="AN300" s="100"/>
      <c r="AO300" s="348"/>
      <c r="AP300" s="100"/>
      <c r="AQ300" s="348"/>
      <c r="AR300" s="348"/>
      <c r="AS300" s="748"/>
      <c r="AT300" s="100"/>
      <c r="AU300" s="100"/>
      <c r="AV300" s="100"/>
      <c r="AW300" s="100"/>
      <c r="AX300" s="348"/>
      <c r="AY300" s="100"/>
      <c r="AZ300" s="100"/>
      <c r="BA300" s="100"/>
      <c r="BB300" s="100"/>
      <c r="BC300" s="756">
        <f t="shared" si="124"/>
        <v>0</v>
      </c>
      <c r="BD300" s="896">
        <f t="shared" si="125"/>
        <v>0</v>
      </c>
      <c r="BE300" s="896">
        <f t="shared" si="126"/>
        <v>0</v>
      </c>
      <c r="BG300" s="38"/>
    </row>
    <row r="301" spans="1:60" ht="15" customHeight="1">
      <c r="A301" s="68">
        <v>10</v>
      </c>
      <c r="B301" s="885">
        <v>9667</v>
      </c>
      <c r="C301" s="165" t="s">
        <v>61</v>
      </c>
      <c r="D301" s="189">
        <v>25</v>
      </c>
      <c r="E301" s="347">
        <v>0</v>
      </c>
      <c r="F301" s="100">
        <f>SUMIF(pro!$A:$A,$V:$V,pro!$N:$N)</f>
        <v>0</v>
      </c>
      <c r="G301" s="353"/>
      <c r="H301" s="356">
        <f>SUMIF(CBIN!$A:$A,BRAN!$V:$V,CBIN!$G:$G)</f>
        <v>0</v>
      </c>
      <c r="I301" s="420">
        <f>SUMIF(data!$D:$D,$B301&amp;$D301,data!$J:$J)</f>
        <v>0</v>
      </c>
      <c r="J301" s="348">
        <f>SUMIF(data!$D:$D,$B301&amp;$D301,data!$K:$K)</f>
        <v>0</v>
      </c>
      <c r="K301" s="356">
        <f>SUMIF(AJOUT!$A:$A,BRAN!$V:$V,AJOUT!$L:$L)</f>
        <v>0</v>
      </c>
      <c r="L301" s="356">
        <f>SUMIF(CBOUT!$A:$A,BRAN!$V:$V,CBOUT!$G:$G)</f>
        <v>0</v>
      </c>
      <c r="M301" s="550">
        <f t="shared" si="127"/>
        <v>0</v>
      </c>
      <c r="N301" s="348">
        <f t="shared" si="128"/>
        <v>0</v>
      </c>
      <c r="O301" s="748">
        <f t="shared" si="123"/>
        <v>0</v>
      </c>
      <c r="P301" s="352"/>
      <c r="Q301" s="352"/>
      <c r="R301" s="350">
        <f>O301/INTGRATE!$N$293</f>
        <v>0</v>
      </c>
      <c r="S301" s="349">
        <f t="shared" si="129"/>
        <v>0</v>
      </c>
      <c r="T301" s="471"/>
      <c r="U301" s="152"/>
      <c r="V301" s="956" t="str">
        <f t="shared" si="122"/>
        <v>966725</v>
      </c>
      <c r="W301" s="943">
        <v>367201</v>
      </c>
      <c r="X301" s="353"/>
      <c r="Y301" s="639"/>
      <c r="Z301" s="639"/>
      <c r="AA301" s="639"/>
      <c r="AB301" s="639"/>
      <c r="AC301" s="639"/>
      <c r="AD301" s="100"/>
      <c r="AE301" s="639"/>
      <c r="AF301" s="639"/>
      <c r="AG301" s="639"/>
      <c r="AH301" s="639"/>
      <c r="AI301" s="639"/>
      <c r="AJ301" s="639"/>
      <c r="AK301" s="639"/>
      <c r="AL301" s="639"/>
      <c r="AM301" s="639"/>
      <c r="AN301" s="639"/>
      <c r="AO301" s="348"/>
      <c r="AP301" s="639"/>
      <c r="AQ301" s="348"/>
      <c r="AR301" s="348"/>
      <c r="AS301" s="748"/>
      <c r="AT301" s="639"/>
      <c r="AU301" s="639"/>
      <c r="AV301" s="639"/>
      <c r="AW301" s="639"/>
      <c r="AX301" s="348"/>
      <c r="AY301" s="639"/>
      <c r="AZ301" s="639"/>
      <c r="BA301" s="639"/>
      <c r="BB301" s="639"/>
      <c r="BC301" s="756">
        <f t="shared" si="124"/>
        <v>0</v>
      </c>
      <c r="BD301" s="896">
        <f t="shared" si="125"/>
        <v>0</v>
      </c>
      <c r="BE301" s="896">
        <f t="shared" si="126"/>
        <v>0</v>
      </c>
      <c r="BG301" s="38"/>
    </row>
    <row r="302" spans="1:60" s="59" customFormat="1" ht="15" customHeight="1">
      <c r="A302" s="1223" t="s">
        <v>1764</v>
      </c>
      <c r="B302" s="1224"/>
      <c r="C302" s="1224"/>
      <c r="D302" s="1225"/>
      <c r="E302" s="113"/>
      <c r="F302" s="113"/>
      <c r="G302" s="113"/>
      <c r="H302" s="113"/>
      <c r="I302" s="113"/>
      <c r="J302" s="113"/>
      <c r="K302" s="113"/>
      <c r="L302" s="113"/>
      <c r="M302" s="551"/>
      <c r="N302" s="113"/>
      <c r="O302" s="113"/>
      <c r="P302" s="113"/>
      <c r="Q302" s="113"/>
      <c r="R302" s="113"/>
      <c r="S302" s="114"/>
      <c r="T302" s="532"/>
      <c r="U302" s="113"/>
      <c r="V302" s="964" t="str">
        <f t="shared" si="122"/>
        <v/>
      </c>
      <c r="W302" s="965"/>
      <c r="X302" s="112">
        <f t="shared" ref="X302:BA302" si="130">SUM(X292:X301)</f>
        <v>0</v>
      </c>
      <c r="Y302" s="112">
        <f t="shared" si="130"/>
        <v>0</v>
      </c>
      <c r="Z302" s="112">
        <f t="shared" si="130"/>
        <v>0</v>
      </c>
      <c r="AA302" s="112">
        <f t="shared" si="130"/>
        <v>0</v>
      </c>
      <c r="AB302" s="112">
        <f t="shared" si="130"/>
        <v>0</v>
      </c>
      <c r="AC302" s="112">
        <f t="shared" si="130"/>
        <v>0</v>
      </c>
      <c r="AD302" s="112">
        <f t="shared" si="130"/>
        <v>0</v>
      </c>
      <c r="AE302" s="112">
        <f t="shared" si="130"/>
        <v>0</v>
      </c>
      <c r="AF302" s="112">
        <f t="shared" si="130"/>
        <v>0</v>
      </c>
      <c r="AG302" s="112">
        <f t="shared" si="130"/>
        <v>0</v>
      </c>
      <c r="AH302" s="112">
        <f t="shared" si="130"/>
        <v>0</v>
      </c>
      <c r="AI302" s="112">
        <f t="shared" si="130"/>
        <v>0</v>
      </c>
      <c r="AJ302" s="112">
        <f t="shared" si="130"/>
        <v>0</v>
      </c>
      <c r="AK302" s="112">
        <f t="shared" si="130"/>
        <v>0</v>
      </c>
      <c r="AL302" s="112">
        <f t="shared" si="130"/>
        <v>0</v>
      </c>
      <c r="AM302" s="112">
        <f t="shared" si="130"/>
        <v>0</v>
      </c>
      <c r="AN302" s="112">
        <f t="shared" si="130"/>
        <v>0</v>
      </c>
      <c r="AO302" s="112">
        <f t="shared" si="130"/>
        <v>0</v>
      </c>
      <c r="AP302" s="112">
        <f t="shared" si="130"/>
        <v>0</v>
      </c>
      <c r="AQ302" s="112">
        <f t="shared" si="130"/>
        <v>0</v>
      </c>
      <c r="AR302" s="112">
        <f t="shared" si="130"/>
        <v>0</v>
      </c>
      <c r="AS302" s="112">
        <f t="shared" si="130"/>
        <v>0</v>
      </c>
      <c r="AT302" s="112">
        <f t="shared" si="130"/>
        <v>0</v>
      </c>
      <c r="AU302" s="112">
        <f t="shared" si="130"/>
        <v>0</v>
      </c>
      <c r="AV302" s="112">
        <f t="shared" si="130"/>
        <v>0</v>
      </c>
      <c r="AW302" s="112">
        <f t="shared" si="130"/>
        <v>0</v>
      </c>
      <c r="AX302" s="112">
        <f t="shared" si="130"/>
        <v>0</v>
      </c>
      <c r="AY302" s="112">
        <f t="shared" si="130"/>
        <v>0</v>
      </c>
      <c r="AZ302" s="112">
        <f t="shared" si="130"/>
        <v>0</v>
      </c>
      <c r="BA302" s="112">
        <f t="shared" si="130"/>
        <v>0</v>
      </c>
      <c r="BB302" s="112">
        <f>SUM(BB292:BB301)</f>
        <v>0</v>
      </c>
      <c r="BC302" s="112">
        <f>SUM(BC292:BC301)</f>
        <v>0</v>
      </c>
      <c r="BD302" s="112"/>
      <c r="BE302" s="112"/>
      <c r="BG302" s="38"/>
      <c r="BH302" s="508"/>
    </row>
    <row r="303" spans="1:60" s="59" customFormat="1" ht="15" customHeight="1">
      <c r="A303" s="1223" t="s">
        <v>1740</v>
      </c>
      <c r="B303" s="1224"/>
      <c r="C303" s="1224"/>
      <c r="D303" s="1225"/>
      <c r="E303" s="113">
        <f>SUM(E295:E301)</f>
        <v>0</v>
      </c>
      <c r="F303" s="113">
        <f>SUM(F295:F301)</f>
        <v>0</v>
      </c>
      <c r="G303" s="113">
        <f t="shared" ref="G303:L303" si="131">SUM(G295:G301)</f>
        <v>0</v>
      </c>
      <c r="H303" s="113">
        <f t="shared" si="131"/>
        <v>0</v>
      </c>
      <c r="I303" s="113">
        <f t="shared" si="131"/>
        <v>0</v>
      </c>
      <c r="J303" s="113">
        <f t="shared" si="131"/>
        <v>0</v>
      </c>
      <c r="K303" s="113">
        <f t="shared" si="131"/>
        <v>0</v>
      </c>
      <c r="L303" s="113">
        <f t="shared" si="131"/>
        <v>0</v>
      </c>
      <c r="M303" s="113">
        <f t="shared" ref="M303:R303" si="132">SUM(M295:M301)</f>
        <v>0</v>
      </c>
      <c r="N303" s="113">
        <f t="shared" si="132"/>
        <v>0</v>
      </c>
      <c r="O303" s="113">
        <f t="shared" si="132"/>
        <v>0</v>
      </c>
      <c r="P303" s="113">
        <f t="shared" si="132"/>
        <v>0</v>
      </c>
      <c r="Q303" s="113">
        <f t="shared" si="132"/>
        <v>0</v>
      </c>
      <c r="R303" s="113">
        <f t="shared" si="132"/>
        <v>0</v>
      </c>
      <c r="S303" s="113">
        <f>SUM(S296:S301)</f>
        <v>0</v>
      </c>
      <c r="T303" s="1229" t="e">
        <f>N307/R305</f>
        <v>#DIV/0!</v>
      </c>
      <c r="U303" s="159">
        <f>SUM(U296:U301)*25</f>
        <v>0</v>
      </c>
      <c r="V303" s="959" t="str">
        <f t="shared" si="122"/>
        <v/>
      </c>
      <c r="W303" s="94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508"/>
    </row>
    <row r="304" spans="1:60" s="59" customFormat="1" ht="15" customHeight="1">
      <c r="A304" s="1223" t="s">
        <v>1765</v>
      </c>
      <c r="B304" s="1224"/>
      <c r="C304" s="1224"/>
      <c r="D304" s="1225"/>
      <c r="E304" s="113"/>
      <c r="F304" s="113"/>
      <c r="G304" s="113"/>
      <c r="H304" s="113"/>
      <c r="I304" s="113"/>
      <c r="J304" s="113"/>
      <c r="K304" s="113"/>
      <c r="L304" s="113"/>
      <c r="M304" s="551"/>
      <c r="N304" s="113"/>
      <c r="O304" s="113"/>
      <c r="P304" s="113"/>
      <c r="Q304" s="113"/>
      <c r="R304" s="113"/>
      <c r="S304" s="114"/>
      <c r="T304" s="1230"/>
      <c r="U304" s="159"/>
      <c r="V304" s="959" t="str">
        <f t="shared" si="122"/>
        <v/>
      </c>
      <c r="W304" s="943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G304" s="38"/>
      <c r="BH304" s="508"/>
    </row>
    <row r="305" spans="1:151" s="132" customFormat="1" ht="15" customHeight="1">
      <c r="A305" s="1233" t="s">
        <v>1742</v>
      </c>
      <c r="B305" s="1234"/>
      <c r="C305" s="1234"/>
      <c r="D305" s="1235"/>
      <c r="E305" s="73">
        <f t="shared" ref="E305:N305" si="133">SUM(E302:E304)</f>
        <v>0</v>
      </c>
      <c r="F305" s="73">
        <f t="shared" si="133"/>
        <v>0</v>
      </c>
      <c r="G305" s="73">
        <f t="shared" si="133"/>
        <v>0</v>
      </c>
      <c r="H305" s="73">
        <f t="shared" si="133"/>
        <v>0</v>
      </c>
      <c r="I305" s="73">
        <f t="shared" si="133"/>
        <v>0</v>
      </c>
      <c r="J305" s="73">
        <f t="shared" si="133"/>
        <v>0</v>
      </c>
      <c r="K305" s="73">
        <f t="shared" si="133"/>
        <v>0</v>
      </c>
      <c r="L305" s="73">
        <f t="shared" si="133"/>
        <v>0</v>
      </c>
      <c r="M305" s="549">
        <f t="shared" si="133"/>
        <v>0</v>
      </c>
      <c r="N305" s="73">
        <f t="shared" si="133"/>
        <v>0</v>
      </c>
      <c r="O305" s="874">
        <f>+O307-O306</f>
        <v>0</v>
      </c>
      <c r="P305" s="197"/>
      <c r="Q305" s="197"/>
      <c r="R305" s="1219">
        <f>SUM(R296:R301)</f>
        <v>0</v>
      </c>
      <c r="S305" s="1221" t="s">
        <v>45</v>
      </c>
      <c r="T305" s="1241"/>
      <c r="U305" s="146">
        <f>SUM(U296:U301)</f>
        <v>0</v>
      </c>
      <c r="V305" s="954" t="str">
        <f t="shared" si="122"/>
        <v/>
      </c>
      <c r="W305" s="95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422"/>
      <c r="BD305" s="422"/>
      <c r="BE305" s="422"/>
      <c r="BH305" s="508"/>
    </row>
    <row r="306" spans="1:151" s="132" customFormat="1" ht="15" customHeight="1">
      <c r="A306" s="1223" t="s">
        <v>1766</v>
      </c>
      <c r="B306" s="1224"/>
      <c r="C306" s="1224"/>
      <c r="D306" s="1225"/>
      <c r="E306" s="73"/>
      <c r="F306" s="73">
        <f>+F292+F293+F294</f>
        <v>0</v>
      </c>
      <c r="G306" s="73">
        <f t="shared" ref="G306:L306" si="134">+G292+G293+G294</f>
        <v>0</v>
      </c>
      <c r="H306" s="73">
        <f t="shared" si="134"/>
        <v>0</v>
      </c>
      <c r="I306" s="73">
        <f t="shared" si="134"/>
        <v>0</v>
      </c>
      <c r="J306" s="73">
        <f t="shared" si="134"/>
        <v>0</v>
      </c>
      <c r="K306" s="73">
        <f t="shared" si="134"/>
        <v>0</v>
      </c>
      <c r="L306" s="73">
        <f t="shared" si="134"/>
        <v>0</v>
      </c>
      <c r="M306" s="73">
        <f>+M292</f>
        <v>0</v>
      </c>
      <c r="N306" s="73">
        <f>+N292</f>
        <v>0</v>
      </c>
      <c r="O306" s="874">
        <f>+O292+O293+O294</f>
        <v>0</v>
      </c>
      <c r="P306" s="681"/>
      <c r="Q306" s="681"/>
      <c r="R306" s="1251"/>
      <c r="S306" s="1250"/>
      <c r="T306" s="1241"/>
      <c r="U306" s="146"/>
      <c r="V306" s="954"/>
      <c r="W306" s="951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59"/>
      <c r="BC306" s="422"/>
      <c r="BD306" s="422"/>
      <c r="BE306" s="422"/>
      <c r="BH306" s="508"/>
    </row>
    <row r="307" spans="1:151" s="71" customFormat="1" ht="15" customHeight="1">
      <c r="A307" s="1223" t="s">
        <v>1743</v>
      </c>
      <c r="B307" s="1224"/>
      <c r="C307" s="1224"/>
      <c r="D307" s="1225"/>
      <c r="E307" s="70">
        <f>SUM(E302:E303)*25+E304*40</f>
        <v>0</v>
      </c>
      <c r="F307" s="70">
        <f>+F306+F303*25+F304*40</f>
        <v>0</v>
      </c>
      <c r="G307" s="70">
        <f>+G306+G303*25+G304*40</f>
        <v>0</v>
      </c>
      <c r="H307" s="70">
        <f>+H306+H303*25+H304*40</f>
        <v>0</v>
      </c>
      <c r="I307" s="70">
        <f t="shared" ref="I307:N307" si="135">+I306+I305</f>
        <v>0</v>
      </c>
      <c r="J307" s="70">
        <f t="shared" si="135"/>
        <v>0</v>
      </c>
      <c r="K307" s="70">
        <f t="shared" si="135"/>
        <v>0</v>
      </c>
      <c r="L307" s="70">
        <f t="shared" si="135"/>
        <v>0</v>
      </c>
      <c r="M307" s="70">
        <f>+M306+M303*25+M304*40</f>
        <v>0</v>
      </c>
      <c r="N307" s="70">
        <f t="shared" si="135"/>
        <v>0</v>
      </c>
      <c r="O307" s="874">
        <f>+SUM(O292:O301)</f>
        <v>0</v>
      </c>
      <c r="P307" s="198"/>
      <c r="Q307" s="198"/>
      <c r="R307" s="1220"/>
      <c r="S307" s="1222"/>
      <c r="T307" s="1242"/>
      <c r="U307" s="146">
        <f>SUM(U302:U304)</f>
        <v>0</v>
      </c>
      <c r="V307" s="954" t="str">
        <f t="shared" si="122"/>
        <v/>
      </c>
      <c r="W307" s="951"/>
      <c r="X307" s="79"/>
      <c r="Y307" s="79"/>
      <c r="Z307" s="79"/>
      <c r="AA307" s="79"/>
      <c r="AB307" s="79"/>
      <c r="AC307" s="79"/>
      <c r="AD307" s="79"/>
      <c r="AE307" s="79"/>
      <c r="AF307" s="79"/>
      <c r="AG307" s="79"/>
      <c r="AH307" s="79"/>
      <c r="AI307" s="79"/>
      <c r="AJ307" s="79"/>
      <c r="AK307" s="79"/>
      <c r="AL307" s="79"/>
      <c r="AM307" s="79"/>
      <c r="AN307" s="79"/>
      <c r="AO307" s="79"/>
      <c r="AP307" s="79"/>
      <c r="AQ307" s="79"/>
      <c r="AR307" s="79"/>
      <c r="AS307" s="79"/>
      <c r="AT307" s="79"/>
      <c r="AU307" s="79"/>
      <c r="AV307" s="79"/>
      <c r="AW307" s="79"/>
      <c r="AX307" s="79"/>
      <c r="AY307" s="79"/>
      <c r="AZ307" s="79"/>
      <c r="BA307" s="79"/>
      <c r="BB307" s="79"/>
      <c r="BH307" s="508"/>
    </row>
    <row r="308" spans="1:151" s="71" customFormat="1" ht="15" customHeight="1">
      <c r="A308" s="310" t="s">
        <v>137</v>
      </c>
      <c r="B308" s="37"/>
      <c r="C308" s="37"/>
      <c r="D308" s="37"/>
      <c r="E308" s="133"/>
      <c r="F308" s="37"/>
      <c r="G308" s="37"/>
      <c r="H308" s="37"/>
      <c r="I308" s="37"/>
      <c r="J308" s="37"/>
      <c r="K308" s="37"/>
      <c r="L308" s="37"/>
      <c r="M308" s="543"/>
      <c r="N308" s="37"/>
      <c r="O308" s="37"/>
      <c r="P308" s="37"/>
      <c r="Q308" s="37"/>
      <c r="R308" s="37"/>
      <c r="S308" s="37"/>
      <c r="T308" s="528"/>
      <c r="U308" s="149"/>
      <c r="V308" s="954" t="str">
        <f t="shared" si="122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s="71" customFormat="1" ht="15" customHeight="1">
      <c r="A309" s="310" t="s">
        <v>1694</v>
      </c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535"/>
      <c r="N309" s="38"/>
      <c r="O309" s="38"/>
      <c r="P309" s="38"/>
      <c r="Q309" s="38"/>
      <c r="R309" s="38"/>
      <c r="S309" s="38"/>
      <c r="T309" s="529"/>
      <c r="U309" s="137"/>
      <c r="V309" s="954" t="str">
        <f t="shared" si="122"/>
        <v/>
      </c>
      <c r="W309" s="95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508"/>
    </row>
    <row r="310" spans="1:151" s="71" customFormat="1" ht="15" customHeight="1">
      <c r="A310" s="310" t="s">
        <v>1695</v>
      </c>
      <c r="B310" s="430"/>
      <c r="C310" s="430"/>
      <c r="D310" s="430"/>
      <c r="E310" s="430"/>
      <c r="F310" s="430"/>
      <c r="G310" s="430"/>
      <c r="H310" s="430"/>
      <c r="I310" s="430"/>
      <c r="J310" s="430"/>
      <c r="K310" s="430"/>
      <c r="L310" s="430"/>
      <c r="M310" s="544"/>
      <c r="N310" s="430"/>
      <c r="O310" s="430"/>
      <c r="P310" s="430"/>
      <c r="Q310" s="430"/>
      <c r="R310" s="430"/>
      <c r="S310" s="430"/>
      <c r="T310" s="530"/>
      <c r="U310" s="137"/>
      <c r="V310" s="954" t="str">
        <f t="shared" si="122"/>
        <v/>
      </c>
      <c r="W310" s="951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H310" s="508"/>
    </row>
    <row r="311" spans="1:151" ht="15" customHeight="1">
      <c r="A311" s="512" t="s">
        <v>1733</v>
      </c>
      <c r="B311" s="512"/>
      <c r="C311" s="512"/>
      <c r="D311" s="512"/>
      <c r="E311" s="512"/>
      <c r="F311" s="512"/>
      <c r="G311" s="512"/>
      <c r="H311" s="512"/>
      <c r="I311" s="512"/>
      <c r="J311" s="512"/>
      <c r="K311" s="512"/>
      <c r="L311" s="512"/>
      <c r="M311" s="538"/>
      <c r="N311" s="512"/>
      <c r="O311" s="512"/>
      <c r="P311" s="512"/>
      <c r="Q311" s="512"/>
      <c r="R311" s="512"/>
      <c r="S311" s="512"/>
      <c r="T311" s="78"/>
      <c r="U311" s="143"/>
      <c r="V311" s="959" t="str">
        <f t="shared" si="122"/>
        <v/>
      </c>
      <c r="AB311" s="314"/>
    </row>
    <row r="312" spans="1:151" ht="15" customHeight="1">
      <c r="A312" s="513" t="s">
        <v>1767</v>
      </c>
      <c r="B312" s="513"/>
      <c r="C312" s="513"/>
      <c r="D312" s="513"/>
      <c r="E312" s="513"/>
      <c r="F312" s="513"/>
      <c r="G312" s="513"/>
      <c r="H312" s="513"/>
      <c r="I312" s="513"/>
      <c r="J312" s="513"/>
      <c r="K312" s="513"/>
      <c r="L312" s="513"/>
      <c r="M312" s="539"/>
      <c r="N312" s="513"/>
      <c r="O312" s="513"/>
      <c r="P312" s="513"/>
      <c r="Q312" s="513"/>
      <c r="R312" s="513"/>
      <c r="S312" s="513"/>
      <c r="T312" s="476"/>
      <c r="U312" s="144"/>
      <c r="V312" s="959" t="str">
        <f t="shared" si="122"/>
        <v/>
      </c>
    </row>
    <row r="313" spans="1:151" s="63" customFormat="1" ht="32.25" customHeight="1">
      <c r="A313" s="1043" t="s">
        <v>1700</v>
      </c>
      <c r="B313" s="1034" t="s">
        <v>1676</v>
      </c>
      <c r="C313" s="1034" t="s">
        <v>1677</v>
      </c>
      <c r="D313" s="1046" t="s">
        <v>1678</v>
      </c>
      <c r="E313" s="61" t="s">
        <v>0</v>
      </c>
      <c r="F313" s="1049" t="s">
        <v>1680</v>
      </c>
      <c r="G313" s="1054"/>
      <c r="H313" s="1050"/>
      <c r="I313" s="1049" t="s">
        <v>1681</v>
      </c>
      <c r="J313" s="1054"/>
      <c r="K313" s="1054"/>
      <c r="L313" s="1054"/>
      <c r="M313" s="1049" t="s">
        <v>1687</v>
      </c>
      <c r="N313" s="1050"/>
      <c r="O313" s="194" t="s">
        <v>1727</v>
      </c>
      <c r="P313" s="194"/>
      <c r="Q313" s="194"/>
      <c r="R313" s="194" t="s">
        <v>1728</v>
      </c>
      <c r="S313" s="1046" t="s">
        <v>1689</v>
      </c>
      <c r="T313" s="1173" t="s">
        <v>1692</v>
      </c>
      <c r="U313" s="999" t="s">
        <v>1693</v>
      </c>
      <c r="V313" s="950"/>
      <c r="W313" s="95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506"/>
    </row>
    <row r="314" spans="1:151" s="63" customFormat="1" ht="44.25" customHeight="1">
      <c r="A314" s="1044"/>
      <c r="B314" s="1035"/>
      <c r="C314" s="1035"/>
      <c r="D314" s="1047" t="s">
        <v>3</v>
      </c>
      <c r="E314" s="64" t="s">
        <v>1679</v>
      </c>
      <c r="F314" s="783" t="s">
        <v>1682</v>
      </c>
      <c r="G314" s="585" t="s">
        <v>1683</v>
      </c>
      <c r="H314" s="784" t="s">
        <v>1685</v>
      </c>
      <c r="I314" s="1049" t="s">
        <v>1684</v>
      </c>
      <c r="J314" s="1054"/>
      <c r="K314" s="585" t="s">
        <v>1688</v>
      </c>
      <c r="L314" s="784" t="s">
        <v>1686</v>
      </c>
      <c r="M314" s="1049" t="s">
        <v>1732</v>
      </c>
      <c r="N314" s="1050"/>
      <c r="O314" s="787" t="s">
        <v>1730</v>
      </c>
      <c r="P314" s="195"/>
      <c r="Q314" s="195"/>
      <c r="R314" s="787" t="s">
        <v>1731</v>
      </c>
      <c r="S314" s="1047"/>
      <c r="T314" s="1174"/>
      <c r="U314" s="1000"/>
      <c r="V314" s="950" t="str">
        <f t="shared" ref="V314:V321" si="136">B314&amp;D314</f>
        <v>SIZE</v>
      </c>
      <c r="W314" s="951"/>
      <c r="X314" s="83"/>
      <c r="Y314" s="83"/>
      <c r="Z314" s="83"/>
      <c r="AA314" s="83"/>
      <c r="AB314" s="83"/>
      <c r="AC314" s="83"/>
      <c r="AD314" s="83"/>
      <c r="AE314" s="83"/>
      <c r="AF314" s="83"/>
      <c r="AG314" s="83"/>
      <c r="AH314" s="83"/>
      <c r="AI314" s="83"/>
      <c r="AJ314" s="83"/>
      <c r="AK314" s="83"/>
      <c r="AL314" s="83"/>
      <c r="AM314" s="83"/>
      <c r="AN314" s="83"/>
      <c r="AO314" s="83"/>
      <c r="AP314" s="83"/>
      <c r="AQ314" s="83"/>
      <c r="AR314" s="83"/>
      <c r="AS314" s="83"/>
      <c r="AT314" s="83"/>
      <c r="AU314" s="83"/>
      <c r="AV314" s="83"/>
      <c r="AW314" s="83"/>
      <c r="AX314" s="83"/>
      <c r="AY314" s="83"/>
      <c r="AZ314" s="83"/>
      <c r="BA314" s="83"/>
      <c r="BH314" s="506"/>
    </row>
    <row r="315" spans="1:151" s="63" customFormat="1" ht="17.25" customHeight="1">
      <c r="A315" s="1045"/>
      <c r="B315" s="1036"/>
      <c r="C315" s="1036"/>
      <c r="D315" s="1048" t="s">
        <v>6</v>
      </c>
      <c r="E315" s="64" t="s">
        <v>1674</v>
      </c>
      <c r="F315" s="64" t="s">
        <v>1674</v>
      </c>
      <c r="G315" s="64" t="s">
        <v>1674</v>
      </c>
      <c r="H315" s="64" t="s">
        <v>1674</v>
      </c>
      <c r="I315" s="64" t="s">
        <v>1674</v>
      </c>
      <c r="J315" s="64" t="s">
        <v>6</v>
      </c>
      <c r="K315" s="64" t="s">
        <v>1674</v>
      </c>
      <c r="L315" s="64" t="s">
        <v>1674</v>
      </c>
      <c r="M315" s="64" t="s">
        <v>1674</v>
      </c>
      <c r="N315" s="65" t="s">
        <v>6</v>
      </c>
      <c r="O315" s="65" t="s">
        <v>6</v>
      </c>
      <c r="P315" s="196"/>
      <c r="Q315" s="196"/>
      <c r="R315" s="65" t="s">
        <v>1729</v>
      </c>
      <c r="S315" s="1048"/>
      <c r="T315" s="1175"/>
      <c r="U315" s="788" t="s">
        <v>1674</v>
      </c>
      <c r="V315" s="955" t="str">
        <f t="shared" si="136"/>
        <v>(Kg)</v>
      </c>
      <c r="W315" s="951"/>
      <c r="X315" s="340">
        <v>1</v>
      </c>
      <c r="Y315" s="89">
        <v>2</v>
      </c>
      <c r="Z315" s="88">
        <v>3</v>
      </c>
      <c r="AA315" s="89">
        <v>4</v>
      </c>
      <c r="AB315" s="88">
        <v>5</v>
      </c>
      <c r="AC315" s="89">
        <v>6</v>
      </c>
      <c r="AD315" s="88">
        <v>7</v>
      </c>
      <c r="AE315" s="89">
        <v>8</v>
      </c>
      <c r="AF315" s="88">
        <v>9</v>
      </c>
      <c r="AG315" s="89">
        <v>10</v>
      </c>
      <c r="AH315" s="88">
        <v>11</v>
      </c>
      <c r="AI315" s="89">
        <v>12</v>
      </c>
      <c r="AJ315" s="88">
        <v>13</v>
      </c>
      <c r="AK315" s="89">
        <v>14</v>
      </c>
      <c r="AL315" s="88">
        <v>15</v>
      </c>
      <c r="AM315" s="89">
        <v>16</v>
      </c>
      <c r="AN315" s="88">
        <v>17</v>
      </c>
      <c r="AO315" s="89">
        <v>18</v>
      </c>
      <c r="AP315" s="88">
        <v>19</v>
      </c>
      <c r="AQ315" s="89">
        <v>20</v>
      </c>
      <c r="AR315" s="88">
        <v>21</v>
      </c>
      <c r="AS315" s="89">
        <v>22</v>
      </c>
      <c r="AT315" s="88">
        <v>23</v>
      </c>
      <c r="AU315" s="89">
        <v>24</v>
      </c>
      <c r="AV315" s="88">
        <v>25</v>
      </c>
      <c r="AW315" s="89">
        <v>26</v>
      </c>
      <c r="AX315" s="88">
        <v>27</v>
      </c>
      <c r="AY315" s="89">
        <v>28</v>
      </c>
      <c r="AZ315" s="88">
        <v>29</v>
      </c>
      <c r="BA315" s="89">
        <v>30</v>
      </c>
      <c r="BB315" s="89">
        <v>31</v>
      </c>
      <c r="BC315" s="66" t="s">
        <v>13</v>
      </c>
      <c r="BD315" s="895" t="s">
        <v>1931</v>
      </c>
      <c r="BE315" s="895" t="s">
        <v>1930</v>
      </c>
      <c r="BH315" s="506"/>
    </row>
    <row r="316" spans="1:151" s="63" customFormat="1" ht="15" customHeight="1">
      <c r="A316" s="68">
        <v>1</v>
      </c>
      <c r="B316" s="714">
        <v>6824</v>
      </c>
      <c r="C316" s="714" t="s">
        <v>39</v>
      </c>
      <c r="D316" s="715">
        <v>25</v>
      </c>
      <c r="E316" s="717">
        <v>0</v>
      </c>
      <c r="F316" s="100">
        <f>SUMIF(pro!$A:$A,$V:$V,pro!$N:$N)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v>0</v>
      </c>
      <c r="N316" s="348">
        <f>M316*D316</f>
        <v>0</v>
      </c>
      <c r="O316" s="351">
        <f t="shared" ref="O316:O321" si="137">SUM(X316:BB316)</f>
        <v>0</v>
      </c>
      <c r="P316" s="349"/>
      <c r="Q316" s="349"/>
      <c r="R316" s="350">
        <f>O316/INTGRATE!$N$293</f>
        <v>0</v>
      </c>
      <c r="S316" s="349">
        <f t="shared" ref="S316:S321" si="138">IF(R316=0,0,N316/R316)</f>
        <v>0</v>
      </c>
      <c r="T316" s="470"/>
      <c r="U316" s="139"/>
      <c r="V316" s="956" t="str">
        <f t="shared" si="136"/>
        <v>682425</v>
      </c>
      <c r="W316" s="951">
        <v>127800</v>
      </c>
      <c r="X316" s="68"/>
      <c r="Y316" s="68">
        <v>0</v>
      </c>
      <c r="Z316" s="459">
        <v>0</v>
      </c>
      <c r="AA316" s="100">
        <v>0</v>
      </c>
      <c r="AB316" s="100">
        <v>0</v>
      </c>
      <c r="AC316" s="100">
        <v>0</v>
      </c>
      <c r="AD316" s="348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>
        <v>0</v>
      </c>
      <c r="AK316" s="100">
        <v>0</v>
      </c>
      <c r="AL316" s="100">
        <v>0</v>
      </c>
      <c r="AM316" s="100">
        <v>0</v>
      </c>
      <c r="AN316" s="100"/>
      <c r="AO316" s="100"/>
      <c r="AP316" s="100"/>
      <c r="AQ316" s="348"/>
      <c r="AR316" s="100"/>
      <c r="AS316" s="100"/>
      <c r="AT316" s="100"/>
      <c r="AU316" s="100"/>
      <c r="AV316" s="100"/>
      <c r="AW316" s="100"/>
      <c r="AX316" s="348"/>
      <c r="AY316" s="100"/>
      <c r="AZ316" s="100"/>
      <c r="BA316" s="100"/>
      <c r="BB316" s="100"/>
      <c r="BC316" s="299">
        <f t="shared" ref="BC316:BC317" si="139">SUM(X316:BB316)</f>
        <v>0</v>
      </c>
      <c r="BD316" s="896">
        <f>COUNTIF(X316:BB316,"&gt;0")</f>
        <v>0</v>
      </c>
      <c r="BE316" s="896">
        <f>IFERROR(BC316/BD316,0)</f>
        <v>0</v>
      </c>
      <c r="BH316" s="506"/>
    </row>
    <row r="317" spans="1:151" s="63" customFormat="1" ht="15" customHeight="1">
      <c r="A317" s="68">
        <v>2</v>
      </c>
      <c r="B317" s="714">
        <v>6824</v>
      </c>
      <c r="C317" s="714" t="s">
        <v>39</v>
      </c>
      <c r="D317" s="715" t="s">
        <v>81</v>
      </c>
      <c r="E317" s="712">
        <v>0</v>
      </c>
      <c r="F317" s="100">
        <f>+J317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v>0</v>
      </c>
      <c r="N317" s="348">
        <v>0</v>
      </c>
      <c r="O317" s="351">
        <f t="shared" si="137"/>
        <v>0</v>
      </c>
      <c r="P317" s="349"/>
      <c r="Q317" s="349"/>
      <c r="R317" s="350">
        <f>O317/INTGRATE!$N$293</f>
        <v>0</v>
      </c>
      <c r="S317" s="349">
        <f t="shared" si="138"/>
        <v>0</v>
      </c>
      <c r="T317" s="470"/>
      <c r="U317" s="139"/>
      <c r="V317" s="956" t="str">
        <f t="shared" si="136"/>
        <v>6824SILO</v>
      </c>
      <c r="W317" s="951">
        <v>127800</v>
      </c>
      <c r="X317" s="68"/>
      <c r="Y317" s="68">
        <v>0</v>
      </c>
      <c r="Z317" s="459">
        <v>0</v>
      </c>
      <c r="AA317" s="100">
        <v>0</v>
      </c>
      <c r="AB317" s="100">
        <v>0</v>
      </c>
      <c r="AC317" s="100">
        <v>0</v>
      </c>
      <c r="AD317" s="348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>
        <v>0</v>
      </c>
      <c r="AK317" s="100">
        <v>0</v>
      </c>
      <c r="AL317" s="100">
        <v>0</v>
      </c>
      <c r="AM317" s="100">
        <v>0</v>
      </c>
      <c r="AN317" s="100"/>
      <c r="AO317" s="100"/>
      <c r="AP317" s="100"/>
      <c r="AQ317" s="348"/>
      <c r="AR317" s="100"/>
      <c r="AS317" s="100"/>
      <c r="AT317" s="100"/>
      <c r="AU317" s="100"/>
      <c r="AV317" s="100"/>
      <c r="AW317" s="100"/>
      <c r="AX317" s="348"/>
      <c r="AY317" s="100"/>
      <c r="AZ317" s="100"/>
      <c r="BA317" s="100"/>
      <c r="BB317" s="100"/>
      <c r="BC317" s="299">
        <f t="shared" si="139"/>
        <v>0</v>
      </c>
      <c r="BD317" s="896">
        <f t="shared" ref="BD317" si="140">COUNTIF(X317:BB317,"&gt;0")</f>
        <v>0</v>
      </c>
      <c r="BE317" s="896">
        <f t="shared" ref="BE317" si="141">IFERROR(BC317/BD317,0)</f>
        <v>0</v>
      </c>
      <c r="BH317" s="506"/>
    </row>
    <row r="318" spans="1:151" s="108" customFormat="1" ht="15" customHeight="1">
      <c r="A318" s="68">
        <v>3</v>
      </c>
      <c r="B318" s="186">
        <v>6911</v>
      </c>
      <c r="C318" s="186" t="s">
        <v>1314</v>
      </c>
      <c r="D318" s="187">
        <v>25</v>
      </c>
      <c r="E318" s="347">
        <v>0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0</v>
      </c>
      <c r="N318" s="348">
        <f>M318*D318</f>
        <v>0</v>
      </c>
      <c r="O318" s="351">
        <f t="shared" si="137"/>
        <v>0</v>
      </c>
      <c r="P318" s="349"/>
      <c r="Q318" s="349"/>
      <c r="R318" s="350">
        <f>O318/INTGRATE!$N$293</f>
        <v>0</v>
      </c>
      <c r="S318" s="349">
        <f t="shared" si="138"/>
        <v>0</v>
      </c>
      <c r="T318" s="470"/>
      <c r="U318" s="139"/>
      <c r="V318" s="956" t="str">
        <f t="shared" si="136"/>
        <v>691125</v>
      </c>
      <c r="W318" s="943">
        <v>115701</v>
      </c>
      <c r="X318" s="68"/>
      <c r="Y318" s="68">
        <v>0</v>
      </c>
      <c r="Z318" s="459">
        <v>0</v>
      </c>
      <c r="AA318" s="100">
        <v>0</v>
      </c>
      <c r="AB318" s="100">
        <v>0</v>
      </c>
      <c r="AC318" s="100">
        <v>0</v>
      </c>
      <c r="AD318" s="348">
        <v>0</v>
      </c>
      <c r="AE318" s="100">
        <v>0</v>
      </c>
      <c r="AF318" s="100">
        <v>0</v>
      </c>
      <c r="AG318" s="100"/>
      <c r="AH318" s="100">
        <v>0</v>
      </c>
      <c r="AI318" s="100">
        <v>0</v>
      </c>
      <c r="AJ318" s="100">
        <v>0</v>
      </c>
      <c r="AK318" s="100">
        <v>0</v>
      </c>
      <c r="AL318" s="100">
        <v>0</v>
      </c>
      <c r="AM318" s="100">
        <v>0</v>
      </c>
      <c r="AN318" s="100"/>
      <c r="AO318" s="100"/>
      <c r="AP318" s="100"/>
      <c r="AQ318" s="348"/>
      <c r="AR318" s="100"/>
      <c r="AS318" s="100"/>
      <c r="AT318" s="100"/>
      <c r="AU318" s="100"/>
      <c r="AV318" s="100"/>
      <c r="AW318" s="348"/>
      <c r="AX318" s="348"/>
      <c r="AY318" s="100"/>
      <c r="AZ318" s="100"/>
      <c r="BA318" s="100"/>
      <c r="BB318" s="100"/>
      <c r="BC318" s="299">
        <f t="shared" ref="BC318:BC332" si="142">SUM(X318:BB318)</f>
        <v>0</v>
      </c>
      <c r="BD318" s="896">
        <f t="shared" ref="BD318:BD332" si="143">COUNTIF(X318:BB318,"&gt;0")</f>
        <v>0</v>
      </c>
      <c r="BE318" s="896">
        <f t="shared" ref="BE318:BE332" si="144">IFERROR(BC318/BD318,0)</f>
        <v>0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4</v>
      </c>
      <c r="B319" s="716">
        <v>6924</v>
      </c>
      <c r="C319" s="716" t="s">
        <v>1550</v>
      </c>
      <c r="D319" s="715">
        <v>25</v>
      </c>
      <c r="E319" s="347">
        <v>271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150</v>
      </c>
      <c r="J319" s="348">
        <f>SUMIF(data!$D:$D,$B319&amp;$D319,data!$K:$K)</f>
        <v>3750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121</v>
      </c>
      <c r="N319" s="348">
        <f>M319*D319</f>
        <v>3025</v>
      </c>
      <c r="O319" s="351">
        <f t="shared" si="137"/>
        <v>26900</v>
      </c>
      <c r="P319" s="349"/>
      <c r="Q319" s="349"/>
      <c r="R319" s="350">
        <f>O319/INTGRATE!$N$293</f>
        <v>1793.3333333333333</v>
      </c>
      <c r="S319" s="349">
        <f t="shared" si="138"/>
        <v>1.6868029739776953</v>
      </c>
      <c r="T319" s="470"/>
      <c r="U319" s="139"/>
      <c r="V319" s="956" t="str">
        <f t="shared" si="136"/>
        <v>692425</v>
      </c>
      <c r="W319" s="951">
        <v>127801</v>
      </c>
      <c r="X319" s="68"/>
      <c r="Y319" s="68">
        <v>1625</v>
      </c>
      <c r="Z319" s="459">
        <v>0</v>
      </c>
      <c r="AA319" s="100">
        <v>2100</v>
      </c>
      <c r="AB319" s="100">
        <v>0</v>
      </c>
      <c r="AC319" s="100">
        <v>3475</v>
      </c>
      <c r="AD319" s="348">
        <v>0</v>
      </c>
      <c r="AE319" s="100">
        <v>0</v>
      </c>
      <c r="AF319" s="100">
        <v>6250</v>
      </c>
      <c r="AG319" s="100"/>
      <c r="AH319" s="100">
        <v>5575</v>
      </c>
      <c r="AI319" s="100">
        <v>0</v>
      </c>
      <c r="AJ319" s="100">
        <v>375</v>
      </c>
      <c r="AK319" s="100">
        <v>0</v>
      </c>
      <c r="AL319" s="100">
        <v>3750</v>
      </c>
      <c r="AM319" s="100">
        <v>3750</v>
      </c>
      <c r="AN319" s="100"/>
      <c r="AO319" s="100"/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42"/>
        <v>26900</v>
      </c>
      <c r="BD319" s="896">
        <f t="shared" si="143"/>
        <v>8</v>
      </c>
      <c r="BE319" s="896">
        <f t="shared" si="144"/>
        <v>3362.5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08" customFormat="1" ht="15" customHeight="1">
      <c r="A320" s="68">
        <v>5</v>
      </c>
      <c r="B320" s="716" t="s">
        <v>1968</v>
      </c>
      <c r="C320" s="716" t="s">
        <v>1550</v>
      </c>
      <c r="D320" s="715">
        <v>25</v>
      </c>
      <c r="E320" s="347">
        <v>0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>E320+F320+H320-I320-L320+G320-K320</f>
        <v>0</v>
      </c>
      <c r="N320" s="348">
        <f>M320*D320</f>
        <v>0</v>
      </c>
      <c r="O320" s="351">
        <f t="shared" si="137"/>
        <v>0</v>
      </c>
      <c r="P320" s="349"/>
      <c r="Q320" s="349"/>
      <c r="R320" s="350">
        <f>O320/INTGRATE!$N$293</f>
        <v>0</v>
      </c>
      <c r="S320" s="349">
        <f t="shared" si="138"/>
        <v>0</v>
      </c>
      <c r="T320" s="470"/>
      <c r="U320" s="139"/>
      <c r="V320" s="956" t="str">
        <f>B320&amp;D320</f>
        <v>6924P25</v>
      </c>
      <c r="W320" s="951">
        <v>127808</v>
      </c>
      <c r="X320" s="68"/>
      <c r="Y320" s="68">
        <v>0</v>
      </c>
      <c r="Z320" s="459">
        <v>0</v>
      </c>
      <c r="AA320" s="100">
        <v>0</v>
      </c>
      <c r="AB320" s="100">
        <v>0</v>
      </c>
      <c r="AC320" s="100">
        <v>0</v>
      </c>
      <c r="AD320" s="348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>
        <v>0</v>
      </c>
      <c r="AK320" s="100">
        <v>0</v>
      </c>
      <c r="AL320" s="100">
        <v>0</v>
      </c>
      <c r="AM320" s="100">
        <v>0</v>
      </c>
      <c r="AN320" s="100"/>
      <c r="AO320" s="100"/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42"/>
        <v>0</v>
      </c>
      <c r="BD320" s="896">
        <f t="shared" si="143"/>
        <v>0</v>
      </c>
      <c r="BE320" s="896">
        <f t="shared" si="144"/>
        <v>0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6</v>
      </c>
      <c r="B321" s="375">
        <v>6948</v>
      </c>
      <c r="C321" s="414" t="s">
        <v>40</v>
      </c>
      <c r="D321" s="377">
        <v>25</v>
      </c>
      <c r="E321" s="347">
        <v>0</v>
      </c>
      <c r="F321" s="100">
        <f>SUMIF(pro!$A:$A,$V:$V,pro!$N:$N)</f>
        <v>0</v>
      </c>
      <c r="G321" s="348"/>
      <c r="H321" s="356">
        <f>SUMIF(CBIN!$A:$A,BRAN!$V:$V,CBIN!$G:$G)</f>
        <v>0</v>
      </c>
      <c r="I321" s="419">
        <f>SUMIF(data!$D:$D,$B321&amp;$D321,data!$J:$J)</f>
        <v>0</v>
      </c>
      <c r="J321" s="348">
        <f>SUMIF(data!$D:$D,$B321&amp;$D321,data!$K:$K)</f>
        <v>0</v>
      </c>
      <c r="K321" s="356">
        <f>SUMIF(AJOUT!$A:$A,BRAN!$V:$V,AJOUT!$L:$L)</f>
        <v>0</v>
      </c>
      <c r="L321" s="356">
        <f>SUMIF(CBOUT!$A:$A,BRAN!$V:$V,CBOUT!$G:$G)</f>
        <v>0</v>
      </c>
      <c r="M321" s="550">
        <f>E321+F321+H321-I321-L321+G321-K321</f>
        <v>0</v>
      </c>
      <c r="N321" s="348">
        <f>M321*D321</f>
        <v>0</v>
      </c>
      <c r="O321" s="351">
        <f t="shared" si="137"/>
        <v>0</v>
      </c>
      <c r="P321" s="349">
        <f>+N321</f>
        <v>0</v>
      </c>
      <c r="Q321" s="349">
        <f>+O321</f>
        <v>0</v>
      </c>
      <c r="R321" s="350">
        <f>O321/INTGRATE!$N$293</f>
        <v>0</v>
      </c>
      <c r="S321" s="349">
        <f t="shared" si="138"/>
        <v>0</v>
      </c>
      <c r="T321" s="470"/>
      <c r="U321" s="139"/>
      <c r="V321" s="956" t="str">
        <f t="shared" si="136"/>
        <v>694825</v>
      </c>
      <c r="W321" s="943">
        <v>201101</v>
      </c>
      <c r="X321" s="68"/>
      <c r="Y321" s="68">
        <v>0</v>
      </c>
      <c r="Z321" s="459">
        <v>0</v>
      </c>
      <c r="AA321" s="100">
        <v>0</v>
      </c>
      <c r="AB321" s="100">
        <v>0</v>
      </c>
      <c r="AC321" s="100">
        <v>0</v>
      </c>
      <c r="AD321" s="348">
        <v>0</v>
      </c>
      <c r="AE321" s="100">
        <v>0</v>
      </c>
      <c r="AF321" s="100">
        <v>0</v>
      </c>
      <c r="AG321" s="100"/>
      <c r="AH321" s="100">
        <v>0</v>
      </c>
      <c r="AI321" s="100">
        <v>0</v>
      </c>
      <c r="AJ321" s="100">
        <v>0</v>
      </c>
      <c r="AK321" s="100">
        <v>0</v>
      </c>
      <c r="AL321" s="100">
        <v>0</v>
      </c>
      <c r="AM321" s="100">
        <v>0</v>
      </c>
      <c r="AN321" s="100"/>
      <c r="AO321" s="100"/>
      <c r="AP321" s="100"/>
      <c r="AQ321" s="348"/>
      <c r="AR321" s="100"/>
      <c r="AS321" s="100"/>
      <c r="AT321" s="100"/>
      <c r="AU321" s="100"/>
      <c r="AV321" s="100"/>
      <c r="AW321" s="100"/>
      <c r="AX321" s="348"/>
      <c r="AY321" s="100"/>
      <c r="AZ321" s="100"/>
      <c r="BA321" s="100"/>
      <c r="BB321" s="100"/>
      <c r="BC321" s="299">
        <f t="shared" si="142"/>
        <v>0</v>
      </c>
      <c r="BD321" s="896">
        <f t="shared" si="143"/>
        <v>0</v>
      </c>
      <c r="BE321" s="896">
        <f t="shared" si="144"/>
        <v>0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7</v>
      </c>
      <c r="B322" s="375">
        <v>6949</v>
      </c>
      <c r="C322" s="375" t="s">
        <v>61</v>
      </c>
      <c r="D322" s="377">
        <v>25</v>
      </c>
      <c r="E322" s="347">
        <v>392</v>
      </c>
      <c r="F322" s="100">
        <f>SUMIF(pro!$A:$A,$V:$V,pro!$N:$N)</f>
        <v>0</v>
      </c>
      <c r="G322" s="348"/>
      <c r="H322" s="356">
        <f>SUMIF(CBIN!$A:$A,BRAN!$V:$V,CBIN!$G:$G)</f>
        <v>0</v>
      </c>
      <c r="I322" s="419">
        <f>SUMIF(data!$D:$D,$B322&amp;$D322,data!$J:$J)</f>
        <v>5</v>
      </c>
      <c r="J322" s="348">
        <f>SUMIF(data!$D:$D,$B322&amp;$D322,data!$K:$K)</f>
        <v>125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ref="M322:M331" si="145">E322+F322+H322-I322-L322+G322-K322</f>
        <v>387</v>
      </c>
      <c r="N322" s="348">
        <f t="shared" ref="N322:N331" si="146">M322*D322</f>
        <v>9675</v>
      </c>
      <c r="O322" s="351">
        <f t="shared" ref="O322:O331" si="147">SUM(X322:BB322)</f>
        <v>20050</v>
      </c>
      <c r="P322" s="349">
        <f>SUM(N316:N332)-P321-P325-P326-P327</f>
        <v>24175</v>
      </c>
      <c r="Q322" s="349">
        <f>SUM(O316:O332)-Q321-Q325-Q326-Q327</f>
        <v>103625</v>
      </c>
      <c r="R322" s="350">
        <f>O322/INTGRATE!$N$293</f>
        <v>1336.6666666666667</v>
      </c>
      <c r="S322" s="349">
        <f t="shared" ref="S322:S331" si="148">IF(R322=0,0,N322/R322)</f>
        <v>7.2381546134663335</v>
      </c>
      <c r="T322" s="470"/>
      <c r="U322" s="139"/>
      <c r="V322" s="956" t="str">
        <f t="shared" ref="V322:V331" si="149">B322&amp;D322</f>
        <v>694925</v>
      </c>
      <c r="W322" s="943">
        <v>203701</v>
      </c>
      <c r="X322" s="68"/>
      <c r="Y322" s="68">
        <v>1250</v>
      </c>
      <c r="Z322" s="459">
        <v>0</v>
      </c>
      <c r="AA322" s="100">
        <v>2925</v>
      </c>
      <c r="AB322" s="100">
        <v>7125</v>
      </c>
      <c r="AC322" s="100">
        <v>0</v>
      </c>
      <c r="AD322" s="379">
        <v>0</v>
      </c>
      <c r="AE322" s="100">
        <v>0</v>
      </c>
      <c r="AF322" s="100">
        <v>125</v>
      </c>
      <c r="AG322" s="100"/>
      <c r="AH322" s="100">
        <v>0</v>
      </c>
      <c r="AI322" s="100">
        <v>6500</v>
      </c>
      <c r="AJ322" s="100">
        <v>2000</v>
      </c>
      <c r="AK322" s="100">
        <v>0</v>
      </c>
      <c r="AL322" s="100">
        <v>0</v>
      </c>
      <c r="AM322" s="100">
        <v>125</v>
      </c>
      <c r="AN322" s="100"/>
      <c r="AO322" s="100"/>
      <c r="AP322" s="100"/>
      <c r="AQ322" s="348"/>
      <c r="AR322" s="100"/>
      <c r="AS322" s="100"/>
      <c r="AT322" s="100"/>
      <c r="AU322" s="100"/>
      <c r="AV322" s="100"/>
      <c r="AW322" s="100"/>
      <c r="AX322" s="348"/>
      <c r="AY322" s="100"/>
      <c r="AZ322" s="100"/>
      <c r="BA322" s="100"/>
      <c r="BB322" s="100"/>
      <c r="BC322" s="299">
        <f t="shared" si="142"/>
        <v>20050</v>
      </c>
      <c r="BD322" s="896">
        <f t="shared" si="143"/>
        <v>7</v>
      </c>
      <c r="BE322" s="896">
        <f t="shared" si="144"/>
        <v>2864.2857142857142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8</v>
      </c>
      <c r="B323" s="166">
        <v>6951</v>
      </c>
      <c r="C323" s="879" t="s">
        <v>1314</v>
      </c>
      <c r="D323" s="188">
        <v>25</v>
      </c>
      <c r="E323" s="347">
        <v>505</v>
      </c>
      <c r="F323" s="100">
        <f>SUMIF(pro!$A:$A,$V:$V,pro!$N:$N)</f>
        <v>0</v>
      </c>
      <c r="G323" s="348"/>
      <c r="H323" s="356"/>
      <c r="I323" s="419">
        <f>SUMIF(data!$D:$D,$B323&amp;$D323,data!$J:$J)</f>
        <v>154</v>
      </c>
      <c r="J323" s="348">
        <f>SUMIF(data!$D:$D,$B323&amp;$D323,data!$K:$K)</f>
        <v>3850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si="145"/>
        <v>351</v>
      </c>
      <c r="N323" s="348">
        <f t="shared" ref="N323" si="150">M323*D323</f>
        <v>8775</v>
      </c>
      <c r="O323" s="351">
        <f t="shared" ref="O323" si="151">SUM(X323:BB323)</f>
        <v>43375</v>
      </c>
      <c r="P323" s="349"/>
      <c r="Q323" s="349"/>
      <c r="R323" s="350">
        <f>O323/INTGRATE!$N$293</f>
        <v>2891.6666666666665</v>
      </c>
      <c r="S323" s="349">
        <f t="shared" ref="S323:S325" si="152">IF(R323=0,0,N323/R323)</f>
        <v>3.0345821325648417</v>
      </c>
      <c r="T323" s="470"/>
      <c r="U323" s="139"/>
      <c r="V323" s="956" t="str">
        <f t="shared" si="149"/>
        <v>695125</v>
      </c>
      <c r="W323" s="943">
        <v>314081</v>
      </c>
      <c r="X323" s="68"/>
      <c r="Y323" s="68">
        <v>250</v>
      </c>
      <c r="Z323" s="459">
        <v>1025</v>
      </c>
      <c r="AA323" s="100">
        <v>1500</v>
      </c>
      <c r="AB323" s="100">
        <v>1175</v>
      </c>
      <c r="AC323" s="100">
        <v>3350</v>
      </c>
      <c r="AD323" s="379">
        <v>1875</v>
      </c>
      <c r="AE323" s="100">
        <v>250</v>
      </c>
      <c r="AF323" s="100">
        <v>2750</v>
      </c>
      <c r="AG323" s="100"/>
      <c r="AH323" s="100">
        <v>14975</v>
      </c>
      <c r="AI323" s="100">
        <v>4375</v>
      </c>
      <c r="AJ323" s="100">
        <v>2375</v>
      </c>
      <c r="AK323" s="100">
        <v>3250</v>
      </c>
      <c r="AL323" s="100">
        <v>2375</v>
      </c>
      <c r="AM323" s="100">
        <v>3850</v>
      </c>
      <c r="AN323" s="100"/>
      <c r="AO323" s="100"/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42"/>
        <v>43375</v>
      </c>
      <c r="BD323" s="896">
        <f t="shared" si="143"/>
        <v>14</v>
      </c>
      <c r="BE323" s="896">
        <f t="shared" si="144"/>
        <v>3098.2142857142858</v>
      </c>
      <c r="BF323" s="58"/>
      <c r="BG323" s="58"/>
      <c r="BH323" s="507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s="116" customFormat="1" ht="15" customHeight="1">
      <c r="A324" s="68">
        <v>9</v>
      </c>
      <c r="B324" s="166" t="s">
        <v>2616</v>
      </c>
      <c r="C324" s="879" t="s">
        <v>1314</v>
      </c>
      <c r="D324" s="188">
        <v>25</v>
      </c>
      <c r="E324" s="347">
        <v>44</v>
      </c>
      <c r="F324" s="100">
        <f>SUMIF(pro!$A:$A,$V:$V,pro!$N:$N)</f>
        <v>0</v>
      </c>
      <c r="G324" s="348"/>
      <c r="H324" s="356"/>
      <c r="I324" s="419">
        <f>SUMIF(data!$D:$D,$B324&amp;$D324,data!$J:$J)</f>
        <v>0</v>
      </c>
      <c r="J324" s="348">
        <f>SUMIF(data!$D:$D,$B324&amp;$D324,data!$K:$K)</f>
        <v>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ref="M324" si="153">E324+F324+H324-I324-L324+G324-K324</f>
        <v>44</v>
      </c>
      <c r="N324" s="348">
        <f t="shared" ref="N324" si="154">M324*D324</f>
        <v>1100</v>
      </c>
      <c r="O324" s="351">
        <f t="shared" ref="O324" si="155">SUM(X324:BB324)</f>
        <v>14525</v>
      </c>
      <c r="P324" s="349"/>
      <c r="Q324" s="349"/>
      <c r="R324" s="350">
        <f>O324/INTGRATE!$N$293</f>
        <v>968.33333333333337</v>
      </c>
      <c r="S324" s="349">
        <f t="shared" ref="S324" si="156">IF(R324=0,0,N324/R324)</f>
        <v>1.1359724612736661</v>
      </c>
      <c r="T324" s="470"/>
      <c r="U324" s="139"/>
      <c r="V324" s="956" t="str">
        <f t="shared" si="149"/>
        <v>6951X25</v>
      </c>
      <c r="W324" s="943">
        <v>31408887</v>
      </c>
      <c r="X324" s="68"/>
      <c r="Y324" s="68">
        <v>0</v>
      </c>
      <c r="Z324" s="459">
        <v>0</v>
      </c>
      <c r="AA324" s="100">
        <v>0</v>
      </c>
      <c r="AB324" s="100">
        <v>0</v>
      </c>
      <c r="AC324" s="100">
        <v>0</v>
      </c>
      <c r="AD324" s="379">
        <v>0</v>
      </c>
      <c r="AE324" s="100">
        <v>0</v>
      </c>
      <c r="AF324" s="100">
        <v>0</v>
      </c>
      <c r="AG324" s="100"/>
      <c r="AH324" s="100">
        <v>275</v>
      </c>
      <c r="AI324" s="100">
        <v>14250</v>
      </c>
      <c r="AJ324" s="100">
        <v>0</v>
      </c>
      <c r="AK324" s="100">
        <v>0</v>
      </c>
      <c r="AL324" s="100">
        <v>0</v>
      </c>
      <c r="AM324" s="100">
        <v>0</v>
      </c>
      <c r="AN324" s="100"/>
      <c r="AO324" s="100"/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42"/>
        <v>14525</v>
      </c>
      <c r="BD324" s="896">
        <f t="shared" si="143"/>
        <v>2</v>
      </c>
      <c r="BE324" s="896">
        <f t="shared" si="144"/>
        <v>7262.5</v>
      </c>
      <c r="BF324" s="58"/>
      <c r="BG324" s="58"/>
      <c r="BH324" s="507"/>
      <c r="BI324" s="58"/>
      <c r="BJ324" s="58"/>
      <c r="BK324" s="58"/>
      <c r="BL324" s="58"/>
      <c r="BM324" s="58"/>
      <c r="BN324" s="58"/>
      <c r="BO324" s="58"/>
      <c r="BP324" s="58"/>
      <c r="BQ324" s="58"/>
      <c r="BR324" s="58"/>
      <c r="BS324" s="58"/>
      <c r="BT324" s="58"/>
      <c r="BU324" s="58"/>
      <c r="BV324" s="58"/>
      <c r="BW324" s="58"/>
      <c r="BX324" s="58"/>
      <c r="BY324" s="58"/>
      <c r="BZ324" s="58"/>
      <c r="CA324" s="58"/>
      <c r="CB324" s="58"/>
      <c r="CC324" s="58"/>
      <c r="CD324" s="58"/>
      <c r="CE324" s="58"/>
      <c r="CF324" s="58"/>
      <c r="CG324" s="58"/>
      <c r="CH324" s="58"/>
      <c r="CI324" s="58"/>
      <c r="CJ324" s="58"/>
      <c r="CK324" s="58"/>
      <c r="CL324" s="58"/>
      <c r="CM324" s="58"/>
      <c r="CN324" s="58"/>
      <c r="CO324" s="58"/>
      <c r="CP324" s="58"/>
      <c r="CQ324" s="58"/>
      <c r="CR324" s="58"/>
      <c r="CS324" s="58"/>
      <c r="CT324" s="58"/>
      <c r="CU324" s="58"/>
      <c r="CV324" s="58"/>
      <c r="CW324" s="58"/>
      <c r="CX324" s="58"/>
      <c r="CY324" s="58"/>
      <c r="CZ324" s="58"/>
      <c r="DA324" s="58"/>
      <c r="DB324" s="58"/>
      <c r="DC324" s="58"/>
      <c r="DD324" s="58"/>
      <c r="DE324" s="58"/>
      <c r="DF324" s="58"/>
      <c r="DG324" s="58"/>
      <c r="DH324" s="58"/>
      <c r="DI324" s="58"/>
      <c r="DJ324" s="58"/>
      <c r="DK324" s="58"/>
      <c r="DL324" s="58"/>
      <c r="DM324" s="58"/>
      <c r="DN324" s="58"/>
      <c r="DO324" s="58"/>
      <c r="DP324" s="58"/>
      <c r="DQ324" s="58"/>
      <c r="DR324" s="58"/>
      <c r="DS324" s="58"/>
      <c r="DT324" s="58"/>
      <c r="DU324" s="58"/>
      <c r="DV324" s="58"/>
      <c r="DW324" s="58"/>
      <c r="DX324" s="58"/>
      <c r="DY324" s="58"/>
      <c r="DZ324" s="58"/>
      <c r="EA324" s="58"/>
      <c r="EB324" s="58"/>
      <c r="EC324" s="58"/>
      <c r="ED324" s="58"/>
      <c r="EE324" s="58"/>
      <c r="EF324" s="58"/>
      <c r="EG324" s="58"/>
      <c r="EH324" s="58"/>
      <c r="EI324" s="58"/>
      <c r="EJ324" s="58"/>
      <c r="EK324" s="58"/>
      <c r="EL324" s="58"/>
      <c r="EM324" s="58"/>
      <c r="EN324" s="58"/>
      <c r="EO324" s="58"/>
      <c r="EP324" s="58"/>
      <c r="EQ324" s="58"/>
      <c r="ER324" s="58"/>
      <c r="ES324" s="58"/>
      <c r="ET324" s="58"/>
      <c r="EU324" s="58"/>
    </row>
    <row r="325" spans="1:151" ht="15" customHeight="1">
      <c r="A325" s="68">
        <v>10</v>
      </c>
      <c r="B325" s="77">
        <v>6952</v>
      </c>
      <c r="C325" s="77" t="s">
        <v>61</v>
      </c>
      <c r="D325" s="67">
        <v>25</v>
      </c>
      <c r="E325" s="347">
        <v>205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204</v>
      </c>
      <c r="J325" s="348">
        <f>SUMIF(data!$D:$D,$B325&amp;$D325,data!$K:$K)</f>
        <v>5100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45"/>
        <v>1</v>
      </c>
      <c r="N325" s="348">
        <f t="shared" si="146"/>
        <v>25</v>
      </c>
      <c r="O325" s="351">
        <f t="shared" si="147"/>
        <v>26100</v>
      </c>
      <c r="P325" s="349">
        <f>N318+N323+N324</f>
        <v>9875</v>
      </c>
      <c r="Q325" s="349">
        <f>O318+O323+O324</f>
        <v>57900</v>
      </c>
      <c r="R325" s="350">
        <f>O325/INTGRATE!$N$293</f>
        <v>1740</v>
      </c>
      <c r="S325" s="349">
        <f t="shared" si="152"/>
        <v>1.4367816091954023E-2</v>
      </c>
      <c r="T325" s="470"/>
      <c r="U325" s="139"/>
      <c r="V325" s="956" t="str">
        <f t="shared" si="149"/>
        <v>695225</v>
      </c>
      <c r="W325" s="943">
        <v>320041</v>
      </c>
      <c r="X325" s="68"/>
      <c r="Y325" s="68">
        <v>1750</v>
      </c>
      <c r="Z325" s="459">
        <v>875</v>
      </c>
      <c r="AA325" s="100">
        <v>2250</v>
      </c>
      <c r="AB325" s="100">
        <v>875</v>
      </c>
      <c r="AC325" s="100">
        <v>4000</v>
      </c>
      <c r="AD325" s="379">
        <v>1000</v>
      </c>
      <c r="AE325" s="100">
        <v>1000</v>
      </c>
      <c r="AF325" s="100">
        <v>500</v>
      </c>
      <c r="AG325" s="100"/>
      <c r="AH325" s="100">
        <v>3000</v>
      </c>
      <c r="AI325" s="100">
        <v>4000</v>
      </c>
      <c r="AJ325" s="100">
        <v>1500</v>
      </c>
      <c r="AK325" s="100">
        <v>250</v>
      </c>
      <c r="AL325" s="100">
        <v>0</v>
      </c>
      <c r="AM325" s="100">
        <v>5100</v>
      </c>
      <c r="AN325" s="100"/>
      <c r="AO325" s="100"/>
      <c r="AP325" s="100"/>
      <c r="AQ325" s="379"/>
      <c r="AR325" s="100"/>
      <c r="AS325" s="100"/>
      <c r="AT325" s="100"/>
      <c r="AU325" s="100"/>
      <c r="AV325" s="100"/>
      <c r="AW325" s="100"/>
      <c r="AX325" s="379"/>
      <c r="AY325" s="100"/>
      <c r="AZ325" s="100"/>
      <c r="BA325" s="100"/>
      <c r="BB325" s="100"/>
      <c r="BC325" s="299">
        <f t="shared" si="142"/>
        <v>26100</v>
      </c>
      <c r="BD325" s="896">
        <f t="shared" si="143"/>
        <v>13</v>
      </c>
      <c r="BE325" s="896">
        <f t="shared" si="144"/>
        <v>2007.6923076923076</v>
      </c>
    </row>
    <row r="326" spans="1:151" ht="15" customHeight="1">
      <c r="A326" s="68">
        <v>11</v>
      </c>
      <c r="B326" s="77">
        <v>6953</v>
      </c>
      <c r="C326" s="77" t="s">
        <v>61</v>
      </c>
      <c r="D326" s="67">
        <v>25</v>
      </c>
      <c r="E326" s="347">
        <v>405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28</v>
      </c>
      <c r="J326" s="348">
        <f>SUMIF(data!$D:$D,$B326&amp;$D326,data!$K:$K)</f>
        <v>700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45"/>
        <v>377</v>
      </c>
      <c r="N326" s="348">
        <f t="shared" si="146"/>
        <v>9425</v>
      </c>
      <c r="O326" s="351">
        <f t="shared" si="147"/>
        <v>25075</v>
      </c>
      <c r="P326" s="349">
        <f>+N329+N328</f>
        <v>19250</v>
      </c>
      <c r="Q326" s="349">
        <f>+O329+O328</f>
        <v>37175</v>
      </c>
      <c r="R326" s="350">
        <f>O326/INTGRATE!$N$293</f>
        <v>1671.6666666666667</v>
      </c>
      <c r="S326" s="349">
        <f t="shared" si="148"/>
        <v>5.6380857427716844</v>
      </c>
      <c r="T326" s="470"/>
      <c r="U326" s="139"/>
      <c r="V326" s="956" t="str">
        <f t="shared" si="149"/>
        <v>695325</v>
      </c>
      <c r="W326" s="943">
        <v>332401</v>
      </c>
      <c r="X326" s="68"/>
      <c r="Y326" s="68">
        <v>1000</v>
      </c>
      <c r="Z326" s="459">
        <v>500</v>
      </c>
      <c r="AA326" s="100">
        <v>375</v>
      </c>
      <c r="AB326" s="100">
        <v>200</v>
      </c>
      <c r="AC326" s="100">
        <v>1000</v>
      </c>
      <c r="AD326" s="379">
        <v>4600</v>
      </c>
      <c r="AE326" s="100">
        <v>1000</v>
      </c>
      <c r="AF326" s="100">
        <v>0</v>
      </c>
      <c r="AG326" s="100"/>
      <c r="AH326" s="100">
        <v>1000</v>
      </c>
      <c r="AI326" s="100">
        <v>2125</v>
      </c>
      <c r="AJ326" s="100">
        <v>8825</v>
      </c>
      <c r="AK326" s="100">
        <v>0</v>
      </c>
      <c r="AL326" s="100">
        <v>3750</v>
      </c>
      <c r="AM326" s="100">
        <v>700</v>
      </c>
      <c r="AN326" s="100"/>
      <c r="AO326" s="100"/>
      <c r="AP326" s="100"/>
      <c r="AQ326" s="379"/>
      <c r="AR326" s="100"/>
      <c r="AS326" s="100"/>
      <c r="AT326" s="100"/>
      <c r="AU326" s="100"/>
      <c r="AV326" s="100"/>
      <c r="AW326" s="100"/>
      <c r="AX326" s="379"/>
      <c r="AY326" s="100"/>
      <c r="AZ326" s="100"/>
      <c r="BA326" s="100"/>
      <c r="BB326" s="100"/>
      <c r="BC326" s="299">
        <f t="shared" si="142"/>
        <v>25075</v>
      </c>
      <c r="BD326" s="896">
        <f t="shared" si="143"/>
        <v>12</v>
      </c>
      <c r="BE326" s="896">
        <f t="shared" si="144"/>
        <v>2089.5833333333335</v>
      </c>
    </row>
    <row r="327" spans="1:151" ht="15" customHeight="1">
      <c r="A327" s="68">
        <v>12</v>
      </c>
      <c r="B327" s="77">
        <v>6954</v>
      </c>
      <c r="C327" s="77" t="s">
        <v>61</v>
      </c>
      <c r="D327" s="67">
        <v>25</v>
      </c>
      <c r="E327" s="347">
        <v>0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0</v>
      </c>
      <c r="J327" s="348">
        <f>SUMIF(data!$D:$D,$B327&amp;$D327,data!$K:$K)</f>
        <v>0</v>
      </c>
      <c r="K327" s="356">
        <f>SUMIF(AJOUT!$A:$A,BRAN!$V:$V,AJOUT!$L:$L)</f>
        <v>0</v>
      </c>
      <c r="L327" s="356">
        <f>SUMIF(CBOUT!$A:$A,BRAN!$V:$V,CBOUT!$G:$G)</f>
        <v>0</v>
      </c>
      <c r="M327" s="550">
        <f t="shared" si="145"/>
        <v>0</v>
      </c>
      <c r="N327" s="348">
        <f t="shared" si="146"/>
        <v>0</v>
      </c>
      <c r="O327" s="351">
        <f t="shared" si="147"/>
        <v>0</v>
      </c>
      <c r="P327" s="349">
        <f>+N319+N320</f>
        <v>3025</v>
      </c>
      <c r="Q327" s="349">
        <f>+O319+O320</f>
        <v>26900</v>
      </c>
      <c r="R327" s="350">
        <f>O327/INTGRATE!$N$293</f>
        <v>0</v>
      </c>
      <c r="S327" s="349">
        <f t="shared" si="148"/>
        <v>0</v>
      </c>
      <c r="T327" s="470"/>
      <c r="U327" s="139"/>
      <c r="V327" s="956" t="str">
        <f t="shared" si="149"/>
        <v>695425</v>
      </c>
      <c r="W327" s="943">
        <v>332341</v>
      </c>
      <c r="X327" s="68"/>
      <c r="Y327" s="68">
        <v>0</v>
      </c>
      <c r="Z327" s="459">
        <v>0</v>
      </c>
      <c r="AA327" s="100">
        <v>0</v>
      </c>
      <c r="AB327" s="100">
        <v>0</v>
      </c>
      <c r="AC327" s="100">
        <v>0</v>
      </c>
      <c r="AD327" s="348">
        <v>0</v>
      </c>
      <c r="AE327" s="100">
        <v>0</v>
      </c>
      <c r="AF327" s="100">
        <v>0</v>
      </c>
      <c r="AG327" s="100"/>
      <c r="AH327" s="100">
        <v>0</v>
      </c>
      <c r="AI327" s="100">
        <v>0</v>
      </c>
      <c r="AJ327" s="100">
        <v>0</v>
      </c>
      <c r="AK327" s="100">
        <v>0</v>
      </c>
      <c r="AL327" s="100">
        <v>0</v>
      </c>
      <c r="AM327" s="100">
        <v>0</v>
      </c>
      <c r="AN327" s="100"/>
      <c r="AO327" s="100"/>
      <c r="AP327" s="100"/>
      <c r="AQ327" s="348"/>
      <c r="AR327" s="100"/>
      <c r="AS327" s="100"/>
      <c r="AT327" s="100"/>
      <c r="AU327" s="100"/>
      <c r="AV327" s="100"/>
      <c r="AW327" s="100"/>
      <c r="AX327" s="348"/>
      <c r="AY327" s="100"/>
      <c r="AZ327" s="100"/>
      <c r="BA327" s="100"/>
      <c r="BB327" s="100"/>
      <c r="BC327" s="299">
        <f t="shared" si="142"/>
        <v>0</v>
      </c>
      <c r="BD327" s="896">
        <f t="shared" si="143"/>
        <v>0</v>
      </c>
      <c r="BE327" s="896">
        <f t="shared" si="144"/>
        <v>0</v>
      </c>
    </row>
    <row r="328" spans="1:151" ht="15" customHeight="1">
      <c r="A328" s="68">
        <v>13</v>
      </c>
      <c r="B328" s="183">
        <v>6895</v>
      </c>
      <c r="C328" s="479" t="s">
        <v>39</v>
      </c>
      <c r="D328" s="183">
        <v>25</v>
      </c>
      <c r="E328" s="347">
        <v>925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435</v>
      </c>
      <c r="J328" s="348">
        <f>SUMIF(data!$D:$D,$B328&amp;$D328,data!$K:$K)</f>
        <v>10875</v>
      </c>
      <c r="K328" s="356">
        <f>SUMIF(AJOUT!$A:$A,BRAN!$V:$V,AJOUT!$L:$L)</f>
        <v>0</v>
      </c>
      <c r="L328" s="356">
        <f>SUMIF(CBOUT!$A:$A,BRAN!$V:$V,CBOUT!$G:$G)</f>
        <v>0</v>
      </c>
      <c r="M328" s="550">
        <f t="shared" si="145"/>
        <v>490</v>
      </c>
      <c r="N328" s="348">
        <f t="shared" si="146"/>
        <v>12250</v>
      </c>
      <c r="O328" s="351">
        <f t="shared" si="147"/>
        <v>30800</v>
      </c>
      <c r="P328" s="349"/>
      <c r="Q328" s="349"/>
      <c r="R328" s="350">
        <f>O328/INTGRATE!$N$293</f>
        <v>2053.3333333333335</v>
      </c>
      <c r="S328" s="349">
        <f t="shared" si="148"/>
        <v>5.9659090909090908</v>
      </c>
      <c r="T328" s="470"/>
      <c r="U328" s="139"/>
      <c r="V328" s="956" t="str">
        <f t="shared" si="149"/>
        <v>689525</v>
      </c>
      <c r="W328" s="943">
        <v>423700</v>
      </c>
      <c r="X328" s="68"/>
      <c r="Y328" s="68">
        <v>675</v>
      </c>
      <c r="Z328" s="459">
        <v>500</v>
      </c>
      <c r="AA328" s="100">
        <v>6750</v>
      </c>
      <c r="AB328" s="100">
        <v>0</v>
      </c>
      <c r="AC328" s="100">
        <v>250</v>
      </c>
      <c r="AD328" s="348">
        <v>750</v>
      </c>
      <c r="AE328" s="100">
        <v>0</v>
      </c>
      <c r="AF328" s="100">
        <v>1750</v>
      </c>
      <c r="AG328" s="100"/>
      <c r="AH328" s="100">
        <v>1625</v>
      </c>
      <c r="AI328" s="100">
        <v>375</v>
      </c>
      <c r="AJ328" s="100">
        <v>0</v>
      </c>
      <c r="AK328" s="100">
        <v>1000</v>
      </c>
      <c r="AL328" s="100">
        <v>6250</v>
      </c>
      <c r="AM328" s="100">
        <v>10875</v>
      </c>
      <c r="AN328" s="100"/>
      <c r="AO328" s="100"/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42"/>
        <v>30800</v>
      </c>
      <c r="BD328" s="896">
        <f t="shared" si="143"/>
        <v>11</v>
      </c>
      <c r="BE328" s="896">
        <f t="shared" si="144"/>
        <v>2800</v>
      </c>
    </row>
    <row r="329" spans="1:151" ht="15" customHeight="1">
      <c r="A329" s="68">
        <v>14</v>
      </c>
      <c r="B329" s="183">
        <v>6884</v>
      </c>
      <c r="C329" s="479" t="s">
        <v>39</v>
      </c>
      <c r="D329" s="183">
        <v>25</v>
      </c>
      <c r="E329" s="347">
        <v>280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>E329+F329+H329-I329-L329+G329-K329</f>
        <v>280</v>
      </c>
      <c r="N329" s="348">
        <f>M329*D329</f>
        <v>7000</v>
      </c>
      <c r="O329" s="351">
        <f>SUM(X329:BB329)</f>
        <v>6375</v>
      </c>
      <c r="P329" s="349"/>
      <c r="Q329" s="349"/>
      <c r="R329" s="350">
        <f>O329/INTGRATE!$N$293</f>
        <v>425</v>
      </c>
      <c r="S329" s="349">
        <f>IF(R329=0,0,N329/R329)</f>
        <v>16.470588235294116</v>
      </c>
      <c r="T329" s="470"/>
      <c r="U329" s="139"/>
      <c r="V329" s="956" t="str">
        <f t="shared" si="149"/>
        <v>688425</v>
      </c>
      <c r="W329" s="943">
        <v>433700</v>
      </c>
      <c r="X329" s="68"/>
      <c r="Y329" s="68">
        <v>0</v>
      </c>
      <c r="Z329" s="459">
        <v>0</v>
      </c>
      <c r="AA329" s="100">
        <v>0</v>
      </c>
      <c r="AB329" s="100">
        <v>0</v>
      </c>
      <c r="AC329" s="100">
        <v>250</v>
      </c>
      <c r="AD329" s="348">
        <v>500</v>
      </c>
      <c r="AE329" s="100">
        <v>0</v>
      </c>
      <c r="AF329" s="100">
        <v>125</v>
      </c>
      <c r="AG329" s="100"/>
      <c r="AH329" s="100">
        <v>0</v>
      </c>
      <c r="AI329" s="100">
        <v>500</v>
      </c>
      <c r="AJ329" s="100">
        <v>0</v>
      </c>
      <c r="AK329" s="100">
        <v>0</v>
      </c>
      <c r="AL329" s="100">
        <v>5000</v>
      </c>
      <c r="AM329" s="100">
        <v>0</v>
      </c>
      <c r="AN329" s="100"/>
      <c r="AO329" s="100"/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42"/>
        <v>6375</v>
      </c>
      <c r="BD329" s="896">
        <f t="shared" si="143"/>
        <v>5</v>
      </c>
      <c r="BE329" s="896">
        <f t="shared" si="144"/>
        <v>1275</v>
      </c>
    </row>
    <row r="330" spans="1:151" ht="15" customHeight="1">
      <c r="A330" s="68">
        <v>15</v>
      </c>
      <c r="B330" s="183">
        <v>6984</v>
      </c>
      <c r="C330" s="479" t="s">
        <v>61</v>
      </c>
      <c r="D330" s="183">
        <v>25</v>
      </c>
      <c r="E330" s="347">
        <v>0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0</v>
      </c>
      <c r="J330" s="348">
        <f>SUMIF(data!$D:$D,$B330&amp;$D330,data!$K:$K)</f>
        <v>0</v>
      </c>
      <c r="K330" s="356">
        <f>SUMIF(AJOUT!$A:$A,BRAN!$V:$V,AJOUT!$L:$L)</f>
        <v>0</v>
      </c>
      <c r="L330" s="356">
        <f>SUMIF(CBOUT!$A:$A,BRAN!$V:$V,CBOUT!$G:$G)</f>
        <v>0</v>
      </c>
      <c r="M330" s="550">
        <f>E330+F330+H330-I330-L330+G330-K330</f>
        <v>0</v>
      </c>
      <c r="N330" s="348">
        <f>M330*D330</f>
        <v>0</v>
      </c>
      <c r="O330" s="351">
        <f>SUM(X330:BB330)</f>
        <v>0</v>
      </c>
      <c r="P330" s="349"/>
      <c r="Q330" s="349"/>
      <c r="R330" s="350">
        <f>O330/INTGRATE!$N$293</f>
        <v>0</v>
      </c>
      <c r="S330" s="349">
        <f>IF(R330=0,0,N330/R330)</f>
        <v>0</v>
      </c>
      <c r="T330" s="470"/>
      <c r="U330" s="139"/>
      <c r="V330" s="956" t="str">
        <f t="shared" si="149"/>
        <v>698425</v>
      </c>
      <c r="W330" s="943">
        <v>433701</v>
      </c>
      <c r="X330" s="68"/>
      <c r="Y330" s="68">
        <v>0</v>
      </c>
      <c r="Z330" s="459">
        <v>0</v>
      </c>
      <c r="AA330" s="100">
        <v>0</v>
      </c>
      <c r="AB330" s="100">
        <v>0</v>
      </c>
      <c r="AC330" s="100">
        <v>0</v>
      </c>
      <c r="AD330" s="348">
        <v>0</v>
      </c>
      <c r="AE330" s="100">
        <v>0</v>
      </c>
      <c r="AF330" s="100">
        <v>0</v>
      </c>
      <c r="AG330" s="100"/>
      <c r="AH330" s="100">
        <v>0</v>
      </c>
      <c r="AI330" s="100">
        <v>0</v>
      </c>
      <c r="AJ330" s="100">
        <v>0</v>
      </c>
      <c r="AK330" s="100">
        <v>0</v>
      </c>
      <c r="AL330" s="100">
        <v>0</v>
      </c>
      <c r="AM330" s="100">
        <v>0</v>
      </c>
      <c r="AN330" s="100"/>
      <c r="AO330" s="100"/>
      <c r="AP330" s="100"/>
      <c r="AQ330" s="348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99">
        <f t="shared" si="142"/>
        <v>0</v>
      </c>
      <c r="BD330" s="896">
        <f t="shared" si="143"/>
        <v>0</v>
      </c>
      <c r="BE330" s="896">
        <f t="shared" si="144"/>
        <v>0</v>
      </c>
    </row>
    <row r="331" spans="1:151" ht="15" customHeight="1">
      <c r="A331" s="68">
        <v>16</v>
      </c>
      <c r="B331" s="183">
        <v>6995</v>
      </c>
      <c r="C331" s="479" t="s">
        <v>61</v>
      </c>
      <c r="D331" s="183">
        <v>25</v>
      </c>
      <c r="E331" s="347">
        <v>47</v>
      </c>
      <c r="F331" s="100">
        <f>SUMIF(pro!$A:$A,$V:$V,pro!$N:$N)</f>
        <v>0</v>
      </c>
      <c r="G331" s="348"/>
      <c r="H331" s="356">
        <f>SUMIF(CBIN!$A:$A,BRAN!$V:$V,CBIN!$G:$G)</f>
        <v>0</v>
      </c>
      <c r="I331" s="419">
        <f>SUMIF(data!$D:$D,$B331&amp;$D331,data!$J:$J)</f>
        <v>46</v>
      </c>
      <c r="J331" s="348">
        <f>SUMIF(data!$D:$D,$B331&amp;$D331,data!$K:$K)</f>
        <v>1150</v>
      </c>
      <c r="K331" s="356">
        <f>SUMIF(AJOUT!$A:$A,BRAN!$V:$V,AJOUT!$L:$L)</f>
        <v>0</v>
      </c>
      <c r="L331" s="356">
        <f>SUMIF(CBOUT!$A:$A,BRAN!$V:$V,CBOUT!$G:$G)</f>
        <v>0</v>
      </c>
      <c r="M331" s="550">
        <f t="shared" si="145"/>
        <v>1</v>
      </c>
      <c r="N331" s="348">
        <f t="shared" si="146"/>
        <v>25</v>
      </c>
      <c r="O331" s="351">
        <f t="shared" si="147"/>
        <v>25900</v>
      </c>
      <c r="P331" s="349"/>
      <c r="Q331" s="349"/>
      <c r="R331" s="350">
        <f>O331/INTGRATE!$N$293</f>
        <v>1726.6666666666667</v>
      </c>
      <c r="S331" s="349">
        <f t="shared" si="148"/>
        <v>1.4478764478764478E-2</v>
      </c>
      <c r="T331" s="470"/>
      <c r="U331" s="139"/>
      <c r="V331" s="956" t="str">
        <f t="shared" si="149"/>
        <v>699525</v>
      </c>
      <c r="W331" s="943">
        <v>423701</v>
      </c>
      <c r="X331" s="68"/>
      <c r="Y331" s="68">
        <v>1250</v>
      </c>
      <c r="Z331" s="459">
        <v>125</v>
      </c>
      <c r="AA331" s="100">
        <v>500</v>
      </c>
      <c r="AB331" s="100">
        <v>1750</v>
      </c>
      <c r="AC331" s="100">
        <v>1750</v>
      </c>
      <c r="AD331" s="348">
        <v>5500</v>
      </c>
      <c r="AE331" s="100">
        <v>250</v>
      </c>
      <c r="AF331" s="100">
        <v>1325</v>
      </c>
      <c r="AG331" s="100"/>
      <c r="AH331" s="100">
        <v>1950</v>
      </c>
      <c r="AI331" s="100">
        <v>3000</v>
      </c>
      <c r="AJ331" s="100">
        <v>1600</v>
      </c>
      <c r="AK331" s="100">
        <v>0</v>
      </c>
      <c r="AL331" s="100">
        <v>5750</v>
      </c>
      <c r="AM331" s="100">
        <v>1150</v>
      </c>
      <c r="AN331" s="100"/>
      <c r="AO331" s="100"/>
      <c r="AP331" s="100"/>
      <c r="AQ331" s="348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  <c r="BC331" s="299">
        <f t="shared" si="142"/>
        <v>25900</v>
      </c>
      <c r="BD331" s="896">
        <f t="shared" si="143"/>
        <v>13</v>
      </c>
      <c r="BE331" s="896">
        <f t="shared" si="144"/>
        <v>1992.3076923076924</v>
      </c>
    </row>
    <row r="332" spans="1:151" ht="15" customHeight="1">
      <c r="A332" s="68">
        <v>17</v>
      </c>
      <c r="B332" s="517">
        <v>6991</v>
      </c>
      <c r="C332" s="517" t="s">
        <v>61</v>
      </c>
      <c r="D332" s="518">
        <v>25</v>
      </c>
      <c r="E332" s="347">
        <v>241</v>
      </c>
      <c r="F332" s="100">
        <f>SUMIF(pro!$A:$A,$V:$V,pro!$N:$N)</f>
        <v>0</v>
      </c>
      <c r="G332" s="348"/>
      <c r="H332" s="356">
        <f>SUMIF(CBIN!$A:$A,BRAN!$V:$V,CBIN!$G:$G)</f>
        <v>0</v>
      </c>
      <c r="I332" s="419">
        <f>SUMIF(data!$D:$D,$B332&amp;$D332,data!$J:$J)</f>
        <v>40</v>
      </c>
      <c r="J332" s="348">
        <f>SUMIF(data!$D:$D,$B332&amp;$D332,data!$K:$K)</f>
        <v>1000</v>
      </c>
      <c r="K332" s="356">
        <f>SUMIF(AJOUT!$A:$A,BRAN!$V:$V,AJOUT!$L:$L)</f>
        <v>0</v>
      </c>
      <c r="L332" s="356">
        <f>SUMIF(CBOUT!$A:$A,BRAN!$V:$V,CBOUT!$G:$G)</f>
        <v>0</v>
      </c>
      <c r="M332" s="550">
        <f>E332+F332+H332-I332-L332+G332-K332</f>
        <v>201</v>
      </c>
      <c r="N332" s="348">
        <f>M332*D332</f>
        <v>5025</v>
      </c>
      <c r="O332" s="351">
        <f>SUM(X332:BB332)</f>
        <v>6500</v>
      </c>
      <c r="P332" s="349"/>
      <c r="Q332" s="349"/>
      <c r="R332" s="350">
        <f>O332/INTGRATE!$N$293</f>
        <v>433.33333333333331</v>
      </c>
      <c r="S332" s="349">
        <f>IF(R332=0,0,N332/R332)</f>
        <v>11.596153846153847</v>
      </c>
      <c r="T332" s="677"/>
      <c r="U332" s="699"/>
      <c r="V332" s="956" t="str">
        <f>B332&amp;D332</f>
        <v>699125</v>
      </c>
      <c r="W332" s="943">
        <v>513021</v>
      </c>
      <c r="X332" s="765"/>
      <c r="Y332" s="765">
        <v>1375</v>
      </c>
      <c r="Z332" s="766">
        <v>500</v>
      </c>
      <c r="AA332" s="161">
        <v>250</v>
      </c>
      <c r="AB332" s="161">
        <v>0</v>
      </c>
      <c r="AC332" s="161">
        <v>625</v>
      </c>
      <c r="AD332" s="379">
        <v>0</v>
      </c>
      <c r="AE332" s="161">
        <v>500</v>
      </c>
      <c r="AF332" s="161">
        <v>125</v>
      </c>
      <c r="AG332" s="161"/>
      <c r="AH332" s="161">
        <v>250</v>
      </c>
      <c r="AI332" s="161">
        <v>875</v>
      </c>
      <c r="AJ332" s="161">
        <v>1000</v>
      </c>
      <c r="AK332" s="161">
        <v>0</v>
      </c>
      <c r="AL332" s="161">
        <v>0</v>
      </c>
      <c r="AM332" s="161">
        <v>1000</v>
      </c>
      <c r="AN332" s="161"/>
      <c r="AO332" s="161"/>
      <c r="AP332" s="161"/>
      <c r="AQ332" s="379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299">
        <f t="shared" si="142"/>
        <v>6500</v>
      </c>
      <c r="BD332" s="896">
        <f t="shared" si="143"/>
        <v>10</v>
      </c>
      <c r="BE332" s="896">
        <f t="shared" si="144"/>
        <v>650</v>
      </c>
    </row>
    <row r="333" spans="1:151" s="59" customFormat="1" ht="15" customHeight="1">
      <c r="A333" s="1223" t="s">
        <v>1764</v>
      </c>
      <c r="B333" s="1224"/>
      <c r="C333" s="1224"/>
      <c r="D333" s="1225"/>
      <c r="E333" s="113"/>
      <c r="F333" s="113"/>
      <c r="G333" s="113"/>
      <c r="H333" s="113"/>
      <c r="I333" s="113"/>
      <c r="J333" s="113"/>
      <c r="K333" s="113"/>
      <c r="L333" s="113"/>
      <c r="M333" s="551"/>
      <c r="N333" s="113"/>
      <c r="O333" s="113"/>
      <c r="P333" s="113"/>
      <c r="Q333" s="113"/>
      <c r="R333" s="113"/>
      <c r="S333" s="114"/>
      <c r="T333" s="532"/>
      <c r="U333" s="159"/>
      <c r="V333" s="956"/>
      <c r="W333" s="943"/>
      <c r="X333" s="768">
        <f t="shared" ref="X333:BC333" si="157">SUM(X316:X332)</f>
        <v>0</v>
      </c>
      <c r="Y333" s="769">
        <f t="shared" si="157"/>
        <v>9175</v>
      </c>
      <c r="Z333" s="769">
        <f t="shared" si="157"/>
        <v>3525</v>
      </c>
      <c r="AA333" s="769">
        <f t="shared" si="157"/>
        <v>16650</v>
      </c>
      <c r="AB333" s="769">
        <f t="shared" si="157"/>
        <v>11125</v>
      </c>
      <c r="AC333" s="769">
        <f t="shared" si="157"/>
        <v>14700</v>
      </c>
      <c r="AD333" s="769">
        <f t="shared" si="157"/>
        <v>14225</v>
      </c>
      <c r="AE333" s="769">
        <f t="shared" si="157"/>
        <v>3000</v>
      </c>
      <c r="AF333" s="769">
        <f t="shared" si="157"/>
        <v>12950</v>
      </c>
      <c r="AG333" s="769">
        <f t="shared" si="157"/>
        <v>0</v>
      </c>
      <c r="AH333" s="769">
        <f t="shared" si="157"/>
        <v>28650</v>
      </c>
      <c r="AI333" s="769">
        <f t="shared" si="157"/>
        <v>36000</v>
      </c>
      <c r="AJ333" s="769">
        <f t="shared" si="157"/>
        <v>17675</v>
      </c>
      <c r="AK333" s="769">
        <f t="shared" si="157"/>
        <v>4500</v>
      </c>
      <c r="AL333" s="769">
        <f t="shared" si="157"/>
        <v>26875</v>
      </c>
      <c r="AM333" s="769">
        <f t="shared" si="157"/>
        <v>26550</v>
      </c>
      <c r="AN333" s="769">
        <f t="shared" si="157"/>
        <v>0</v>
      </c>
      <c r="AO333" s="769">
        <f t="shared" si="157"/>
        <v>0</v>
      </c>
      <c r="AP333" s="769">
        <f t="shared" si="157"/>
        <v>0</v>
      </c>
      <c r="AQ333" s="769">
        <f t="shared" si="157"/>
        <v>0</v>
      </c>
      <c r="AR333" s="769">
        <f t="shared" si="157"/>
        <v>0</v>
      </c>
      <c r="AS333" s="769">
        <f t="shared" si="157"/>
        <v>0</v>
      </c>
      <c r="AT333" s="769">
        <f t="shared" si="157"/>
        <v>0</v>
      </c>
      <c r="AU333" s="769">
        <f t="shared" si="157"/>
        <v>0</v>
      </c>
      <c r="AV333" s="769">
        <f t="shared" si="157"/>
        <v>0</v>
      </c>
      <c r="AW333" s="769">
        <f t="shared" si="157"/>
        <v>0</v>
      </c>
      <c r="AX333" s="769">
        <f t="shared" si="157"/>
        <v>0</v>
      </c>
      <c r="AY333" s="769">
        <f t="shared" si="157"/>
        <v>0</v>
      </c>
      <c r="AZ333" s="769">
        <f t="shared" si="157"/>
        <v>0</v>
      </c>
      <c r="BA333" s="769">
        <f t="shared" si="157"/>
        <v>0</v>
      </c>
      <c r="BB333" s="769">
        <f t="shared" si="157"/>
        <v>0</v>
      </c>
      <c r="BC333" s="769">
        <f t="shared" si="157"/>
        <v>225600</v>
      </c>
      <c r="BD333" s="112"/>
      <c r="BE333" s="112"/>
      <c r="BH333" s="508"/>
    </row>
    <row r="334" spans="1:151" s="59" customFormat="1" ht="15" customHeight="1">
      <c r="A334" s="1223" t="s">
        <v>1740</v>
      </c>
      <c r="B334" s="1224"/>
      <c r="C334" s="1224"/>
      <c r="D334" s="1225"/>
      <c r="E334" s="113">
        <f>SUM(E316:E332)</f>
        <v>3315</v>
      </c>
      <c r="F334" s="113">
        <f>SUM(F316:F332)-F336</f>
        <v>0</v>
      </c>
      <c r="G334" s="113">
        <f>SUM(G316:G332)</f>
        <v>0</v>
      </c>
      <c r="H334" s="113">
        <f>SUM(H316:H332)</f>
        <v>0</v>
      </c>
      <c r="I334" s="113">
        <f>SUM(I316:I332)</f>
        <v>1062</v>
      </c>
      <c r="J334" s="113">
        <f>SUM(J316:J332)-J336</f>
        <v>26550</v>
      </c>
      <c r="K334" s="113">
        <f t="shared" ref="K334:S334" si="158">SUM(K316:K332)</f>
        <v>0</v>
      </c>
      <c r="L334" s="113">
        <f t="shared" si="158"/>
        <v>0</v>
      </c>
      <c r="M334" s="113">
        <f t="shared" si="158"/>
        <v>2253</v>
      </c>
      <c r="N334" s="113">
        <f t="shared" si="158"/>
        <v>56325</v>
      </c>
      <c r="O334" s="113">
        <f t="shared" si="158"/>
        <v>225600</v>
      </c>
      <c r="P334" s="113">
        <f t="shared" si="158"/>
        <v>56325</v>
      </c>
      <c r="Q334" s="113">
        <f t="shared" si="158"/>
        <v>225600</v>
      </c>
      <c r="R334" s="113">
        <f t="shared" si="158"/>
        <v>15040</v>
      </c>
      <c r="S334" s="113">
        <f t="shared" si="158"/>
        <v>52.795095676981994</v>
      </c>
      <c r="T334" s="1229"/>
      <c r="U334" s="159">
        <f>SUM(U318:U318,U321:U327)*25</f>
        <v>0</v>
      </c>
      <c r="V334" s="956"/>
      <c r="W334" s="943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112"/>
      <c r="BB334" s="112"/>
      <c r="BC334" s="391">
        <f>+BC333+BC302+BC278+BC195+BC151</f>
        <v>6906740</v>
      </c>
      <c r="BD334" s="391"/>
      <c r="BE334" s="391"/>
      <c r="BH334" s="508"/>
    </row>
    <row r="335" spans="1:151" s="59" customFormat="1" ht="15" customHeight="1">
      <c r="A335" s="1223" t="s">
        <v>1765</v>
      </c>
      <c r="B335" s="1224"/>
      <c r="C335" s="1224"/>
      <c r="D335" s="1225"/>
      <c r="E335" s="113"/>
      <c r="F335" s="113"/>
      <c r="G335" s="113"/>
      <c r="H335" s="113"/>
      <c r="I335" s="113"/>
      <c r="J335" s="113"/>
      <c r="K335" s="113"/>
      <c r="L335" s="113"/>
      <c r="M335" s="551"/>
      <c r="N335" s="113"/>
      <c r="O335" s="113"/>
      <c r="P335" s="113"/>
      <c r="Q335" s="113"/>
      <c r="R335" s="113"/>
      <c r="S335" s="113"/>
      <c r="T335" s="1230"/>
      <c r="U335" s="159"/>
      <c r="V335" s="959"/>
      <c r="W335" s="943"/>
      <c r="X335" s="770">
        <f t="shared" ref="X335:BB335" si="159">X333+X302+X278+X195+X151</f>
        <v>0</v>
      </c>
      <c r="Y335" s="770">
        <f t="shared" si="159"/>
        <v>617180</v>
      </c>
      <c r="Z335" s="770">
        <f t="shared" si="159"/>
        <v>194990</v>
      </c>
      <c r="AA335" s="770">
        <f t="shared" si="159"/>
        <v>565630</v>
      </c>
      <c r="AB335" s="770">
        <f t="shared" si="159"/>
        <v>534855</v>
      </c>
      <c r="AC335" s="770">
        <f t="shared" si="159"/>
        <v>495125</v>
      </c>
      <c r="AD335" s="770">
        <f t="shared" si="159"/>
        <v>389925</v>
      </c>
      <c r="AE335" s="770">
        <f t="shared" si="159"/>
        <v>493910</v>
      </c>
      <c r="AF335" s="770">
        <f t="shared" si="159"/>
        <v>330125</v>
      </c>
      <c r="AG335" s="770">
        <f t="shared" si="159"/>
        <v>0</v>
      </c>
      <c r="AH335" s="770">
        <f t="shared" si="159"/>
        <v>702575</v>
      </c>
      <c r="AI335" s="770">
        <f t="shared" si="159"/>
        <v>643035</v>
      </c>
      <c r="AJ335" s="770">
        <f t="shared" si="159"/>
        <v>725095</v>
      </c>
      <c r="AK335" s="770">
        <f t="shared" si="159"/>
        <v>382345</v>
      </c>
      <c r="AL335" s="770">
        <f t="shared" si="159"/>
        <v>299880</v>
      </c>
      <c r="AM335" s="770">
        <f t="shared" si="159"/>
        <v>532070</v>
      </c>
      <c r="AN335" s="770">
        <f t="shared" si="159"/>
        <v>0</v>
      </c>
      <c r="AO335" s="770">
        <f t="shared" si="159"/>
        <v>0</v>
      </c>
      <c r="AP335" s="770">
        <f t="shared" si="159"/>
        <v>0</v>
      </c>
      <c r="AQ335" s="770">
        <f t="shared" si="159"/>
        <v>0</v>
      </c>
      <c r="AR335" s="770">
        <f t="shared" si="159"/>
        <v>0</v>
      </c>
      <c r="AS335" s="770">
        <f t="shared" si="159"/>
        <v>0</v>
      </c>
      <c r="AT335" s="770">
        <f t="shared" si="159"/>
        <v>0</v>
      </c>
      <c r="AU335" s="770">
        <f t="shared" si="159"/>
        <v>0</v>
      </c>
      <c r="AV335" s="770">
        <f t="shared" si="159"/>
        <v>0</v>
      </c>
      <c r="AW335" s="770">
        <f t="shared" si="159"/>
        <v>0</v>
      </c>
      <c r="AX335" s="770">
        <f t="shared" si="159"/>
        <v>0</v>
      </c>
      <c r="AY335" s="770">
        <f t="shared" si="159"/>
        <v>0</v>
      </c>
      <c r="AZ335" s="770">
        <f t="shared" si="159"/>
        <v>0</v>
      </c>
      <c r="BA335" s="770">
        <f t="shared" si="159"/>
        <v>0</v>
      </c>
      <c r="BB335" s="770">
        <f t="shared" si="159"/>
        <v>0</v>
      </c>
      <c r="BC335" s="509">
        <f>+SUM(BF15:BF27)</f>
        <v>6893210</v>
      </c>
      <c r="BD335" s="509"/>
      <c r="BE335" s="509"/>
      <c r="BH335" s="508"/>
    </row>
    <row r="336" spans="1:151" s="59" customFormat="1" ht="15" customHeight="1">
      <c r="A336" s="1223" t="s">
        <v>1766</v>
      </c>
      <c r="B336" s="1224"/>
      <c r="C336" s="1224"/>
      <c r="D336" s="1225"/>
      <c r="E336" s="113"/>
      <c r="F336" s="113">
        <f>+F317</f>
        <v>0</v>
      </c>
      <c r="G336" s="113">
        <f>+G317</f>
        <v>0</v>
      </c>
      <c r="I336" s="113">
        <f>+I317</f>
        <v>0</v>
      </c>
      <c r="J336" s="113">
        <f>+J317</f>
        <v>0</v>
      </c>
      <c r="K336" s="113"/>
      <c r="L336" s="113"/>
      <c r="M336" s="551"/>
      <c r="N336" s="113"/>
      <c r="O336" s="199"/>
      <c r="P336" s="199"/>
      <c r="Q336" s="199"/>
      <c r="R336" s="199"/>
      <c r="S336" s="199"/>
      <c r="T336" s="1230"/>
      <c r="U336" s="159"/>
      <c r="V336" s="959"/>
      <c r="W336" s="943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BA336" s="75"/>
      <c r="BB336" s="75"/>
      <c r="BC336" s="509"/>
      <c r="BD336" s="509"/>
      <c r="BE336" s="509"/>
      <c r="BH336" s="508"/>
    </row>
    <row r="337" spans="1:60" s="132" customFormat="1" ht="15" customHeight="1">
      <c r="A337" s="1233" t="s">
        <v>1742</v>
      </c>
      <c r="B337" s="1234"/>
      <c r="C337" s="1234"/>
      <c r="D337" s="1235"/>
      <c r="E337" s="73">
        <f>SUM(E333:E335)</f>
        <v>3315</v>
      </c>
      <c r="F337" s="73">
        <f>SUM(F333:F335)-F334</f>
        <v>0</v>
      </c>
      <c r="G337" s="73">
        <f>SUM(G333:G335)-G334</f>
        <v>0</v>
      </c>
      <c r="H337" s="73">
        <f>SUM(H333:H335)-H334</f>
        <v>0</v>
      </c>
      <c r="I337" s="73">
        <f>+SUM(I333:I336)</f>
        <v>1062</v>
      </c>
      <c r="J337" s="73">
        <f>+SUM(J333:J335)</f>
        <v>26550</v>
      </c>
      <c r="K337" s="73">
        <f>SUM(K333:K335)</f>
        <v>0</v>
      </c>
      <c r="L337" s="73">
        <f>SUM(L333:L335)</f>
        <v>0</v>
      </c>
      <c r="M337" s="549">
        <f>SUM(M333:M335)</f>
        <v>2253</v>
      </c>
      <c r="N337" s="73">
        <f>SUM(N333:N335)</f>
        <v>56325</v>
      </c>
      <c r="O337" s="1236">
        <f>SUM(O318:O332)</f>
        <v>225600</v>
      </c>
      <c r="P337" s="197"/>
      <c r="Q337" s="197"/>
      <c r="R337" s="1219">
        <f>SUM(R318:R332)</f>
        <v>15040</v>
      </c>
      <c r="S337" s="1219" t="s">
        <v>46</v>
      </c>
      <c r="T337" s="1241"/>
      <c r="U337" s="150">
        <f>SUM(U318:U327)</f>
        <v>0</v>
      </c>
      <c r="V337" s="959"/>
      <c r="W337" s="94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C337" s="510">
        <f>+BC334-BC335</f>
        <v>13530</v>
      </c>
      <c r="BD337" s="510"/>
      <c r="BE337" s="510"/>
      <c r="BH337" s="508"/>
    </row>
    <row r="338" spans="1:60" s="71" customFormat="1" ht="15" customHeight="1">
      <c r="A338" s="1223" t="s">
        <v>1743</v>
      </c>
      <c r="B338" s="1224"/>
      <c r="C338" s="1224"/>
      <c r="D338" s="1225"/>
      <c r="E338" s="70">
        <f>SUM(E333:E334)*25+E335*40</f>
        <v>82875</v>
      </c>
      <c r="F338" s="70">
        <f>SUM(F333:F334)*25+F335*40</f>
        <v>0</v>
      </c>
      <c r="G338" s="70">
        <f>SUM(G333:G334)*25+G335*40</f>
        <v>0</v>
      </c>
      <c r="H338" s="70">
        <f>SUM(H333:H334)*25+H335*40</f>
        <v>0</v>
      </c>
      <c r="I338" s="70">
        <f>SUM(I333:I334)*25+I335*40</f>
        <v>26550</v>
      </c>
      <c r="J338" s="70">
        <f>SUM(J333:J334)+J335+J336</f>
        <v>26550</v>
      </c>
      <c r="K338" s="70">
        <f>+K337*25</f>
        <v>0</v>
      </c>
      <c r="L338" s="70">
        <f>SUM(L333:L334)*25+L335*40</f>
        <v>0</v>
      </c>
      <c r="M338" s="552">
        <f>SUM(M333:M334)*25+M335*40</f>
        <v>56325</v>
      </c>
      <c r="N338" s="70">
        <f>SUM(N333:N334)+N335</f>
        <v>56325</v>
      </c>
      <c r="O338" s="1237"/>
      <c r="P338" s="198"/>
      <c r="Q338" s="198"/>
      <c r="R338" s="1220"/>
      <c r="S338" s="1220"/>
      <c r="T338" s="1242"/>
      <c r="U338" s="150">
        <f>SUM(U333:U335)</f>
        <v>0</v>
      </c>
      <c r="V338" s="959"/>
      <c r="W338" s="943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79"/>
      <c r="AW338" s="79"/>
      <c r="AX338" s="79"/>
      <c r="AY338" s="79"/>
      <c r="AZ338" s="79"/>
      <c r="BA338" s="79"/>
      <c r="BB338" s="79"/>
      <c r="BH338" s="508"/>
    </row>
    <row r="339" spans="1:60" ht="15" customHeight="1">
      <c r="A339" s="310" t="s">
        <v>137</v>
      </c>
      <c r="B339" s="37"/>
      <c r="C339" s="37"/>
      <c r="D339" s="37"/>
      <c r="E339" s="133"/>
      <c r="F339" s="37"/>
      <c r="G339" s="37"/>
      <c r="H339" s="37"/>
      <c r="I339" s="37"/>
      <c r="J339" s="37"/>
      <c r="K339" s="37"/>
      <c r="L339" s="37"/>
      <c r="M339" s="543"/>
      <c r="N339" s="37"/>
      <c r="O339" s="37"/>
      <c r="P339" s="37"/>
      <c r="Q339" s="37"/>
      <c r="R339" s="37"/>
      <c r="S339" s="37"/>
      <c r="T339" s="528"/>
      <c r="U339" s="153"/>
      <c r="AZ339" s="58"/>
      <c r="BB339" s="72"/>
    </row>
    <row r="340" spans="1:60" ht="15" customHeight="1">
      <c r="A340" s="310" t="s">
        <v>1694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535"/>
      <c r="N340" s="38"/>
      <c r="O340" s="38"/>
      <c r="P340" s="38"/>
      <c r="Q340" s="38"/>
      <c r="R340" s="38"/>
      <c r="S340" s="38"/>
      <c r="T340" s="529"/>
      <c r="U340" s="134"/>
      <c r="V340" s="959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Z340" s="58"/>
      <c r="BA340" s="112"/>
      <c r="BB340" s="112"/>
    </row>
    <row r="341" spans="1:60" ht="15" customHeight="1">
      <c r="A341" s="310" t="s">
        <v>1695</v>
      </c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535"/>
      <c r="N341" s="38"/>
      <c r="O341" s="38"/>
      <c r="P341" s="38"/>
      <c r="Q341" s="38"/>
      <c r="R341" s="38"/>
      <c r="S341" s="38"/>
      <c r="T341" s="529"/>
      <c r="AZ341" s="58"/>
      <c r="BB341" s="72"/>
    </row>
    <row r="342" spans="1:60">
      <c r="T342" s="533"/>
    </row>
    <row r="343" spans="1:60">
      <c r="F343" s="60"/>
      <c r="G343" s="60"/>
      <c r="N343" s="719"/>
    </row>
    <row r="346" spans="1:60">
      <c r="I346" s="60"/>
    </row>
    <row r="363" spans="5:60" ht="15">
      <c r="E363" s="58"/>
      <c r="O363" s="58"/>
      <c r="P363" s="58"/>
      <c r="Q363" s="58"/>
      <c r="R363" s="58"/>
      <c r="S363" s="58"/>
      <c r="T363" s="72"/>
      <c r="U363" s="58"/>
      <c r="V363" s="966"/>
      <c r="W363" s="966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68"/>
      <c r="AW363" s="58"/>
      <c r="AX363" s="58"/>
      <c r="AY363" s="58"/>
      <c r="AZ363" s="58"/>
      <c r="BA363" s="58"/>
      <c r="BH363" s="58"/>
    </row>
  </sheetData>
  <sortState xmlns:xlrd2="http://schemas.microsoft.com/office/spreadsheetml/2017/richdata2" ref="X190:BC207">
    <sortCondition sortBy="icon" ref="AK190"/>
  </sortState>
  <mergeCells count="112">
    <mergeCell ref="A304:D304"/>
    <mergeCell ref="A280:D280"/>
    <mergeCell ref="A302:D302"/>
    <mergeCell ref="C205:C207"/>
    <mergeCell ref="A305:D305"/>
    <mergeCell ref="A289:A291"/>
    <mergeCell ref="R305:R307"/>
    <mergeCell ref="T303:T307"/>
    <mergeCell ref="S305:S307"/>
    <mergeCell ref="C289:C291"/>
    <mergeCell ref="A307:D307"/>
    <mergeCell ref="A303:D303"/>
    <mergeCell ref="D289:D291"/>
    <mergeCell ref="B289:B291"/>
    <mergeCell ref="A306:D306"/>
    <mergeCell ref="M205:N205"/>
    <mergeCell ref="R281:R283"/>
    <mergeCell ref="I289:L289"/>
    <mergeCell ref="M289:N289"/>
    <mergeCell ref="T289:T291"/>
    <mergeCell ref="S205:S207"/>
    <mergeCell ref="F289:H289"/>
    <mergeCell ref="A283:D283"/>
    <mergeCell ref="T278:T283"/>
    <mergeCell ref="T334:T338"/>
    <mergeCell ref="S313:S315"/>
    <mergeCell ref="C313:C315"/>
    <mergeCell ref="R337:R338"/>
    <mergeCell ref="O337:O338"/>
    <mergeCell ref="T313:T315"/>
    <mergeCell ref="A333:D333"/>
    <mergeCell ref="I313:L313"/>
    <mergeCell ref="A313:A315"/>
    <mergeCell ref="B313:B315"/>
    <mergeCell ref="M313:N313"/>
    <mergeCell ref="M314:N314"/>
    <mergeCell ref="S337:S338"/>
    <mergeCell ref="A335:D335"/>
    <mergeCell ref="A338:D338"/>
    <mergeCell ref="A337:D337"/>
    <mergeCell ref="A334:D334"/>
    <mergeCell ref="D313:D315"/>
    <mergeCell ref="A336:D336"/>
    <mergeCell ref="F313:H313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A282:D282"/>
    <mergeCell ref="A278:D278"/>
    <mergeCell ref="A279:D279"/>
    <mergeCell ref="A199:D199"/>
    <mergeCell ref="C164:C166"/>
    <mergeCell ref="B164:B166"/>
    <mergeCell ref="B205:B207"/>
    <mergeCell ref="U289:U290"/>
    <mergeCell ref="I290:J290"/>
    <mergeCell ref="I205:L205"/>
    <mergeCell ref="T164:T166"/>
    <mergeCell ref="S164:S166"/>
    <mergeCell ref="R198:R199"/>
    <mergeCell ref="A281:D281"/>
    <mergeCell ref="A195:D195"/>
    <mergeCell ref="A197:D197"/>
    <mergeCell ref="D164:D166"/>
    <mergeCell ref="A198:D198"/>
    <mergeCell ref="A196:D196"/>
    <mergeCell ref="A164:A166"/>
    <mergeCell ref="A205:A207"/>
    <mergeCell ref="F164:H164"/>
    <mergeCell ref="D205:D207"/>
    <mergeCell ref="F205:H205"/>
    <mergeCell ref="U313:U314"/>
    <mergeCell ref="I314:J314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5:U206"/>
    <mergeCell ref="I206:J206"/>
    <mergeCell ref="M206:N206"/>
    <mergeCell ref="S289:S291"/>
    <mergeCell ref="M290:N290"/>
    <mergeCell ref="O198:O199"/>
    <mergeCell ref="T195:T199"/>
    <mergeCell ref="S281:S283"/>
    <mergeCell ref="S198:S199"/>
    <mergeCell ref="T205:T207"/>
  </mergeCells>
  <phoneticPr fontId="6" type="noConversion"/>
  <conditionalFormatting sqref="S275:S277 S292:S301 S316:S332 S208:S267 S13:S150 S167:S194">
    <cfRule type="cellIs" dxfId="7" priority="15" stopIfTrue="1" operator="lessThan">
      <formula>1</formula>
    </cfRule>
  </conditionalFormatting>
  <conditionalFormatting sqref="S275:S278 S292:S301 S316:S332 S208:S267 S13:S150 S167:S194">
    <cfRule type="cellIs" dxfId="6" priority="13" stopIfTrue="1" operator="lessThan">
      <formula>2</formula>
    </cfRule>
  </conditionalFormatting>
  <conditionalFormatting sqref="S272:S274">
    <cfRule type="cellIs" dxfId="5" priority="4" stopIfTrue="1" operator="lessThan">
      <formula>1</formula>
    </cfRule>
  </conditionalFormatting>
  <conditionalFormatting sqref="S272:S274">
    <cfRule type="cellIs" dxfId="4" priority="3" stopIfTrue="1" operator="lessThan">
      <formula>2</formula>
    </cfRule>
  </conditionalFormatting>
  <conditionalFormatting sqref="S268:S271">
    <cfRule type="cellIs" dxfId="3" priority="2" stopIfTrue="1" operator="lessThan">
      <formula>1</formula>
    </cfRule>
  </conditionalFormatting>
  <conditionalFormatting sqref="S268:S271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67" activePane="bottomRight" state="frozen"/>
      <selection pane="topRight" activeCell="F1" sqref="F1"/>
      <selection pane="bottomLeft" activeCell="A10" sqref="A10"/>
      <selection pane="bottomRight" activeCell="W289" sqref="W289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199" t="s">
        <v>98</v>
      </c>
      <c r="B2" s="1199"/>
      <c r="C2" s="1199"/>
      <c r="D2" s="1199"/>
      <c r="E2" s="1199"/>
      <c r="F2" s="1051" t="s">
        <v>1735</v>
      </c>
      <c r="G2" s="1051"/>
      <c r="H2" s="1051"/>
      <c r="I2" s="1051"/>
      <c r="J2" s="1051"/>
      <c r="K2" s="1051"/>
      <c r="L2" s="1051"/>
      <c r="M2" s="1051"/>
      <c r="N2" s="1051"/>
      <c r="O2" s="1051"/>
      <c r="P2" s="210"/>
      <c r="Q2" s="210"/>
      <c r="R2" s="211"/>
      <c r="S2" s="211"/>
      <c r="AF2" s="214"/>
    </row>
    <row r="3" spans="1:62" ht="15" customHeight="1">
      <c r="A3" s="1199" t="s">
        <v>99</v>
      </c>
      <c r="B3" s="1199"/>
      <c r="C3" s="1199"/>
      <c r="D3" s="1199"/>
      <c r="E3" s="1199"/>
      <c r="F3" s="1051"/>
      <c r="G3" s="1051"/>
      <c r="H3" s="1051"/>
      <c r="I3" s="1051"/>
      <c r="J3" s="1051"/>
      <c r="K3" s="1051"/>
      <c r="L3" s="1051"/>
      <c r="M3" s="1051"/>
      <c r="N3" s="1051"/>
      <c r="O3" s="1051"/>
      <c r="P3" s="822" t="s">
        <v>1734</v>
      </c>
      <c r="Q3" s="1158">
        <f>BRAN!O3</f>
        <v>46158</v>
      </c>
      <c r="R3" s="1158"/>
      <c r="S3" s="1158"/>
      <c r="T3" s="1158"/>
      <c r="U3" s="1158"/>
      <c r="V3" s="1158"/>
      <c r="W3" s="823"/>
    </row>
    <row r="4" spans="1:62" ht="15" customHeight="1">
      <c r="A4" s="38" t="s">
        <v>2668</v>
      </c>
      <c r="B4" s="825"/>
      <c r="C4" s="825"/>
      <c r="D4" s="825"/>
      <c r="E4" s="825"/>
      <c r="F4" s="1159" t="s">
        <v>1737</v>
      </c>
      <c r="G4" s="1159"/>
      <c r="H4" s="1159"/>
      <c r="I4" s="1159"/>
      <c r="J4" s="1159"/>
      <c r="K4" s="1159"/>
      <c r="L4" s="1159"/>
      <c r="M4" s="1159"/>
      <c r="N4" s="1159"/>
      <c r="O4" s="115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2667</v>
      </c>
      <c r="B5" s="825"/>
      <c r="C5" s="825"/>
      <c r="D5" s="825"/>
      <c r="E5" s="825"/>
      <c r="F5" s="1159" t="s">
        <v>1736</v>
      </c>
      <c r="G5" s="1159"/>
      <c r="H5" s="1159"/>
      <c r="I5" s="1159"/>
      <c r="J5" s="1159"/>
      <c r="K5" s="1159"/>
      <c r="L5" s="1159"/>
      <c r="M5" s="1159"/>
      <c r="N5" s="1159"/>
      <c r="O5" s="1159"/>
      <c r="P5" s="1200" t="s">
        <v>9</v>
      </c>
      <c r="Q5" s="1200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3" t="s">
        <v>1700</v>
      </c>
      <c r="B7" s="1034" t="s">
        <v>1676</v>
      </c>
      <c r="C7" s="1034" t="s">
        <v>1677</v>
      </c>
      <c r="D7" s="1046" t="s">
        <v>1747</v>
      </c>
      <c r="E7" s="61" t="s">
        <v>0</v>
      </c>
      <c r="F7" s="1049" t="s">
        <v>1680</v>
      </c>
      <c r="G7" s="1054"/>
      <c r="H7" s="1050"/>
      <c r="I7" s="1049" t="s">
        <v>1681</v>
      </c>
      <c r="J7" s="1054"/>
      <c r="K7" s="1054"/>
      <c r="L7" s="1054"/>
      <c r="M7" s="1054"/>
      <c r="N7" s="1050"/>
      <c r="O7" s="1049" t="s">
        <v>1687</v>
      </c>
      <c r="P7" s="1050"/>
      <c r="Q7" s="194" t="s">
        <v>1727</v>
      </c>
      <c r="R7" s="334"/>
      <c r="S7" s="334"/>
      <c r="T7" s="194" t="s">
        <v>1728</v>
      </c>
      <c r="U7" s="1037" t="s">
        <v>1690</v>
      </c>
      <c r="V7" s="1038"/>
      <c r="W7" s="1173" t="s">
        <v>1692</v>
      </c>
      <c r="X7" s="999" t="s">
        <v>1693</v>
      </c>
      <c r="Y7" s="974"/>
      <c r="Z7" s="937"/>
    </row>
    <row r="8" spans="1:62" s="83" customFormat="1" ht="48.75" customHeight="1">
      <c r="A8" s="1044"/>
      <c r="B8" s="1035"/>
      <c r="C8" s="1035"/>
      <c r="D8" s="1047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49" t="s">
        <v>1684</v>
      </c>
      <c r="J8" s="1054"/>
      <c r="K8" s="1054"/>
      <c r="L8" s="1050"/>
      <c r="M8" s="585" t="s">
        <v>1688</v>
      </c>
      <c r="N8" s="784" t="s">
        <v>1686</v>
      </c>
      <c r="O8" s="1198" t="s">
        <v>1732</v>
      </c>
      <c r="P8" s="1050"/>
      <c r="Q8" s="787" t="s">
        <v>1730</v>
      </c>
      <c r="R8" s="786"/>
      <c r="S8" s="786"/>
      <c r="T8" s="787" t="s">
        <v>1731</v>
      </c>
      <c r="U8" s="1039"/>
      <c r="V8" s="1040"/>
      <c r="W8" s="1174"/>
      <c r="X8" s="1000"/>
      <c r="Y8" s="974"/>
      <c r="Z8" s="937"/>
    </row>
    <row r="9" spans="1:62" s="83" customFormat="1" ht="18.75" customHeight="1">
      <c r="A9" s="1045"/>
      <c r="B9" s="1036"/>
      <c r="C9" s="1036"/>
      <c r="D9" s="1048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1"/>
      <c r="V9" s="1042"/>
      <c r="W9" s="1175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3">
        <f>IF(T10=0,0,P10/T10)</f>
        <v>0</v>
      </c>
      <c r="V10" s="994"/>
      <c r="W10" s="363"/>
      <c r="X10" s="224"/>
      <c r="Y10" s="976" t="str">
        <f t="shared" ref="Y10:Y35" si="4">B10&amp;D10</f>
        <v>510F50</v>
      </c>
      <c r="Z10" s="938" t="s">
        <v>761</v>
      </c>
      <c r="AA10" s="449"/>
      <c r="AB10" s="449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343">
        <v>0</v>
      </c>
      <c r="AJ10" s="343"/>
      <c r="AK10" s="343">
        <v>0</v>
      </c>
      <c r="AL10" s="343">
        <v>0</v>
      </c>
      <c r="AM10" s="343">
        <v>0</v>
      </c>
      <c r="AN10" s="343">
        <v>0</v>
      </c>
      <c r="AO10" s="343">
        <v>0</v>
      </c>
      <c r="AP10" s="343">
        <v>0</v>
      </c>
      <c r="AQ10" s="343"/>
      <c r="AR10" s="343"/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836300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3">
        <f>IF(T11=0,0,P11/T11)</f>
        <v>0</v>
      </c>
      <c r="V11" s="994"/>
      <c r="W11" s="363"/>
      <c r="X11" s="224"/>
      <c r="Y11" s="976" t="str">
        <f t="shared" si="4"/>
        <v>510MF50</v>
      </c>
      <c r="Z11" s="938">
        <v>161211</v>
      </c>
      <c r="AA11" s="449"/>
      <c r="AB11" s="449">
        <v>0</v>
      </c>
      <c r="AC11" s="343">
        <v>0</v>
      </c>
      <c r="AD11" s="343">
        <v>0</v>
      </c>
      <c r="AE11" s="343">
        <v>0</v>
      </c>
      <c r="AF11" s="343">
        <v>0</v>
      </c>
      <c r="AG11" s="343">
        <v>0</v>
      </c>
      <c r="AH11" s="343">
        <v>0</v>
      </c>
      <c r="AI11" s="343">
        <v>0</v>
      </c>
      <c r="AJ11" s="343"/>
      <c r="AK11" s="343">
        <v>0</v>
      </c>
      <c r="AL11" s="343">
        <v>0</v>
      </c>
      <c r="AM11" s="343">
        <v>0</v>
      </c>
      <c r="AN11" s="343">
        <v>0</v>
      </c>
      <c r="AO11" s="343">
        <v>0</v>
      </c>
      <c r="AP11" s="343">
        <v>0</v>
      </c>
      <c r="AQ11" s="343"/>
      <c r="AR11" s="343"/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63780</v>
      </c>
      <c r="T12" s="346">
        <f t="shared" si="3"/>
        <v>0</v>
      </c>
      <c r="U12" s="993">
        <f>IF(T12=0,0,P12/T12)</f>
        <v>0</v>
      </c>
      <c r="V12" s="994"/>
      <c r="W12" s="363"/>
      <c r="X12" s="224"/>
      <c r="Y12" s="976" t="str">
        <f t="shared" si="4"/>
        <v>510NF50</v>
      </c>
      <c r="Z12" s="938" t="s">
        <v>762</v>
      </c>
      <c r="AA12" s="449"/>
      <c r="AB12" s="449">
        <v>0</v>
      </c>
      <c r="AC12" s="343">
        <v>0</v>
      </c>
      <c r="AD12" s="343">
        <v>0</v>
      </c>
      <c r="AE12" s="343">
        <v>0</v>
      </c>
      <c r="AF12" s="343">
        <v>0</v>
      </c>
      <c r="AG12" s="343">
        <v>0</v>
      </c>
      <c r="AH12" s="343">
        <v>0</v>
      </c>
      <c r="AI12" s="343">
        <v>0</v>
      </c>
      <c r="AJ12" s="343"/>
      <c r="AK12" s="343">
        <v>0</v>
      </c>
      <c r="AL12" s="343">
        <v>0</v>
      </c>
      <c r="AM12" s="343">
        <v>0</v>
      </c>
      <c r="AN12" s="343">
        <v>0</v>
      </c>
      <c r="AO12" s="343">
        <v>0</v>
      </c>
      <c r="AP12" s="343">
        <v>0</v>
      </c>
      <c r="AQ12" s="343"/>
      <c r="AR12" s="343"/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2310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13350</v>
      </c>
      <c r="S13" s="344">
        <f>SUM(Q57:Q60,Q70,Q75:Q78)</f>
        <v>63780</v>
      </c>
      <c r="T13" s="346">
        <f t="shared" si="3"/>
        <v>0</v>
      </c>
      <c r="U13" s="993">
        <f>IF(T13=0,0,P13/T13)</f>
        <v>0</v>
      </c>
      <c r="V13" s="994"/>
      <c r="W13" s="363"/>
      <c r="X13" s="224"/>
      <c r="Y13" s="976" t="str">
        <f t="shared" si="4"/>
        <v>510NFTL350</v>
      </c>
      <c r="Z13" s="938">
        <v>112591</v>
      </c>
      <c r="AA13" s="449"/>
      <c r="AB13" s="449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343">
        <v>0</v>
      </c>
      <c r="AJ13" s="343"/>
      <c r="AK13" s="343">
        <v>0</v>
      </c>
      <c r="AL13" s="343">
        <v>0</v>
      </c>
      <c r="AM13" s="343">
        <v>0</v>
      </c>
      <c r="AN13" s="343">
        <v>0</v>
      </c>
      <c r="AO13" s="343">
        <v>0</v>
      </c>
      <c r="AP13" s="343">
        <v>0</v>
      </c>
      <c r="AQ13" s="343"/>
      <c r="AR13" s="343"/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3">
        <f>IF(T14=0,0,P14/T14)</f>
        <v>0</v>
      </c>
      <c r="V14" s="994"/>
      <c r="W14" s="363"/>
      <c r="X14" s="224"/>
      <c r="Y14" s="976" t="str">
        <f t="shared" si="4"/>
        <v>510NFTL3P1250</v>
      </c>
      <c r="Z14" s="938">
        <v>11259812</v>
      </c>
      <c r="AA14" s="449"/>
      <c r="AB14" s="449">
        <v>0</v>
      </c>
      <c r="AC14" s="343">
        <v>0</v>
      </c>
      <c r="AD14" s="343">
        <v>0</v>
      </c>
      <c r="AE14" s="343">
        <v>0</v>
      </c>
      <c r="AF14" s="343">
        <v>0</v>
      </c>
      <c r="AG14" s="343">
        <v>0</v>
      </c>
      <c r="AH14" s="343">
        <v>0</v>
      </c>
      <c r="AI14" s="343">
        <v>0</v>
      </c>
      <c r="AJ14" s="343"/>
      <c r="AK14" s="343">
        <v>0</v>
      </c>
      <c r="AL14" s="343">
        <v>0</v>
      </c>
      <c r="AM14" s="343">
        <v>0</v>
      </c>
      <c r="AN14" s="343">
        <v>0</v>
      </c>
      <c r="AO14" s="343">
        <v>0</v>
      </c>
      <c r="AP14" s="343">
        <v>0</v>
      </c>
      <c r="AQ14" s="343"/>
      <c r="AR14" s="343"/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3">
        <f t="shared" ref="U15:U24" si="14">IF(T15=0,0,P15/T15)</f>
        <v>0</v>
      </c>
      <c r="V15" s="994"/>
      <c r="W15" s="363"/>
      <c r="X15" s="224"/>
      <c r="Y15" s="976" t="str">
        <f>B15&amp;D15</f>
        <v>510NFP1250</v>
      </c>
      <c r="Z15" s="938">
        <v>11252812</v>
      </c>
      <c r="AA15" s="449"/>
      <c r="AB15" s="449">
        <v>0</v>
      </c>
      <c r="AC15" s="343">
        <v>0</v>
      </c>
      <c r="AD15" s="343">
        <v>0</v>
      </c>
      <c r="AE15" s="343">
        <v>0</v>
      </c>
      <c r="AF15" s="343">
        <v>0</v>
      </c>
      <c r="AG15" s="343">
        <v>0</v>
      </c>
      <c r="AH15" s="343">
        <v>0</v>
      </c>
      <c r="AI15" s="343">
        <v>0</v>
      </c>
      <c r="AJ15" s="343"/>
      <c r="AK15" s="343">
        <v>0</v>
      </c>
      <c r="AL15" s="343">
        <v>0</v>
      </c>
      <c r="AM15" s="343">
        <v>0</v>
      </c>
      <c r="AN15" s="343">
        <v>0</v>
      </c>
      <c r="AO15" s="343">
        <v>0</v>
      </c>
      <c r="AP15" s="343">
        <v>0</v>
      </c>
      <c r="AQ15" s="343"/>
      <c r="AR15" s="343"/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68000</v>
      </c>
      <c r="S16" s="344">
        <f>+SUM(Q10:Q102)-S13-S19</f>
        <v>310000</v>
      </c>
      <c r="T16" s="346">
        <f t="shared" si="3"/>
        <v>0</v>
      </c>
      <c r="U16" s="993">
        <f t="shared" si="14"/>
        <v>0</v>
      </c>
      <c r="V16" s="994"/>
      <c r="W16" s="363"/>
      <c r="X16" s="224"/>
      <c r="Y16" s="976" t="str">
        <f t="shared" si="4"/>
        <v>510NFP8750</v>
      </c>
      <c r="Z16" s="938">
        <v>11252887</v>
      </c>
      <c r="AA16" s="449"/>
      <c r="AB16" s="449">
        <v>0</v>
      </c>
      <c r="AC16" s="343">
        <v>0</v>
      </c>
      <c r="AD16" s="343">
        <v>0</v>
      </c>
      <c r="AE16" s="343">
        <v>0</v>
      </c>
      <c r="AF16" s="343">
        <v>0</v>
      </c>
      <c r="AG16" s="343">
        <v>0</v>
      </c>
      <c r="AH16" s="343">
        <v>0</v>
      </c>
      <c r="AI16" s="343">
        <v>0</v>
      </c>
      <c r="AJ16" s="343"/>
      <c r="AK16" s="343">
        <v>0</v>
      </c>
      <c r="AL16" s="343">
        <v>0</v>
      </c>
      <c r="AM16" s="343">
        <v>0</v>
      </c>
      <c r="AN16" s="343">
        <v>0</v>
      </c>
      <c r="AO16" s="343">
        <v>0</v>
      </c>
      <c r="AP16" s="343">
        <v>0</v>
      </c>
      <c r="AQ16" s="343"/>
      <c r="AR16" s="343"/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177940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3">
        <f t="shared" si="14"/>
        <v>0</v>
      </c>
      <c r="V17" s="994"/>
      <c r="W17" s="363"/>
      <c r="X17" s="224"/>
      <c r="Y17" s="976" t="str">
        <f t="shared" si="4"/>
        <v>510NFP8850</v>
      </c>
      <c r="Z17" s="938">
        <v>11252888</v>
      </c>
      <c r="AA17" s="449"/>
      <c r="AB17" s="449">
        <v>0</v>
      </c>
      <c r="AC17" s="343">
        <v>0</v>
      </c>
      <c r="AD17" s="343">
        <v>0</v>
      </c>
      <c r="AE17" s="343">
        <v>0</v>
      </c>
      <c r="AF17" s="343">
        <v>0</v>
      </c>
      <c r="AG17" s="343">
        <v>0</v>
      </c>
      <c r="AH17" s="343">
        <v>0</v>
      </c>
      <c r="AI17" s="343">
        <v>0</v>
      </c>
      <c r="AJ17" s="343"/>
      <c r="AK17" s="343">
        <v>0</v>
      </c>
      <c r="AL17" s="343">
        <v>0</v>
      </c>
      <c r="AM17" s="343">
        <v>0</v>
      </c>
      <c r="AN17" s="343">
        <v>0</v>
      </c>
      <c r="AO17" s="343">
        <v>0</v>
      </c>
      <c r="AP17" s="343">
        <v>0</v>
      </c>
      <c r="AQ17" s="343"/>
      <c r="AR17" s="343"/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2487</v>
      </c>
      <c r="S18" s="344"/>
      <c r="T18" s="346">
        <f t="shared" si="3"/>
        <v>0</v>
      </c>
      <c r="U18" s="993">
        <f t="shared" si="14"/>
        <v>0</v>
      </c>
      <c r="V18" s="994"/>
      <c r="W18" s="363"/>
      <c r="X18" s="224"/>
      <c r="Y18" s="976" t="str">
        <f t="shared" si="4"/>
        <v>510NFP9150</v>
      </c>
      <c r="Z18" s="938">
        <v>11252891</v>
      </c>
      <c r="AA18" s="449"/>
      <c r="AB18" s="449">
        <v>0</v>
      </c>
      <c r="AC18" s="343">
        <v>0</v>
      </c>
      <c r="AD18" s="343">
        <v>0</v>
      </c>
      <c r="AE18" s="343">
        <v>0</v>
      </c>
      <c r="AF18" s="343">
        <v>0</v>
      </c>
      <c r="AG18" s="343">
        <v>0</v>
      </c>
      <c r="AH18" s="343">
        <v>0</v>
      </c>
      <c r="AI18" s="343">
        <v>0</v>
      </c>
      <c r="AJ18" s="343"/>
      <c r="AK18" s="343">
        <v>0</v>
      </c>
      <c r="AL18" s="343">
        <v>0</v>
      </c>
      <c r="AM18" s="343">
        <v>0</v>
      </c>
      <c r="AN18" s="343">
        <v>0</v>
      </c>
      <c r="AO18" s="343">
        <v>0</v>
      </c>
      <c r="AP18" s="343">
        <v>0</v>
      </c>
      <c r="AQ18" s="343"/>
      <c r="AR18" s="343"/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147250</v>
      </c>
      <c r="S19" s="344">
        <f>+SUM(Q11:Q34,Q44:Q45,Q56,Q61:Q63,Q65:Q66,Q68:Q69,Q71:Q74,Q79,Q82:Q95,Q102)</f>
        <v>1145110</v>
      </c>
      <c r="T19" s="346">
        <f t="shared" si="3"/>
        <v>0</v>
      </c>
      <c r="U19" s="993">
        <f t="shared" si="14"/>
        <v>0</v>
      </c>
      <c r="V19" s="994"/>
      <c r="W19" s="363"/>
      <c r="X19" s="224"/>
      <c r="Y19" s="976" t="str">
        <f t="shared" si="4"/>
        <v>510NFP8950</v>
      </c>
      <c r="Z19" s="938">
        <v>11252889</v>
      </c>
      <c r="AA19" s="449"/>
      <c r="AB19" s="449">
        <v>0</v>
      </c>
      <c r="AC19" s="343">
        <v>0</v>
      </c>
      <c r="AD19" s="343">
        <v>0</v>
      </c>
      <c r="AE19" s="343">
        <v>0</v>
      </c>
      <c r="AF19" s="343">
        <v>0</v>
      </c>
      <c r="AG19" s="343">
        <v>0</v>
      </c>
      <c r="AH19" s="343">
        <v>0</v>
      </c>
      <c r="AI19" s="343">
        <v>0</v>
      </c>
      <c r="AJ19" s="343"/>
      <c r="AK19" s="343">
        <v>0</v>
      </c>
      <c r="AL19" s="343">
        <v>0</v>
      </c>
      <c r="AM19" s="343">
        <v>0</v>
      </c>
      <c r="AN19" s="343">
        <v>0</v>
      </c>
      <c r="AO19" s="343">
        <v>0</v>
      </c>
      <c r="AP19" s="343">
        <v>0</v>
      </c>
      <c r="AQ19" s="343"/>
      <c r="AR19" s="343"/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682590</v>
      </c>
      <c r="BJ19" s="225" t="s">
        <v>1353</v>
      </c>
      <c r="BK19" s="436">
        <f>+BI17+BI23</f>
        <v>836300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3">
        <f t="shared" si="14"/>
        <v>0</v>
      </c>
      <c r="V20" s="994"/>
      <c r="W20" s="363"/>
      <c r="X20" s="224"/>
      <c r="Y20" s="976" t="str">
        <f t="shared" si="4"/>
        <v>510NFP8550</v>
      </c>
      <c r="Z20" s="938">
        <v>11252885</v>
      </c>
      <c r="AA20" s="449"/>
      <c r="AB20" s="449">
        <v>0</v>
      </c>
      <c r="AC20" s="343">
        <v>0</v>
      </c>
      <c r="AD20" s="343">
        <v>0</v>
      </c>
      <c r="AE20" s="343">
        <v>0</v>
      </c>
      <c r="AF20" s="343">
        <v>0</v>
      </c>
      <c r="AG20" s="343">
        <v>0</v>
      </c>
      <c r="AH20" s="343">
        <v>0</v>
      </c>
      <c r="AI20" s="343">
        <v>0</v>
      </c>
      <c r="AJ20" s="343"/>
      <c r="AK20" s="343">
        <v>0</v>
      </c>
      <c r="AL20" s="343">
        <v>0</v>
      </c>
      <c r="AM20" s="343">
        <v>0</v>
      </c>
      <c r="AN20" s="343">
        <v>0</v>
      </c>
      <c r="AO20" s="343">
        <v>0</v>
      </c>
      <c r="AP20" s="343">
        <v>0</v>
      </c>
      <c r="AQ20" s="343"/>
      <c r="AR20" s="343"/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682590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501</v>
      </c>
      <c r="F21" s="100">
        <f>SUMIF(pro!$A:$A,INTGRATE!$Y:$Y,pro!$N:$N)</f>
        <v>703</v>
      </c>
      <c r="G21" s="344"/>
      <c r="H21" s="344">
        <f>SUMIF(CBIN!$A:$A,INTGRATE!$Y:$Y,CBIN!$G:$G)</f>
        <v>0</v>
      </c>
      <c r="I21" s="343">
        <f>SUMIF(data!$D:$D,INTGRATE!$B21&amp;INTGRATE!$D21,data!$J:$J)</f>
        <v>0</v>
      </c>
      <c r="J21" s="343"/>
      <c r="K21" s="343"/>
      <c r="L21" s="343">
        <f>SUMIF(data!$D:$D,INTGRATE!$B21&amp;INTGRATE!$D21,data!$K:$K)</f>
        <v>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1204</v>
      </c>
      <c r="P21" s="344">
        <f t="shared" si="1"/>
        <v>60200</v>
      </c>
      <c r="Q21" s="344">
        <f t="shared" si="2"/>
        <v>145400</v>
      </c>
      <c r="R21" s="344"/>
      <c r="S21" s="344"/>
      <c r="T21" s="346">
        <f t="shared" si="3"/>
        <v>9693.3333333333339</v>
      </c>
      <c r="U21" s="993">
        <f t="shared" si="14"/>
        <v>6.2104539202200826</v>
      </c>
      <c r="V21" s="994"/>
      <c r="W21" s="409"/>
      <c r="X21" s="224"/>
      <c r="Y21" s="976" t="str">
        <f t="shared" si="4"/>
        <v>510NFP9250</v>
      </c>
      <c r="Z21" s="938">
        <v>11252892</v>
      </c>
      <c r="AA21" s="449"/>
      <c r="AB21" s="449">
        <v>4000</v>
      </c>
      <c r="AC21" s="343">
        <v>15500</v>
      </c>
      <c r="AD21" s="343">
        <v>19950</v>
      </c>
      <c r="AE21" s="343">
        <v>7300</v>
      </c>
      <c r="AF21" s="343">
        <v>0</v>
      </c>
      <c r="AG21" s="343">
        <v>11750</v>
      </c>
      <c r="AH21" s="343">
        <v>4150</v>
      </c>
      <c r="AI21" s="343">
        <v>6600</v>
      </c>
      <c r="AJ21" s="343"/>
      <c r="AK21" s="343">
        <v>24300</v>
      </c>
      <c r="AL21" s="343">
        <v>10600</v>
      </c>
      <c r="AM21" s="343">
        <v>19400</v>
      </c>
      <c r="AN21" s="343">
        <v>6450</v>
      </c>
      <c r="AO21" s="343">
        <v>15400</v>
      </c>
      <c r="AP21" s="343">
        <v>0</v>
      </c>
      <c r="AQ21" s="343"/>
      <c r="AR21" s="343"/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145400</v>
      </c>
      <c r="BG21" s="896">
        <f t="shared" si="6"/>
        <v>12</v>
      </c>
      <c r="BH21" s="896">
        <f t="shared" si="7"/>
        <v>12116.666666666666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3">
        <f t="shared" si="14"/>
        <v>0</v>
      </c>
      <c r="V22" s="994"/>
      <c r="W22" s="409"/>
      <c r="X22" s="224"/>
      <c r="Y22" s="976" t="str">
        <f t="shared" si="4"/>
        <v>511AF50</v>
      </c>
      <c r="Z22" s="938" t="s">
        <v>763</v>
      </c>
      <c r="AA22" s="449"/>
      <c r="AB22" s="449">
        <v>0</v>
      </c>
      <c r="AC22" s="343">
        <v>0</v>
      </c>
      <c r="AD22" s="343">
        <v>0</v>
      </c>
      <c r="AE22" s="343">
        <v>0</v>
      </c>
      <c r="AF22" s="343">
        <v>0</v>
      </c>
      <c r="AG22" s="343">
        <v>0</v>
      </c>
      <c r="AH22" s="343">
        <v>0</v>
      </c>
      <c r="AI22" s="343">
        <v>0</v>
      </c>
      <c r="AJ22" s="343"/>
      <c r="AK22" s="343">
        <v>0</v>
      </c>
      <c r="AL22" s="343">
        <v>0</v>
      </c>
      <c r="AM22" s="343">
        <v>0</v>
      </c>
      <c r="AN22" s="343">
        <v>0</v>
      </c>
      <c r="AO22" s="343">
        <v>0</v>
      </c>
      <c r="AP22" s="343">
        <v>0</v>
      </c>
      <c r="AQ22" s="343"/>
      <c r="AR22" s="343"/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3">
        <f t="shared" si="14"/>
        <v>0</v>
      </c>
      <c r="V23" s="994"/>
      <c r="W23" s="363"/>
      <c r="X23" s="224"/>
      <c r="Y23" s="976" t="str">
        <f t="shared" si="4"/>
        <v>511ANF50</v>
      </c>
      <c r="Z23" s="938" t="s">
        <v>764</v>
      </c>
      <c r="AA23" s="449"/>
      <c r="AB23" s="449">
        <v>0</v>
      </c>
      <c r="AC23" s="343">
        <v>0</v>
      </c>
      <c r="AD23" s="343">
        <v>0</v>
      </c>
      <c r="AE23" s="343">
        <v>0</v>
      </c>
      <c r="AF23" s="343">
        <v>0</v>
      </c>
      <c r="AG23" s="343">
        <v>0</v>
      </c>
      <c r="AH23" s="343">
        <v>0</v>
      </c>
      <c r="AI23" s="343">
        <v>0</v>
      </c>
      <c r="AJ23" s="343"/>
      <c r="AK23" s="343">
        <v>0</v>
      </c>
      <c r="AL23" s="343">
        <v>0</v>
      </c>
      <c r="AM23" s="343">
        <v>0</v>
      </c>
      <c r="AN23" s="343">
        <v>0</v>
      </c>
      <c r="AO23" s="343">
        <v>0</v>
      </c>
      <c r="AP23" s="343">
        <v>0</v>
      </c>
      <c r="AQ23" s="343"/>
      <c r="AR23" s="343"/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836300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3">
        <f t="shared" si="14"/>
        <v>0</v>
      </c>
      <c r="V24" s="994"/>
      <c r="W24" s="363"/>
      <c r="X24" s="224"/>
      <c r="Y24" s="976" t="str">
        <f t="shared" si="4"/>
        <v>511ANFTL350</v>
      </c>
      <c r="Z24" s="938">
        <v>113591</v>
      </c>
      <c r="AA24" s="449"/>
      <c r="AB24" s="449">
        <v>0</v>
      </c>
      <c r="AC24" s="343">
        <v>0</v>
      </c>
      <c r="AD24" s="343">
        <v>0</v>
      </c>
      <c r="AE24" s="343">
        <v>0</v>
      </c>
      <c r="AF24" s="343">
        <v>0</v>
      </c>
      <c r="AG24" s="343">
        <v>0</v>
      </c>
      <c r="AH24" s="343">
        <v>0</v>
      </c>
      <c r="AI24" s="343">
        <v>0</v>
      </c>
      <c r="AJ24" s="343"/>
      <c r="AK24" s="343">
        <v>0</v>
      </c>
      <c r="AL24" s="343">
        <v>0</v>
      </c>
      <c r="AM24" s="343">
        <v>0</v>
      </c>
      <c r="AN24" s="343">
        <v>0</v>
      </c>
      <c r="AO24" s="343">
        <v>0</v>
      </c>
      <c r="AP24" s="343">
        <v>0</v>
      </c>
      <c r="AQ24" s="343"/>
      <c r="AR24" s="343"/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3">
        <f>IF(T25=0,0,P25/T25)</f>
        <v>0</v>
      </c>
      <c r="V25" s="994"/>
      <c r="W25" s="363"/>
      <c r="X25" s="224"/>
      <c r="Y25" s="976" t="str">
        <f t="shared" si="4"/>
        <v>511ANFTL3P1250</v>
      </c>
      <c r="Z25" s="938">
        <v>11359812</v>
      </c>
      <c r="AA25" s="449"/>
      <c r="AB25" s="449">
        <v>0</v>
      </c>
      <c r="AC25" s="343">
        <v>0</v>
      </c>
      <c r="AD25" s="343">
        <v>0</v>
      </c>
      <c r="AE25" s="343">
        <v>0</v>
      </c>
      <c r="AF25" s="343">
        <v>0</v>
      </c>
      <c r="AG25" s="343">
        <v>0</v>
      </c>
      <c r="AH25" s="343">
        <v>0</v>
      </c>
      <c r="AI25" s="343">
        <v>0</v>
      </c>
      <c r="AJ25" s="343"/>
      <c r="AK25" s="343">
        <v>0</v>
      </c>
      <c r="AL25" s="343">
        <v>0</v>
      </c>
      <c r="AM25" s="343">
        <v>0</v>
      </c>
      <c r="AN25" s="343">
        <v>0</v>
      </c>
      <c r="AO25" s="343">
        <v>0</v>
      </c>
      <c r="AP25" s="343">
        <v>0</v>
      </c>
      <c r="AQ25" s="343"/>
      <c r="AR25" s="343"/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3">
        <f t="shared" ref="U26:U35" si="16">IF(T26=0,0,P26/T26)</f>
        <v>0</v>
      </c>
      <c r="V26" s="994"/>
      <c r="W26" s="363"/>
      <c r="X26" s="224"/>
      <c r="Y26" s="976" t="str">
        <f t="shared" si="4"/>
        <v>511ANFP1250</v>
      </c>
      <c r="Z26" s="938">
        <v>11352812</v>
      </c>
      <c r="AA26" s="449"/>
      <c r="AB26" s="449">
        <v>0</v>
      </c>
      <c r="AC26" s="343">
        <v>0</v>
      </c>
      <c r="AD26" s="343">
        <v>0</v>
      </c>
      <c r="AE26" s="343">
        <v>0</v>
      </c>
      <c r="AF26" s="343">
        <v>0</v>
      </c>
      <c r="AG26" s="343">
        <v>0</v>
      </c>
      <c r="AH26" s="343">
        <v>0</v>
      </c>
      <c r="AI26" s="343">
        <v>0</v>
      </c>
      <c r="AJ26" s="343"/>
      <c r="AK26" s="343">
        <v>0</v>
      </c>
      <c r="AL26" s="343">
        <v>0</v>
      </c>
      <c r="AM26" s="343">
        <v>0</v>
      </c>
      <c r="AN26" s="343">
        <v>0</v>
      </c>
      <c r="AO26" s="343">
        <v>0</v>
      </c>
      <c r="AP26" s="343">
        <v>0</v>
      </c>
      <c r="AQ26" s="343"/>
      <c r="AR26" s="343"/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504650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3">
        <f t="shared" si="16"/>
        <v>0</v>
      </c>
      <c r="V27" s="994"/>
      <c r="W27" s="363"/>
      <c r="X27" s="224"/>
      <c r="Y27" s="976" t="str">
        <f t="shared" si="4"/>
        <v>511ANFP3550</v>
      </c>
      <c r="Z27" s="938">
        <v>11352835</v>
      </c>
      <c r="AA27" s="449"/>
      <c r="AB27" s="449">
        <v>0</v>
      </c>
      <c r="AC27" s="343">
        <v>0</v>
      </c>
      <c r="AD27" s="343">
        <v>0</v>
      </c>
      <c r="AE27" s="343">
        <v>0</v>
      </c>
      <c r="AF27" s="343">
        <v>0</v>
      </c>
      <c r="AG27" s="343">
        <v>0</v>
      </c>
      <c r="AH27" s="343">
        <v>0</v>
      </c>
      <c r="AI27" s="343">
        <v>0</v>
      </c>
      <c r="AJ27" s="343"/>
      <c r="AK27" s="343">
        <v>0</v>
      </c>
      <c r="AL27" s="343">
        <v>0</v>
      </c>
      <c r="AM27" s="343">
        <v>0</v>
      </c>
      <c r="AN27" s="343">
        <v>0</v>
      </c>
      <c r="AO27" s="343">
        <v>0</v>
      </c>
      <c r="AP27" s="343">
        <v>0</v>
      </c>
      <c r="AQ27" s="343"/>
      <c r="AR27" s="343"/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3">
        <f t="shared" si="16"/>
        <v>0</v>
      </c>
      <c r="V28" s="994"/>
      <c r="W28" s="363"/>
      <c r="X28" s="224"/>
      <c r="Y28" s="976" t="str">
        <f>B28&amp;D28</f>
        <v>511ANFP8150</v>
      </c>
      <c r="Z28" s="938">
        <v>11352881</v>
      </c>
      <c r="AA28" s="449"/>
      <c r="AB28" s="449">
        <v>0</v>
      </c>
      <c r="AC28" s="343">
        <v>0</v>
      </c>
      <c r="AD28" s="343">
        <v>0</v>
      </c>
      <c r="AE28" s="343">
        <v>0</v>
      </c>
      <c r="AF28" s="343">
        <v>0</v>
      </c>
      <c r="AG28" s="343">
        <v>0</v>
      </c>
      <c r="AH28" s="343">
        <v>0</v>
      </c>
      <c r="AI28" s="343">
        <v>0</v>
      </c>
      <c r="AJ28" s="343"/>
      <c r="AK28" s="343">
        <v>0</v>
      </c>
      <c r="AL28" s="343">
        <v>0</v>
      </c>
      <c r="AM28" s="343">
        <v>0</v>
      </c>
      <c r="AN28" s="343">
        <v>0</v>
      </c>
      <c r="AO28" s="343">
        <v>0</v>
      </c>
      <c r="AP28" s="343">
        <v>0</v>
      </c>
      <c r="AQ28" s="343"/>
      <c r="AR28" s="343"/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3">
        <f t="shared" si="16"/>
        <v>0</v>
      </c>
      <c r="V29" s="994"/>
      <c r="W29" s="363"/>
      <c r="X29" s="224"/>
      <c r="Y29" s="976" t="str">
        <f t="shared" si="4"/>
        <v>511ANFP8750</v>
      </c>
      <c r="Z29" s="938">
        <v>11352887</v>
      </c>
      <c r="AA29" s="449"/>
      <c r="AB29" s="449">
        <v>0</v>
      </c>
      <c r="AC29" s="343">
        <v>0</v>
      </c>
      <c r="AD29" s="343">
        <v>0</v>
      </c>
      <c r="AE29" s="343">
        <v>0</v>
      </c>
      <c r="AF29" s="343">
        <v>0</v>
      </c>
      <c r="AG29" s="343">
        <v>0</v>
      </c>
      <c r="AH29" s="343">
        <v>0</v>
      </c>
      <c r="AI29" s="343">
        <v>0</v>
      </c>
      <c r="AJ29" s="343"/>
      <c r="AK29" s="343">
        <v>0</v>
      </c>
      <c r="AL29" s="343">
        <v>0</v>
      </c>
      <c r="AM29" s="343">
        <v>0</v>
      </c>
      <c r="AN29" s="343">
        <v>0</v>
      </c>
      <c r="AO29" s="343">
        <v>0</v>
      </c>
      <c r="AP29" s="343">
        <v>0</v>
      </c>
      <c r="AQ29" s="343"/>
      <c r="AR29" s="343"/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3">
        <f t="shared" si="16"/>
        <v>0</v>
      </c>
      <c r="V30" s="994"/>
      <c r="W30" s="363"/>
      <c r="X30" s="224"/>
      <c r="Y30" s="976" t="str">
        <f t="shared" si="4"/>
        <v>511ANFP8850</v>
      </c>
      <c r="Z30" s="938">
        <v>11352888</v>
      </c>
      <c r="AA30" s="449"/>
      <c r="AB30" s="449">
        <v>0</v>
      </c>
      <c r="AC30" s="343">
        <v>0</v>
      </c>
      <c r="AD30" s="343">
        <v>0</v>
      </c>
      <c r="AE30" s="343">
        <v>0</v>
      </c>
      <c r="AF30" s="343">
        <v>0</v>
      </c>
      <c r="AG30" s="343">
        <v>0</v>
      </c>
      <c r="AH30" s="343">
        <v>0</v>
      </c>
      <c r="AI30" s="343">
        <v>0</v>
      </c>
      <c r="AJ30" s="343"/>
      <c r="AK30" s="343">
        <v>0</v>
      </c>
      <c r="AL30" s="343">
        <v>0</v>
      </c>
      <c r="AM30" s="343">
        <v>0</v>
      </c>
      <c r="AN30" s="343">
        <v>0</v>
      </c>
      <c r="AO30" s="343">
        <v>0</v>
      </c>
      <c r="AP30" s="343">
        <v>0</v>
      </c>
      <c r="AQ30" s="343"/>
      <c r="AR30" s="343"/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3">
        <f t="shared" si="16"/>
        <v>0</v>
      </c>
      <c r="V31" s="994"/>
      <c r="W31" s="363"/>
      <c r="X31" s="224"/>
      <c r="Y31" s="976" t="str">
        <f t="shared" si="4"/>
        <v>511ANFP8950</v>
      </c>
      <c r="Z31" s="938">
        <v>11352889</v>
      </c>
      <c r="AA31" s="449"/>
      <c r="AB31" s="449">
        <v>0</v>
      </c>
      <c r="AC31" s="343">
        <v>0</v>
      </c>
      <c r="AD31" s="343">
        <v>0</v>
      </c>
      <c r="AE31" s="343">
        <v>0</v>
      </c>
      <c r="AF31" s="343">
        <v>0</v>
      </c>
      <c r="AG31" s="343">
        <v>0</v>
      </c>
      <c r="AH31" s="343">
        <v>0</v>
      </c>
      <c r="AI31" s="343">
        <v>0</v>
      </c>
      <c r="AJ31" s="343"/>
      <c r="AK31" s="343">
        <v>0</v>
      </c>
      <c r="AL31" s="343">
        <v>0</v>
      </c>
      <c r="AM31" s="343">
        <v>0</v>
      </c>
      <c r="AN31" s="343">
        <v>0</v>
      </c>
      <c r="AO31" s="343">
        <v>0</v>
      </c>
      <c r="AP31" s="343">
        <v>0</v>
      </c>
      <c r="AQ31" s="343"/>
      <c r="AR31" s="343"/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3">
        <f t="shared" si="16"/>
        <v>0</v>
      </c>
      <c r="V32" s="994"/>
      <c r="W32" s="363"/>
      <c r="X32" s="224"/>
      <c r="Y32" s="976" t="str">
        <f>B32&amp;D32</f>
        <v>511ANFP9150</v>
      </c>
      <c r="Z32" s="938">
        <v>11352891</v>
      </c>
      <c r="AA32" s="449"/>
      <c r="AB32" s="449">
        <v>0</v>
      </c>
      <c r="AC32" s="343">
        <v>0</v>
      </c>
      <c r="AD32" s="343">
        <v>0</v>
      </c>
      <c r="AE32" s="343">
        <v>0</v>
      </c>
      <c r="AF32" s="343">
        <v>0</v>
      </c>
      <c r="AG32" s="343">
        <v>0</v>
      </c>
      <c r="AH32" s="343">
        <v>0</v>
      </c>
      <c r="AI32" s="343">
        <v>0</v>
      </c>
      <c r="AJ32" s="343"/>
      <c r="AK32" s="343">
        <v>0</v>
      </c>
      <c r="AL32" s="343">
        <v>0</v>
      </c>
      <c r="AM32" s="343">
        <v>0</v>
      </c>
      <c r="AN32" s="343">
        <v>0</v>
      </c>
      <c r="AO32" s="343">
        <v>0</v>
      </c>
      <c r="AP32" s="343">
        <v>0</v>
      </c>
      <c r="AQ32" s="343"/>
      <c r="AR32" s="343"/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807</v>
      </c>
      <c r="F33" s="100">
        <f>SUMIF(pro!$A:$A,INTGRATE!$Y:$Y,pro!$N:$N)</f>
        <v>0</v>
      </c>
      <c r="G33" s="344"/>
      <c r="H33" s="344">
        <f>SUMIF(CBIN!$A:$A,INTGRATE!$Y:$Y,CBIN!$G:$G)</f>
        <v>0</v>
      </c>
      <c r="I33" s="343">
        <f>SUMIF(data!$D:$D,INTGRATE!$B33&amp;INTGRATE!$D33,data!$J:$J)</f>
        <v>0</v>
      </c>
      <c r="J33" s="343"/>
      <c r="K33" s="343"/>
      <c r="L33" s="343">
        <f>SUMIF(data!$D:$D,INTGRATE!$B33&amp;INTGRATE!$D33,data!$K:$K)</f>
        <v>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807</v>
      </c>
      <c r="P33" s="344">
        <f t="shared" si="1"/>
        <v>40350</v>
      </c>
      <c r="Q33" s="344">
        <f>SUM(AA33:BE33)</f>
        <v>109700</v>
      </c>
      <c r="R33" s="344"/>
      <c r="S33" s="344"/>
      <c r="T33" s="346">
        <f t="shared" si="3"/>
        <v>7313.333333333333</v>
      </c>
      <c r="U33" s="993">
        <f t="shared" si="16"/>
        <v>5.5173199635369192</v>
      </c>
      <c r="V33" s="994"/>
      <c r="W33" s="363"/>
      <c r="X33" s="224"/>
      <c r="Y33" s="976" t="str">
        <f>B33&amp;D33</f>
        <v>511ANFP9250</v>
      </c>
      <c r="Z33" s="938">
        <v>11352892</v>
      </c>
      <c r="AA33" s="449"/>
      <c r="AB33" s="449">
        <v>0</v>
      </c>
      <c r="AC33" s="343">
        <v>11350</v>
      </c>
      <c r="AD33" s="343">
        <v>13100</v>
      </c>
      <c r="AE33" s="343">
        <v>0</v>
      </c>
      <c r="AF33" s="343">
        <v>7500</v>
      </c>
      <c r="AG33" s="343">
        <v>4950</v>
      </c>
      <c r="AH33" s="343">
        <v>14450</v>
      </c>
      <c r="AI33" s="343">
        <v>1400</v>
      </c>
      <c r="AJ33" s="343"/>
      <c r="AK33" s="343">
        <v>5150</v>
      </c>
      <c r="AL33" s="343">
        <v>20500</v>
      </c>
      <c r="AM33" s="343">
        <v>17650</v>
      </c>
      <c r="AN33" s="343">
        <v>1550</v>
      </c>
      <c r="AO33" s="343">
        <v>12100</v>
      </c>
      <c r="AP33" s="343">
        <v>0</v>
      </c>
      <c r="AQ33" s="343"/>
      <c r="AR33" s="343"/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109700</v>
      </c>
      <c r="BG33" s="896">
        <f t="shared" si="6"/>
        <v>11</v>
      </c>
      <c r="BH33" s="896">
        <f t="shared" si="7"/>
        <v>9972.7272727272721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3">
        <f t="shared" si="16"/>
        <v>0</v>
      </c>
      <c r="V34" s="994"/>
      <c r="W34" s="363"/>
      <c r="X34" s="224"/>
      <c r="Y34" s="976" t="str">
        <f t="shared" si="4"/>
        <v>511ANFP8550</v>
      </c>
      <c r="Z34" s="938">
        <v>11352885</v>
      </c>
      <c r="AA34" s="449"/>
      <c r="AB34" s="449">
        <v>0</v>
      </c>
      <c r="AC34" s="343">
        <v>0</v>
      </c>
      <c r="AD34" s="343">
        <v>0</v>
      </c>
      <c r="AE34" s="343">
        <v>0</v>
      </c>
      <c r="AF34" s="343">
        <v>0</v>
      </c>
      <c r="AG34" s="343">
        <v>0</v>
      </c>
      <c r="AH34" s="343">
        <v>0</v>
      </c>
      <c r="AI34" s="343">
        <v>0</v>
      </c>
      <c r="AJ34" s="343"/>
      <c r="AK34" s="343">
        <v>0</v>
      </c>
      <c r="AL34" s="343">
        <v>0</v>
      </c>
      <c r="AM34" s="343">
        <v>0</v>
      </c>
      <c r="AN34" s="343">
        <v>0</v>
      </c>
      <c r="AO34" s="343">
        <v>0</v>
      </c>
      <c r="AP34" s="343">
        <v>0</v>
      </c>
      <c r="AQ34" s="343"/>
      <c r="AR34" s="343"/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3">
        <f t="shared" si="16"/>
        <v>0</v>
      </c>
      <c r="V35" s="994"/>
      <c r="W35" s="363"/>
      <c r="X35" s="224"/>
      <c r="Y35" s="976" t="str">
        <f t="shared" si="4"/>
        <v>511F50</v>
      </c>
      <c r="Z35" s="938" t="s">
        <v>765</v>
      </c>
      <c r="AA35" s="449"/>
      <c r="AB35" s="449">
        <v>0</v>
      </c>
      <c r="AC35" s="343">
        <v>0</v>
      </c>
      <c r="AD35" s="343">
        <v>0</v>
      </c>
      <c r="AE35" s="343">
        <v>0</v>
      </c>
      <c r="AF35" s="343">
        <v>0</v>
      </c>
      <c r="AG35" s="343">
        <v>0</v>
      </c>
      <c r="AH35" s="343">
        <v>0</v>
      </c>
      <c r="AI35" s="343">
        <v>0</v>
      </c>
      <c r="AJ35" s="343"/>
      <c r="AK35" s="343">
        <v>0</v>
      </c>
      <c r="AL35" s="343">
        <v>0</v>
      </c>
      <c r="AM35" s="343">
        <v>0</v>
      </c>
      <c r="AN35" s="343">
        <v>0</v>
      </c>
      <c r="AO35" s="343">
        <v>0</v>
      </c>
      <c r="AP35" s="343">
        <v>0</v>
      </c>
      <c r="AQ35" s="343"/>
      <c r="AR35" s="343"/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0</v>
      </c>
      <c r="P36" s="344">
        <f t="shared" si="1"/>
        <v>0</v>
      </c>
      <c r="Q36" s="344">
        <f t="shared" si="18"/>
        <v>95000</v>
      </c>
      <c r="R36" s="344"/>
      <c r="S36" s="344"/>
      <c r="T36" s="346">
        <f t="shared" si="3"/>
        <v>6333.333333333333</v>
      </c>
      <c r="U36" s="993">
        <f t="shared" ref="U36:U61" si="19">IF(T36=0,0,P36/T36)</f>
        <v>0</v>
      </c>
      <c r="V36" s="994"/>
      <c r="W36" s="409"/>
      <c r="X36" s="224"/>
      <c r="Y36" s="976" t="str">
        <f t="shared" ref="Y36:Y97" si="20">B36&amp;D36</f>
        <v>511NF50</v>
      </c>
      <c r="Z36" s="938" t="s">
        <v>766</v>
      </c>
      <c r="AA36" s="449"/>
      <c r="AB36" s="449">
        <v>0</v>
      </c>
      <c r="AC36" s="343">
        <v>0</v>
      </c>
      <c r="AD36" s="343">
        <v>16000</v>
      </c>
      <c r="AE36" s="343">
        <v>29000</v>
      </c>
      <c r="AF36" s="343">
        <v>44750</v>
      </c>
      <c r="AG36" s="343">
        <v>5250</v>
      </c>
      <c r="AH36" s="343">
        <v>0</v>
      </c>
      <c r="AI36" s="343">
        <v>0</v>
      </c>
      <c r="AJ36" s="343"/>
      <c r="AK36" s="343">
        <v>0</v>
      </c>
      <c r="AL36" s="343">
        <v>0</v>
      </c>
      <c r="AM36" s="343">
        <v>0</v>
      </c>
      <c r="AN36" s="343">
        <v>0</v>
      </c>
      <c r="AO36" s="343">
        <v>0</v>
      </c>
      <c r="AP36" s="343">
        <v>0</v>
      </c>
      <c r="AQ36" s="343"/>
      <c r="AR36" s="343"/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95000</v>
      </c>
      <c r="BG36" s="896">
        <f t="shared" si="6"/>
        <v>4</v>
      </c>
      <c r="BH36" s="896">
        <f t="shared" si="7"/>
        <v>23750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3">
        <f>IF(T37=0,0,P37/T37)</f>
        <v>0</v>
      </c>
      <c r="V37" s="994"/>
      <c r="W37" s="409"/>
      <c r="X37" s="224"/>
      <c r="Y37" s="976" t="str">
        <f t="shared" si="20"/>
        <v>511NFTL350</v>
      </c>
      <c r="Z37" s="938">
        <v>114591</v>
      </c>
      <c r="AA37" s="449"/>
      <c r="AB37" s="449">
        <v>0</v>
      </c>
      <c r="AC37" s="343">
        <v>0</v>
      </c>
      <c r="AD37" s="343">
        <v>0</v>
      </c>
      <c r="AE37" s="343">
        <v>0</v>
      </c>
      <c r="AF37" s="343">
        <v>0</v>
      </c>
      <c r="AG37" s="343">
        <v>0</v>
      </c>
      <c r="AH37" s="343">
        <v>0</v>
      </c>
      <c r="AI37" s="343">
        <v>0</v>
      </c>
      <c r="AJ37" s="343"/>
      <c r="AK37" s="343">
        <v>0</v>
      </c>
      <c r="AL37" s="343">
        <v>0</v>
      </c>
      <c r="AM37" s="343">
        <v>0</v>
      </c>
      <c r="AN37" s="343">
        <v>0</v>
      </c>
      <c r="AO37" s="343">
        <v>0</v>
      </c>
      <c r="AP37" s="343">
        <v>0</v>
      </c>
      <c r="AQ37" s="343"/>
      <c r="AR37" s="343"/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3">
        <f>IF(T38=0,0,P38/T38)</f>
        <v>0</v>
      </c>
      <c r="V38" s="994"/>
      <c r="W38" s="409"/>
      <c r="X38" s="224"/>
      <c r="Y38" s="976" t="str">
        <f t="shared" si="20"/>
        <v>511NFP3150</v>
      </c>
      <c r="Z38" s="938">
        <v>11452831</v>
      </c>
      <c r="AA38" s="449"/>
      <c r="AB38" s="449">
        <v>0</v>
      </c>
      <c r="AC38" s="343">
        <v>0</v>
      </c>
      <c r="AD38" s="343">
        <v>0</v>
      </c>
      <c r="AE38" s="343">
        <v>0</v>
      </c>
      <c r="AF38" s="343">
        <v>0</v>
      </c>
      <c r="AG38" s="343">
        <v>0</v>
      </c>
      <c r="AH38" s="343">
        <v>0</v>
      </c>
      <c r="AI38" s="343">
        <v>0</v>
      </c>
      <c r="AJ38" s="343"/>
      <c r="AK38" s="343">
        <v>0</v>
      </c>
      <c r="AL38" s="343">
        <v>0</v>
      </c>
      <c r="AM38" s="343">
        <v>0</v>
      </c>
      <c r="AN38" s="343">
        <v>0</v>
      </c>
      <c r="AO38" s="343">
        <v>0</v>
      </c>
      <c r="AP38" s="343">
        <v>0</v>
      </c>
      <c r="AQ38" s="343"/>
      <c r="AR38" s="343"/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3">
        <f>IF(T39=0,0,P39/T39)</f>
        <v>0</v>
      </c>
      <c r="V39" s="994"/>
      <c r="W39" s="409"/>
      <c r="X39" s="224"/>
      <c r="Y39" s="976" t="str">
        <f>B39&amp;D39</f>
        <v>511NFP3250</v>
      </c>
      <c r="Z39" s="938">
        <v>11452832</v>
      </c>
      <c r="AA39" s="449"/>
      <c r="AB39" s="449">
        <v>0</v>
      </c>
      <c r="AC39" s="343">
        <v>0</v>
      </c>
      <c r="AD39" s="343">
        <v>0</v>
      </c>
      <c r="AE39" s="343">
        <v>0</v>
      </c>
      <c r="AF39" s="343">
        <v>0</v>
      </c>
      <c r="AG39" s="343">
        <v>0</v>
      </c>
      <c r="AH39" s="343">
        <v>0</v>
      </c>
      <c r="AI39" s="343">
        <v>0</v>
      </c>
      <c r="AJ39" s="343"/>
      <c r="AK39" s="343">
        <v>0</v>
      </c>
      <c r="AL39" s="343">
        <v>0</v>
      </c>
      <c r="AM39" s="343">
        <v>0</v>
      </c>
      <c r="AN39" s="343">
        <v>0</v>
      </c>
      <c r="AO39" s="343">
        <v>0</v>
      </c>
      <c r="AP39" s="343">
        <v>0</v>
      </c>
      <c r="AQ39" s="343"/>
      <c r="AR39" s="343"/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3">
        <f t="shared" si="19"/>
        <v>0</v>
      </c>
      <c r="V40" s="994"/>
      <c r="W40" s="363"/>
      <c r="X40" s="224"/>
      <c r="Y40" s="976" t="str">
        <f>B40&amp;D40</f>
        <v>511NFP3350</v>
      </c>
      <c r="Z40" s="938">
        <v>11452833</v>
      </c>
      <c r="AA40" s="449"/>
      <c r="AB40" s="449">
        <v>0</v>
      </c>
      <c r="AC40" s="343">
        <v>0</v>
      </c>
      <c r="AD40" s="343">
        <v>0</v>
      </c>
      <c r="AE40" s="343">
        <v>0</v>
      </c>
      <c r="AF40" s="343">
        <v>0</v>
      </c>
      <c r="AG40" s="343">
        <v>0</v>
      </c>
      <c r="AH40" s="343">
        <v>0</v>
      </c>
      <c r="AI40" s="343">
        <v>0</v>
      </c>
      <c r="AJ40" s="343"/>
      <c r="AK40" s="343">
        <v>0</v>
      </c>
      <c r="AL40" s="343">
        <v>0</v>
      </c>
      <c r="AM40" s="343">
        <v>0</v>
      </c>
      <c r="AN40" s="343">
        <v>0</v>
      </c>
      <c r="AO40" s="343">
        <v>0</v>
      </c>
      <c r="AP40" s="343">
        <v>0</v>
      </c>
      <c r="AQ40" s="343"/>
      <c r="AR40" s="343"/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1360</v>
      </c>
      <c r="F41" s="100">
        <f>SUMIF(pro!$A:$A,INTGRATE!$Y:$Y,pro!$N:$N)</f>
        <v>0</v>
      </c>
      <c r="G41" s="344"/>
      <c r="H41" s="344">
        <f>SUMIF(CBIN!$A:$A,INTGRATE!$Y:$Y,CBIN!$G:$G)</f>
        <v>0</v>
      </c>
      <c r="I41" s="343">
        <f>SUMIF(data!$D:$D,INTGRATE!$B41&amp;INTGRATE!$D41,data!$J:$J)</f>
        <v>0</v>
      </c>
      <c r="J41" s="343"/>
      <c r="K41" s="343"/>
      <c r="L41" s="343">
        <f>SUMIF(data!$D:$D,INTGRATE!$B41&amp;INTGRATE!$D41,data!$K:$K)</f>
        <v>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1360</v>
      </c>
      <c r="P41" s="344">
        <f t="shared" si="1"/>
        <v>68000</v>
      </c>
      <c r="Q41" s="344">
        <f t="shared" si="18"/>
        <v>215000</v>
      </c>
      <c r="R41" s="344"/>
      <c r="S41" s="344"/>
      <c r="T41" s="346">
        <f t="shared" si="3"/>
        <v>14333.333333333334</v>
      </c>
      <c r="U41" s="993">
        <f t="shared" si="19"/>
        <v>4.7441860465116275</v>
      </c>
      <c r="V41" s="994"/>
      <c r="W41" s="363"/>
      <c r="X41" s="224"/>
      <c r="Y41" s="976" t="str">
        <f t="shared" si="20"/>
        <v>511NFP3550</v>
      </c>
      <c r="Z41" s="938">
        <v>11452835</v>
      </c>
      <c r="AA41" s="449"/>
      <c r="AB41" s="449">
        <v>44000</v>
      </c>
      <c r="AC41" s="343">
        <v>21300</v>
      </c>
      <c r="AD41" s="343">
        <v>0</v>
      </c>
      <c r="AE41" s="343">
        <v>0</v>
      </c>
      <c r="AF41" s="343">
        <v>0</v>
      </c>
      <c r="AG41" s="343">
        <v>27400</v>
      </c>
      <c r="AH41" s="343">
        <v>14000</v>
      </c>
      <c r="AI41" s="343">
        <v>0</v>
      </c>
      <c r="AJ41" s="343"/>
      <c r="AK41" s="343">
        <v>40450</v>
      </c>
      <c r="AL41" s="343">
        <v>8750</v>
      </c>
      <c r="AM41" s="343">
        <v>38550</v>
      </c>
      <c r="AN41" s="343">
        <v>7900</v>
      </c>
      <c r="AO41" s="343">
        <v>12650</v>
      </c>
      <c r="AP41" s="343">
        <v>0</v>
      </c>
      <c r="AQ41" s="343"/>
      <c r="AR41" s="343"/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215000</v>
      </c>
      <c r="BG41" s="896">
        <f t="shared" si="6"/>
        <v>9</v>
      </c>
      <c r="BH41" s="896">
        <f t="shared" si="7"/>
        <v>23888.888888888891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3">
        <f t="shared" si="19"/>
        <v>0</v>
      </c>
      <c r="V42" s="994"/>
      <c r="W42" s="363"/>
      <c r="X42" s="224"/>
      <c r="Y42" s="976" t="str">
        <f t="shared" si="20"/>
        <v>511NFP8550</v>
      </c>
      <c r="Z42" s="938">
        <v>11452885</v>
      </c>
      <c r="AA42" s="449"/>
      <c r="AB42" s="449">
        <v>0</v>
      </c>
      <c r="AC42" s="343">
        <v>0</v>
      </c>
      <c r="AD42" s="343">
        <v>0</v>
      </c>
      <c r="AE42" s="343">
        <v>0</v>
      </c>
      <c r="AF42" s="343">
        <v>0</v>
      </c>
      <c r="AG42" s="343">
        <v>0</v>
      </c>
      <c r="AH42" s="343">
        <v>0</v>
      </c>
      <c r="AI42" s="343">
        <v>0</v>
      </c>
      <c r="AJ42" s="343"/>
      <c r="AK42" s="343">
        <v>0</v>
      </c>
      <c r="AL42" s="343">
        <v>0</v>
      </c>
      <c r="AM42" s="343">
        <v>0</v>
      </c>
      <c r="AN42" s="343">
        <v>0</v>
      </c>
      <c r="AO42" s="343">
        <v>0</v>
      </c>
      <c r="AP42" s="343">
        <v>0</v>
      </c>
      <c r="AQ42" s="343"/>
      <c r="AR42" s="343"/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3">
        <f>IF(T43=0,0,P43/T43)</f>
        <v>0</v>
      </c>
      <c r="V43" s="994"/>
      <c r="W43" s="363"/>
      <c r="X43" s="224"/>
      <c r="Y43" s="976" t="str">
        <f>B43&amp;D43</f>
        <v>511NFP8750</v>
      </c>
      <c r="Z43" s="938">
        <v>11452887</v>
      </c>
      <c r="AA43" s="449"/>
      <c r="AB43" s="449">
        <v>0</v>
      </c>
      <c r="AC43" s="343">
        <v>0</v>
      </c>
      <c r="AD43" s="343">
        <v>0</v>
      </c>
      <c r="AE43" s="343">
        <v>0</v>
      </c>
      <c r="AF43" s="343">
        <v>0</v>
      </c>
      <c r="AG43" s="343">
        <v>0</v>
      </c>
      <c r="AH43" s="343">
        <v>0</v>
      </c>
      <c r="AI43" s="343">
        <v>0</v>
      </c>
      <c r="AJ43" s="343"/>
      <c r="AK43" s="343">
        <v>0</v>
      </c>
      <c r="AL43" s="343">
        <v>0</v>
      </c>
      <c r="AM43" s="343">
        <v>0</v>
      </c>
      <c r="AN43" s="343">
        <v>0</v>
      </c>
      <c r="AO43" s="343">
        <v>0</v>
      </c>
      <c r="AP43" s="343">
        <v>0</v>
      </c>
      <c r="AQ43" s="343"/>
      <c r="AR43" s="343"/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3">
        <f>IF(T44=0,0,P44/T44)</f>
        <v>0</v>
      </c>
      <c r="V44" s="994"/>
      <c r="W44" s="363"/>
      <c r="X44" s="224"/>
      <c r="Y44" s="976" t="str">
        <f>B44&amp;D44</f>
        <v>513FTL350</v>
      </c>
      <c r="Z44" s="938">
        <v>115591</v>
      </c>
      <c r="AA44" s="449"/>
      <c r="AB44" s="449">
        <v>0</v>
      </c>
      <c r="AC44" s="343">
        <v>0</v>
      </c>
      <c r="AD44" s="343">
        <v>0</v>
      </c>
      <c r="AE44" s="343">
        <v>0</v>
      </c>
      <c r="AF44" s="343">
        <v>0</v>
      </c>
      <c r="AG44" s="343">
        <v>0</v>
      </c>
      <c r="AH44" s="343">
        <v>0</v>
      </c>
      <c r="AI44" s="343">
        <v>0</v>
      </c>
      <c r="AJ44" s="343"/>
      <c r="AK44" s="343">
        <v>0</v>
      </c>
      <c r="AL44" s="343">
        <v>0</v>
      </c>
      <c r="AM44" s="343">
        <v>0</v>
      </c>
      <c r="AN44" s="343">
        <v>0</v>
      </c>
      <c r="AO44" s="343">
        <v>0</v>
      </c>
      <c r="AP44" s="343">
        <v>0</v>
      </c>
      <c r="AQ44" s="343"/>
      <c r="AR44" s="343"/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980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158</v>
      </c>
      <c r="J45" s="343"/>
      <c r="K45" s="343"/>
      <c r="L45" s="343">
        <f>SUMIF(data!$D:$D,INTGRATE!$B45&amp;INTGRATE!$D45,data!$K:$K)</f>
        <v>7900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822</v>
      </c>
      <c r="P45" s="344">
        <f t="shared" si="1"/>
        <v>41100</v>
      </c>
      <c r="Q45" s="344">
        <f t="shared" si="18"/>
        <v>206800</v>
      </c>
      <c r="R45" s="344"/>
      <c r="S45" s="344"/>
      <c r="T45" s="346">
        <f t="shared" si="21"/>
        <v>13786.666666666666</v>
      </c>
      <c r="U45" s="993">
        <f t="shared" si="19"/>
        <v>2.9811411992263057</v>
      </c>
      <c r="V45" s="994"/>
      <c r="W45" s="612"/>
      <c r="X45" s="613"/>
      <c r="Y45" s="976" t="str">
        <f t="shared" si="20"/>
        <v>513F50</v>
      </c>
      <c r="Z45" s="938" t="s">
        <v>767</v>
      </c>
      <c r="AA45" s="449"/>
      <c r="AB45" s="449">
        <v>15450</v>
      </c>
      <c r="AC45" s="343">
        <v>0</v>
      </c>
      <c r="AD45" s="343">
        <v>0</v>
      </c>
      <c r="AE45" s="343">
        <v>25350</v>
      </c>
      <c r="AF45" s="343">
        <v>0</v>
      </c>
      <c r="AG45" s="343">
        <v>0</v>
      </c>
      <c r="AH45" s="343">
        <v>41000</v>
      </c>
      <c r="AI45" s="343">
        <v>21450</v>
      </c>
      <c r="AJ45" s="343"/>
      <c r="AK45" s="343">
        <v>15900</v>
      </c>
      <c r="AL45" s="343">
        <v>18000</v>
      </c>
      <c r="AM45" s="343">
        <v>41750</v>
      </c>
      <c r="AN45" s="343">
        <v>8000</v>
      </c>
      <c r="AO45" s="343">
        <v>12000</v>
      </c>
      <c r="AP45" s="343">
        <v>7900</v>
      </c>
      <c r="AQ45" s="343"/>
      <c r="AR45" s="343"/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206800</v>
      </c>
      <c r="BG45" s="896">
        <f t="shared" si="6"/>
        <v>10</v>
      </c>
      <c r="BH45" s="896">
        <f t="shared" si="7"/>
        <v>20680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3">
        <f t="shared" si="19"/>
        <v>0</v>
      </c>
      <c r="V46" s="994"/>
      <c r="W46" s="409"/>
      <c r="X46" s="224"/>
      <c r="Y46" s="976" t="str">
        <f t="shared" si="20"/>
        <v>521F50</v>
      </c>
      <c r="Z46" s="938" t="s">
        <v>768</v>
      </c>
      <c r="AA46" s="449"/>
      <c r="AB46" s="449">
        <v>0</v>
      </c>
      <c r="AC46" s="343">
        <v>0</v>
      </c>
      <c r="AD46" s="343">
        <v>0</v>
      </c>
      <c r="AE46" s="343">
        <v>0</v>
      </c>
      <c r="AF46" s="343">
        <v>0</v>
      </c>
      <c r="AG46" s="343">
        <v>0</v>
      </c>
      <c r="AH46" s="343">
        <v>0</v>
      </c>
      <c r="AI46" s="343">
        <v>0</v>
      </c>
      <c r="AJ46" s="343"/>
      <c r="AK46" s="343">
        <v>0</v>
      </c>
      <c r="AL46" s="343">
        <v>0</v>
      </c>
      <c r="AM46" s="343">
        <v>0</v>
      </c>
      <c r="AN46" s="343">
        <v>0</v>
      </c>
      <c r="AO46" s="343">
        <v>0</v>
      </c>
      <c r="AP46" s="343">
        <v>0</v>
      </c>
      <c r="AQ46" s="343"/>
      <c r="AR46" s="343"/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3">
        <f t="shared" si="19"/>
        <v>0</v>
      </c>
      <c r="V47" s="994"/>
      <c r="W47" s="363"/>
      <c r="X47" s="224"/>
      <c r="Y47" s="976" t="str">
        <f t="shared" si="20"/>
        <v>521NF50</v>
      </c>
      <c r="Z47" s="938">
        <v>122021</v>
      </c>
      <c r="AA47" s="449"/>
      <c r="AB47" s="449">
        <v>0</v>
      </c>
      <c r="AC47" s="343">
        <v>0</v>
      </c>
      <c r="AD47" s="343">
        <v>0</v>
      </c>
      <c r="AE47" s="343">
        <v>0</v>
      </c>
      <c r="AF47" s="343">
        <v>0</v>
      </c>
      <c r="AG47" s="343">
        <v>0</v>
      </c>
      <c r="AH47" s="343">
        <v>0</v>
      </c>
      <c r="AI47" s="343">
        <v>0</v>
      </c>
      <c r="AJ47" s="343"/>
      <c r="AK47" s="343">
        <v>0</v>
      </c>
      <c r="AL47" s="343">
        <v>0</v>
      </c>
      <c r="AM47" s="343">
        <v>0</v>
      </c>
      <c r="AN47" s="343">
        <v>0</v>
      </c>
      <c r="AO47" s="343">
        <v>0</v>
      </c>
      <c r="AP47" s="343">
        <v>0</v>
      </c>
      <c r="AQ47" s="343"/>
      <c r="AR47" s="343"/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3">
        <f t="shared" si="19"/>
        <v>0</v>
      </c>
      <c r="V48" s="994"/>
      <c r="W48" s="228"/>
      <c r="X48" s="224"/>
      <c r="Y48" s="976" t="str">
        <f t="shared" si="20"/>
        <v>521NF25</v>
      </c>
      <c r="Z48" s="938">
        <v>122021</v>
      </c>
      <c r="AA48" s="449"/>
      <c r="AB48" s="449">
        <v>0</v>
      </c>
      <c r="AC48" s="343">
        <v>0</v>
      </c>
      <c r="AD48" s="343">
        <v>0</v>
      </c>
      <c r="AE48" s="343">
        <v>0</v>
      </c>
      <c r="AF48" s="343">
        <v>0</v>
      </c>
      <c r="AG48" s="343">
        <v>0</v>
      </c>
      <c r="AH48" s="343">
        <v>0</v>
      </c>
      <c r="AI48" s="343">
        <v>0</v>
      </c>
      <c r="AJ48" s="343"/>
      <c r="AK48" s="343">
        <v>0</v>
      </c>
      <c r="AL48" s="343">
        <v>0</v>
      </c>
      <c r="AM48" s="343">
        <v>0</v>
      </c>
      <c r="AN48" s="343">
        <v>0</v>
      </c>
      <c r="AO48" s="343">
        <v>0</v>
      </c>
      <c r="AP48" s="343">
        <v>0</v>
      </c>
      <c r="AQ48" s="343"/>
      <c r="AR48" s="343"/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3">
        <f t="shared" si="19"/>
        <v>0</v>
      </c>
      <c r="V49" s="994"/>
      <c r="W49" s="409"/>
      <c r="X49" s="224"/>
      <c r="Y49" s="976" t="str">
        <f t="shared" si="20"/>
        <v>521NFP4450</v>
      </c>
      <c r="Z49" s="938">
        <v>12202840</v>
      </c>
      <c r="AA49" s="449"/>
      <c r="AB49" s="449">
        <v>0</v>
      </c>
      <c r="AC49" s="343">
        <v>0</v>
      </c>
      <c r="AD49" s="343">
        <v>0</v>
      </c>
      <c r="AE49" s="343">
        <v>0</v>
      </c>
      <c r="AF49" s="343">
        <v>0</v>
      </c>
      <c r="AG49" s="343">
        <v>0</v>
      </c>
      <c r="AH49" s="343">
        <v>0</v>
      </c>
      <c r="AI49" s="343">
        <v>0</v>
      </c>
      <c r="AJ49" s="343"/>
      <c r="AK49" s="343">
        <v>0</v>
      </c>
      <c r="AL49" s="343">
        <v>0</v>
      </c>
      <c r="AM49" s="343">
        <v>0</v>
      </c>
      <c r="AN49" s="343">
        <v>0</v>
      </c>
      <c r="AO49" s="343">
        <v>0</v>
      </c>
      <c r="AP49" s="343">
        <v>0</v>
      </c>
      <c r="AQ49" s="343"/>
      <c r="AR49" s="343"/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3">
        <f t="shared" si="19"/>
        <v>0</v>
      </c>
      <c r="V50" s="994"/>
      <c r="W50" s="363"/>
      <c r="X50" s="224"/>
      <c r="Y50" s="976" t="str">
        <f t="shared" si="20"/>
        <v>522F50</v>
      </c>
      <c r="Z50" s="938" t="s">
        <v>769</v>
      </c>
      <c r="AA50" s="449"/>
      <c r="AB50" s="449">
        <v>0</v>
      </c>
      <c r="AC50" s="343">
        <v>0</v>
      </c>
      <c r="AD50" s="343">
        <v>0</v>
      </c>
      <c r="AE50" s="343">
        <v>0</v>
      </c>
      <c r="AF50" s="343">
        <v>0</v>
      </c>
      <c r="AG50" s="343">
        <v>0</v>
      </c>
      <c r="AH50" s="343">
        <v>0</v>
      </c>
      <c r="AI50" s="343">
        <v>0</v>
      </c>
      <c r="AJ50" s="343"/>
      <c r="AK50" s="343">
        <v>0</v>
      </c>
      <c r="AL50" s="343">
        <v>0</v>
      </c>
      <c r="AM50" s="343">
        <v>0</v>
      </c>
      <c r="AN50" s="343">
        <v>0</v>
      </c>
      <c r="AO50" s="343">
        <v>0</v>
      </c>
      <c r="AP50" s="343">
        <v>0</v>
      </c>
      <c r="AQ50" s="343"/>
      <c r="AR50" s="343"/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3">
        <f t="shared" si="19"/>
        <v>0</v>
      </c>
      <c r="V51" s="994"/>
      <c r="W51" s="363"/>
      <c r="X51" s="224"/>
      <c r="Y51" s="976" t="str">
        <f t="shared" si="20"/>
        <v>522NF50</v>
      </c>
      <c r="Z51" s="938">
        <v>123021</v>
      </c>
      <c r="AA51" s="449"/>
      <c r="AB51" s="449">
        <v>0</v>
      </c>
      <c r="AC51" s="343">
        <v>0</v>
      </c>
      <c r="AD51" s="343">
        <v>0</v>
      </c>
      <c r="AE51" s="343">
        <v>0</v>
      </c>
      <c r="AF51" s="343">
        <v>0</v>
      </c>
      <c r="AG51" s="343">
        <v>0</v>
      </c>
      <c r="AH51" s="343">
        <v>0</v>
      </c>
      <c r="AI51" s="343">
        <v>0</v>
      </c>
      <c r="AJ51" s="343"/>
      <c r="AK51" s="343">
        <v>0</v>
      </c>
      <c r="AL51" s="343">
        <v>0</v>
      </c>
      <c r="AM51" s="343">
        <v>0</v>
      </c>
      <c r="AN51" s="343">
        <v>0</v>
      </c>
      <c r="AO51" s="343">
        <v>0</v>
      </c>
      <c r="AP51" s="343">
        <v>0</v>
      </c>
      <c r="AQ51" s="343"/>
      <c r="AR51" s="343"/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3">
        <f>IF(T52=0,0,P52/T52)</f>
        <v>0</v>
      </c>
      <c r="V52" s="994"/>
      <c r="W52" s="363"/>
      <c r="X52" s="224"/>
      <c r="Y52" s="976" t="str">
        <f t="shared" si="20"/>
        <v>524F25</v>
      </c>
      <c r="Z52" s="938">
        <v>127001</v>
      </c>
      <c r="AA52" s="449"/>
      <c r="AB52" s="449">
        <v>0</v>
      </c>
      <c r="AC52" s="343">
        <v>0</v>
      </c>
      <c r="AD52" s="343">
        <v>0</v>
      </c>
      <c r="AE52" s="343">
        <v>0</v>
      </c>
      <c r="AF52" s="343">
        <v>0</v>
      </c>
      <c r="AG52" s="343">
        <v>0</v>
      </c>
      <c r="AH52" s="343">
        <v>0</v>
      </c>
      <c r="AI52" s="343">
        <v>0</v>
      </c>
      <c r="AJ52" s="343"/>
      <c r="AK52" s="343">
        <v>0</v>
      </c>
      <c r="AL52" s="343">
        <v>0</v>
      </c>
      <c r="AM52" s="343">
        <v>0</v>
      </c>
      <c r="AN52" s="343">
        <v>0</v>
      </c>
      <c r="AO52" s="343">
        <v>0</v>
      </c>
      <c r="AP52" s="343">
        <v>0</v>
      </c>
      <c r="AQ52" s="343"/>
      <c r="AR52" s="343"/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3">
        <f t="shared" si="19"/>
        <v>0</v>
      </c>
      <c r="V53" s="994"/>
      <c r="W53" s="363"/>
      <c r="X53" s="224"/>
      <c r="Y53" s="976" t="str">
        <f t="shared" si="20"/>
        <v>531NF25</v>
      </c>
      <c r="Z53" s="938">
        <v>132011</v>
      </c>
      <c r="AA53" s="449"/>
      <c r="AB53" s="449">
        <v>0</v>
      </c>
      <c r="AC53" s="343">
        <v>0</v>
      </c>
      <c r="AD53" s="343">
        <v>0</v>
      </c>
      <c r="AE53" s="343">
        <v>0</v>
      </c>
      <c r="AF53" s="343">
        <v>0</v>
      </c>
      <c r="AG53" s="343">
        <v>0</v>
      </c>
      <c r="AH53" s="343">
        <v>0</v>
      </c>
      <c r="AI53" s="343">
        <v>0</v>
      </c>
      <c r="AJ53" s="343"/>
      <c r="AK53" s="343">
        <v>0</v>
      </c>
      <c r="AL53" s="343">
        <v>0</v>
      </c>
      <c r="AM53" s="343">
        <v>0</v>
      </c>
      <c r="AN53" s="343">
        <v>0</v>
      </c>
      <c r="AO53" s="343">
        <v>0</v>
      </c>
      <c r="AP53" s="343">
        <v>0</v>
      </c>
      <c r="AQ53" s="343"/>
      <c r="AR53" s="343"/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3">
        <f t="shared" si="19"/>
        <v>0</v>
      </c>
      <c r="V54" s="994"/>
      <c r="W54" s="363"/>
      <c r="X54" s="224"/>
      <c r="Y54" s="976" t="str">
        <f t="shared" si="20"/>
        <v>531NF50</v>
      </c>
      <c r="Z54" s="938">
        <v>132011</v>
      </c>
      <c r="AA54" s="449"/>
      <c r="AB54" s="449">
        <v>0</v>
      </c>
      <c r="AC54" s="343">
        <v>0</v>
      </c>
      <c r="AD54" s="343">
        <v>0</v>
      </c>
      <c r="AE54" s="343">
        <v>0</v>
      </c>
      <c r="AF54" s="343">
        <v>0</v>
      </c>
      <c r="AG54" s="343">
        <v>0</v>
      </c>
      <c r="AH54" s="343">
        <v>0</v>
      </c>
      <c r="AI54" s="343">
        <v>0</v>
      </c>
      <c r="AJ54" s="343"/>
      <c r="AK54" s="343">
        <v>0</v>
      </c>
      <c r="AL54" s="343">
        <v>0</v>
      </c>
      <c r="AM54" s="343">
        <v>0</v>
      </c>
      <c r="AN54" s="343">
        <v>0</v>
      </c>
      <c r="AO54" s="343">
        <v>0</v>
      </c>
      <c r="AP54" s="343">
        <v>0</v>
      </c>
      <c r="AQ54" s="343"/>
      <c r="AR54" s="343"/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3">
        <f t="shared" si="19"/>
        <v>0</v>
      </c>
      <c r="V55" s="994"/>
      <c r="W55" s="363"/>
      <c r="X55" s="224"/>
      <c r="Y55" s="976" t="str">
        <f t="shared" si="20"/>
        <v>532NF50</v>
      </c>
      <c r="Z55" s="938" t="s">
        <v>770</v>
      </c>
      <c r="AA55" s="449"/>
      <c r="AB55" s="449">
        <v>0</v>
      </c>
      <c r="AC55" s="343">
        <v>0</v>
      </c>
      <c r="AD55" s="343">
        <v>0</v>
      </c>
      <c r="AE55" s="343">
        <v>0</v>
      </c>
      <c r="AF55" s="343">
        <v>0</v>
      </c>
      <c r="AG55" s="343">
        <v>0</v>
      </c>
      <c r="AH55" s="343">
        <v>0</v>
      </c>
      <c r="AI55" s="343">
        <v>0</v>
      </c>
      <c r="AJ55" s="343"/>
      <c r="AK55" s="343">
        <v>0</v>
      </c>
      <c r="AL55" s="343">
        <v>0</v>
      </c>
      <c r="AM55" s="343">
        <v>0</v>
      </c>
      <c r="AN55" s="343">
        <v>0</v>
      </c>
      <c r="AO55" s="343">
        <v>0</v>
      </c>
      <c r="AP55" s="343">
        <v>0</v>
      </c>
      <c r="AQ55" s="343"/>
      <c r="AR55" s="343"/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752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640</v>
      </c>
      <c r="J56" s="343"/>
      <c r="K56" s="343"/>
      <c r="L56" s="343">
        <f>SUMIF(data!$D:$D,INTGRATE!$B56&amp;INTGRATE!$D56,data!$K:$K)</f>
        <v>32000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112</v>
      </c>
      <c r="P56" s="344">
        <f t="shared" ref="P56:P67" si="24">O56*D56</f>
        <v>5600</v>
      </c>
      <c r="Q56" s="344">
        <f t="shared" ref="Q56:Q79" si="25">SUM(AA56:BE56)</f>
        <v>303700</v>
      </c>
      <c r="R56" s="344"/>
      <c r="S56" s="344"/>
      <c r="T56" s="346">
        <f t="shared" si="21"/>
        <v>20246.666666666668</v>
      </c>
      <c r="U56" s="993">
        <f t="shared" si="19"/>
        <v>0.27658873888705959</v>
      </c>
      <c r="V56" s="994"/>
      <c r="W56" s="409"/>
      <c r="X56" s="224"/>
      <c r="Y56" s="976" t="str">
        <f t="shared" si="20"/>
        <v>540F50</v>
      </c>
      <c r="Z56" s="938" t="s">
        <v>771</v>
      </c>
      <c r="AA56" s="449"/>
      <c r="AB56" s="449">
        <v>29000</v>
      </c>
      <c r="AC56" s="343">
        <v>0</v>
      </c>
      <c r="AD56" s="343">
        <v>66600</v>
      </c>
      <c r="AE56" s="343">
        <v>0</v>
      </c>
      <c r="AF56" s="343">
        <v>24800</v>
      </c>
      <c r="AG56" s="343">
        <v>0</v>
      </c>
      <c r="AH56" s="343">
        <v>52950</v>
      </c>
      <c r="AI56" s="343">
        <v>27000</v>
      </c>
      <c r="AJ56" s="343"/>
      <c r="AK56" s="343">
        <v>19900</v>
      </c>
      <c r="AL56" s="343">
        <v>32000</v>
      </c>
      <c r="AM56" s="343">
        <v>7900</v>
      </c>
      <c r="AN56" s="343">
        <v>550</v>
      </c>
      <c r="AO56" s="343">
        <v>11000</v>
      </c>
      <c r="AP56" s="343">
        <v>32000</v>
      </c>
      <c r="AQ56" s="343"/>
      <c r="AR56" s="343"/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303700</v>
      </c>
      <c r="BG56" s="896">
        <f t="shared" si="6"/>
        <v>11</v>
      </c>
      <c r="BH56" s="896">
        <f t="shared" si="7"/>
        <v>27609.090909090908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259</v>
      </c>
      <c r="F57" s="100">
        <f>SUMIF(pro!$A:$A,INTGRATE!$Y:$Y,pro!$N:$N)</f>
        <v>8</v>
      </c>
      <c r="G57" s="344"/>
      <c r="H57" s="344">
        <f>SUMIF(CBIN!$A:$A,INTGRATE!$Y:$Y,CBIN!$G:$G)</f>
        <v>0</v>
      </c>
      <c r="I57" s="343">
        <f>SUMIF(data!$D:$D,INTGRATE!$B57&amp;INTGRATE!$D57,data!$J:$J)</f>
        <v>0</v>
      </c>
      <c r="J57" s="343"/>
      <c r="K57" s="343"/>
      <c r="L57" s="343">
        <f>SUMIF(data!$D:$D,INTGRATE!$B57&amp;INTGRATE!$D57,data!$K:$K)</f>
        <v>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267</v>
      </c>
      <c r="P57" s="344">
        <f t="shared" si="24"/>
        <v>13350</v>
      </c>
      <c r="Q57" s="344">
        <f t="shared" si="25"/>
        <v>49000</v>
      </c>
      <c r="R57" s="344"/>
      <c r="S57" s="344"/>
      <c r="T57" s="346">
        <f t="shared" si="21"/>
        <v>3266.6666666666665</v>
      </c>
      <c r="U57" s="993">
        <f t="shared" si="19"/>
        <v>4.0867346938775508</v>
      </c>
      <c r="V57" s="994"/>
      <c r="W57" s="409"/>
      <c r="X57" s="224"/>
      <c r="Y57" s="976" t="str">
        <f t="shared" si="20"/>
        <v>548F50</v>
      </c>
      <c r="Z57" s="938">
        <v>201501</v>
      </c>
      <c r="AA57" s="449"/>
      <c r="AB57" s="449">
        <v>8200</v>
      </c>
      <c r="AC57" s="343">
        <v>1200</v>
      </c>
      <c r="AD57" s="343">
        <v>0</v>
      </c>
      <c r="AE57" s="343">
        <v>8000</v>
      </c>
      <c r="AF57" s="343">
        <v>7500</v>
      </c>
      <c r="AG57" s="343">
        <v>0</v>
      </c>
      <c r="AH57" s="343">
        <v>2000</v>
      </c>
      <c r="AI57" s="343">
        <v>4000</v>
      </c>
      <c r="AJ57" s="343"/>
      <c r="AK57" s="343">
        <v>0</v>
      </c>
      <c r="AL57" s="343">
        <v>4000</v>
      </c>
      <c r="AM57" s="343">
        <v>6100</v>
      </c>
      <c r="AN57" s="343">
        <v>0</v>
      </c>
      <c r="AO57" s="343">
        <v>8000</v>
      </c>
      <c r="AP57" s="343">
        <v>0</v>
      </c>
      <c r="AQ57" s="343"/>
      <c r="AR57" s="343"/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49000</v>
      </c>
      <c r="BG57" s="896">
        <f t="shared" si="6"/>
        <v>9</v>
      </c>
      <c r="BH57" s="896">
        <f t="shared" si="7"/>
        <v>5444.4444444444443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3">
        <f t="shared" si="19"/>
        <v>0</v>
      </c>
      <c r="V58" s="994"/>
      <c r="W58" s="409"/>
      <c r="X58" s="224"/>
      <c r="Y58" s="976" t="str">
        <f t="shared" si="20"/>
        <v>548FP3150</v>
      </c>
      <c r="Z58" s="938">
        <v>20150831</v>
      </c>
      <c r="AA58" s="449"/>
      <c r="AB58" s="449">
        <v>0</v>
      </c>
      <c r="AC58" s="343">
        <v>0</v>
      </c>
      <c r="AD58" s="343">
        <v>0</v>
      </c>
      <c r="AE58" s="343">
        <v>0</v>
      </c>
      <c r="AF58" s="343">
        <v>0</v>
      </c>
      <c r="AG58" s="343">
        <v>0</v>
      </c>
      <c r="AH58" s="343">
        <v>0</v>
      </c>
      <c r="AI58" s="343">
        <v>0</v>
      </c>
      <c r="AJ58" s="343"/>
      <c r="AK58" s="343">
        <v>0</v>
      </c>
      <c r="AL58" s="343">
        <v>0</v>
      </c>
      <c r="AM58" s="343">
        <v>0</v>
      </c>
      <c r="AN58" s="343">
        <v>0</v>
      </c>
      <c r="AO58" s="343">
        <v>0</v>
      </c>
      <c r="AP58" s="343">
        <v>0</v>
      </c>
      <c r="AQ58" s="343"/>
      <c r="AR58" s="343"/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3">
        <f t="shared" si="19"/>
        <v>0</v>
      </c>
      <c r="V59" s="994"/>
      <c r="W59" s="409"/>
      <c r="X59" s="224"/>
      <c r="Y59" s="976" t="str">
        <f t="shared" si="20"/>
        <v>548FP3350</v>
      </c>
      <c r="Z59" s="938" t="s">
        <v>1147</v>
      </c>
      <c r="AA59" s="449"/>
      <c r="AB59" s="449">
        <v>0</v>
      </c>
      <c r="AC59" s="343">
        <v>0</v>
      </c>
      <c r="AD59" s="343">
        <v>0</v>
      </c>
      <c r="AE59" s="343">
        <v>0</v>
      </c>
      <c r="AF59" s="343">
        <v>0</v>
      </c>
      <c r="AG59" s="343">
        <v>0</v>
      </c>
      <c r="AH59" s="343">
        <v>0</v>
      </c>
      <c r="AI59" s="343">
        <v>0</v>
      </c>
      <c r="AJ59" s="343"/>
      <c r="AK59" s="343">
        <v>0</v>
      </c>
      <c r="AL59" s="343">
        <v>0</v>
      </c>
      <c r="AM59" s="343">
        <v>0</v>
      </c>
      <c r="AN59" s="343">
        <v>0</v>
      </c>
      <c r="AO59" s="343">
        <v>0</v>
      </c>
      <c r="AP59" s="343">
        <v>0</v>
      </c>
      <c r="AQ59" s="343"/>
      <c r="AR59" s="343"/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/>
      <c r="AB60" s="449">
        <v>0</v>
      </c>
      <c r="AC60" s="343">
        <v>0</v>
      </c>
      <c r="AD60" s="343">
        <v>0</v>
      </c>
      <c r="AE60" s="343">
        <v>0</v>
      </c>
      <c r="AF60" s="343">
        <v>0</v>
      </c>
      <c r="AG60" s="343">
        <v>0</v>
      </c>
      <c r="AH60" s="343">
        <v>0</v>
      </c>
      <c r="AI60" s="343">
        <v>0</v>
      </c>
      <c r="AJ60" s="343"/>
      <c r="AK60" s="343">
        <v>0</v>
      </c>
      <c r="AL60" s="343">
        <v>0</v>
      </c>
      <c r="AM60" s="343">
        <v>0</v>
      </c>
      <c r="AN60" s="343">
        <v>0</v>
      </c>
      <c r="AO60" s="343">
        <v>0</v>
      </c>
      <c r="AP60" s="343">
        <v>0</v>
      </c>
      <c r="AQ60" s="343"/>
      <c r="AR60" s="343"/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236</v>
      </c>
      <c r="F61" s="100">
        <f>SUMIF(pro!$A:$A,INTGRATE!$Y:$Y,pro!$N:$N)</f>
        <v>0</v>
      </c>
      <c r="G61" s="344"/>
      <c r="H61" s="344">
        <f>SUMIF(CBIN!$A:$A,INTGRATE!$Y:$Y,CBIN!$G:$G)</f>
        <v>4</v>
      </c>
      <c r="I61" s="343">
        <f>SUMIF(data!$D:$D,INTGRATE!$B61&amp;INTGRATE!$D61,data!$J:$J)</f>
        <v>240</v>
      </c>
      <c r="J61" s="343"/>
      <c r="K61" s="343"/>
      <c r="L61" s="343">
        <f>SUMIF(data!$D:$D,INTGRATE!$B61&amp;INTGRATE!$D61,data!$K:$K)</f>
        <v>12000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0</v>
      </c>
      <c r="P61" s="344">
        <f t="shared" si="24"/>
        <v>0</v>
      </c>
      <c r="Q61" s="344">
        <f t="shared" si="25"/>
        <v>151950</v>
      </c>
      <c r="R61" s="344"/>
      <c r="S61" s="344"/>
      <c r="T61" s="346">
        <f t="shared" si="21"/>
        <v>10130</v>
      </c>
      <c r="U61" s="993">
        <f t="shared" si="19"/>
        <v>0</v>
      </c>
      <c r="V61" s="994"/>
      <c r="W61" s="363"/>
      <c r="X61" s="224"/>
      <c r="Y61" s="976" t="str">
        <f t="shared" si="20"/>
        <v>549F50</v>
      </c>
      <c r="Z61" s="938">
        <v>203501</v>
      </c>
      <c r="AA61" s="449"/>
      <c r="AB61" s="449">
        <v>9800</v>
      </c>
      <c r="AC61" s="343">
        <v>8000</v>
      </c>
      <c r="AD61" s="343">
        <v>20750</v>
      </c>
      <c r="AE61" s="343">
        <v>12000</v>
      </c>
      <c r="AF61" s="343">
        <v>22200</v>
      </c>
      <c r="AG61" s="343">
        <v>0</v>
      </c>
      <c r="AH61" s="343">
        <v>6000</v>
      </c>
      <c r="AI61" s="343">
        <v>5850</v>
      </c>
      <c r="AJ61" s="343"/>
      <c r="AK61" s="343">
        <v>24000</v>
      </c>
      <c r="AL61" s="343">
        <v>8000</v>
      </c>
      <c r="AM61" s="343">
        <v>4900</v>
      </c>
      <c r="AN61" s="343">
        <v>18450</v>
      </c>
      <c r="AO61" s="343">
        <v>0</v>
      </c>
      <c r="AP61" s="343">
        <v>12000</v>
      </c>
      <c r="AQ61" s="343"/>
      <c r="AR61" s="343"/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151950</v>
      </c>
      <c r="BG61" s="896">
        <f t="shared" si="6"/>
        <v>12</v>
      </c>
      <c r="BH61" s="896">
        <f t="shared" si="7"/>
        <v>12662.5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0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0</v>
      </c>
      <c r="P62" s="344">
        <f t="shared" si="24"/>
        <v>0</v>
      </c>
      <c r="Q62" s="344">
        <f t="shared" si="25"/>
        <v>64400</v>
      </c>
      <c r="R62" s="344"/>
      <c r="S62" s="344"/>
      <c r="T62" s="380">
        <f t="shared" si="21"/>
        <v>4293.333333333333</v>
      </c>
      <c r="U62" s="993">
        <f t="shared" ref="U62:U80" si="26">IF(T62=0,0,P62/T62)</f>
        <v>0</v>
      </c>
      <c r="V62" s="994"/>
      <c r="W62" s="409"/>
      <c r="X62" s="224"/>
      <c r="Y62" s="976" t="str">
        <f t="shared" si="20"/>
        <v>513F25</v>
      </c>
      <c r="Z62" s="938" t="s">
        <v>767</v>
      </c>
      <c r="AA62" s="449"/>
      <c r="AB62" s="449">
        <v>36450</v>
      </c>
      <c r="AC62" s="343">
        <v>25650</v>
      </c>
      <c r="AD62" s="343">
        <v>0</v>
      </c>
      <c r="AE62" s="343">
        <v>2300</v>
      </c>
      <c r="AF62" s="343">
        <v>0</v>
      </c>
      <c r="AG62" s="343">
        <v>0</v>
      </c>
      <c r="AH62" s="343">
        <v>0</v>
      </c>
      <c r="AI62" s="343">
        <v>0</v>
      </c>
      <c r="AJ62" s="343"/>
      <c r="AK62" s="343">
        <v>0</v>
      </c>
      <c r="AL62" s="343">
        <v>0</v>
      </c>
      <c r="AM62" s="343">
        <v>0</v>
      </c>
      <c r="AN62" s="343">
        <v>0</v>
      </c>
      <c r="AO62" s="343">
        <v>0</v>
      </c>
      <c r="AP62" s="343">
        <v>0</v>
      </c>
      <c r="AQ62" s="343"/>
      <c r="AR62" s="343"/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64400</v>
      </c>
      <c r="BG62" s="896">
        <f t="shared" si="6"/>
        <v>3</v>
      </c>
      <c r="BH62" s="896">
        <f t="shared" si="7"/>
        <v>21466.666666666668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3">
        <f t="shared" si="26"/>
        <v>0</v>
      </c>
      <c r="V63" s="994"/>
      <c r="W63" s="409"/>
      <c r="X63" s="224"/>
      <c r="Y63" s="976" t="str">
        <f t="shared" si="20"/>
        <v>510F25</v>
      </c>
      <c r="Z63" s="938" t="s">
        <v>761</v>
      </c>
      <c r="AA63" s="449"/>
      <c r="AB63" s="449">
        <v>0</v>
      </c>
      <c r="AC63" s="343">
        <v>0</v>
      </c>
      <c r="AD63" s="343">
        <v>0</v>
      </c>
      <c r="AE63" s="343">
        <v>0</v>
      </c>
      <c r="AF63" s="343">
        <v>0</v>
      </c>
      <c r="AG63" s="343">
        <v>0</v>
      </c>
      <c r="AH63" s="343">
        <v>0</v>
      </c>
      <c r="AI63" s="343">
        <v>0</v>
      </c>
      <c r="AJ63" s="343"/>
      <c r="AK63" s="343">
        <v>0</v>
      </c>
      <c r="AL63" s="343">
        <v>0</v>
      </c>
      <c r="AM63" s="343">
        <v>0</v>
      </c>
      <c r="AN63" s="343">
        <v>0</v>
      </c>
      <c r="AO63" s="343">
        <v>0</v>
      </c>
      <c r="AP63" s="343">
        <v>0</v>
      </c>
      <c r="AQ63" s="343"/>
      <c r="AR63" s="343"/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3">
        <f t="shared" si="26"/>
        <v>0</v>
      </c>
      <c r="V64" s="994"/>
      <c r="W64" s="363"/>
      <c r="X64" s="224"/>
      <c r="Y64" s="976" t="str">
        <f t="shared" si="20"/>
        <v>511NF25</v>
      </c>
      <c r="Z64" s="938" t="s">
        <v>766</v>
      </c>
      <c r="AA64" s="449"/>
      <c r="AB64" s="449">
        <v>0</v>
      </c>
      <c r="AC64" s="343">
        <v>0</v>
      </c>
      <c r="AD64" s="343">
        <v>0</v>
      </c>
      <c r="AE64" s="343">
        <v>0</v>
      </c>
      <c r="AF64" s="343">
        <v>0</v>
      </c>
      <c r="AG64" s="343">
        <v>0</v>
      </c>
      <c r="AH64" s="343">
        <v>0</v>
      </c>
      <c r="AI64" s="343">
        <v>0</v>
      </c>
      <c r="AJ64" s="343"/>
      <c r="AK64" s="343">
        <v>0</v>
      </c>
      <c r="AL64" s="343">
        <v>0</v>
      </c>
      <c r="AM64" s="343">
        <v>0</v>
      </c>
      <c r="AN64" s="343">
        <v>0</v>
      </c>
      <c r="AO64" s="343">
        <v>0</v>
      </c>
      <c r="AP64" s="343">
        <v>0</v>
      </c>
      <c r="AQ64" s="343"/>
      <c r="AR64" s="343"/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3">
        <f t="shared" si="26"/>
        <v>0</v>
      </c>
      <c r="V65" s="994"/>
      <c r="W65" s="363"/>
      <c r="X65" s="224"/>
      <c r="Y65" s="976" t="str">
        <f>B65&amp;D65</f>
        <v>511ANF25</v>
      </c>
      <c r="Z65" s="938" t="s">
        <v>764</v>
      </c>
      <c r="AA65" s="449"/>
      <c r="AB65" s="449">
        <v>0</v>
      </c>
      <c r="AC65" s="343">
        <v>0</v>
      </c>
      <c r="AD65" s="343">
        <v>0</v>
      </c>
      <c r="AE65" s="343">
        <v>0</v>
      </c>
      <c r="AF65" s="343">
        <v>0</v>
      </c>
      <c r="AG65" s="343">
        <v>0</v>
      </c>
      <c r="AH65" s="343">
        <v>0</v>
      </c>
      <c r="AI65" s="343">
        <v>0</v>
      </c>
      <c r="AJ65" s="343"/>
      <c r="AK65" s="343">
        <v>0</v>
      </c>
      <c r="AL65" s="343">
        <v>0</v>
      </c>
      <c r="AM65" s="343">
        <v>0</v>
      </c>
      <c r="AN65" s="343">
        <v>0</v>
      </c>
      <c r="AO65" s="343">
        <v>0</v>
      </c>
      <c r="AP65" s="343">
        <v>0</v>
      </c>
      <c r="AQ65" s="343"/>
      <c r="AR65" s="343"/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3">
        <f>IF(T66=0,0,P66/T66)</f>
        <v>0</v>
      </c>
      <c r="V66" s="994"/>
      <c r="W66" s="363"/>
      <c r="X66" s="224"/>
      <c r="Y66" s="976" t="str">
        <f>B66&amp;D66</f>
        <v>511ANFP9125</v>
      </c>
      <c r="Z66" s="938" t="s">
        <v>1484</v>
      </c>
      <c r="AA66" s="449"/>
      <c r="AB66" s="449">
        <v>0</v>
      </c>
      <c r="AC66" s="343">
        <v>0</v>
      </c>
      <c r="AD66" s="343">
        <v>0</v>
      </c>
      <c r="AE66" s="343">
        <v>0</v>
      </c>
      <c r="AF66" s="343">
        <v>0</v>
      </c>
      <c r="AG66" s="343">
        <v>0</v>
      </c>
      <c r="AH66" s="343">
        <v>0</v>
      </c>
      <c r="AI66" s="343">
        <v>0</v>
      </c>
      <c r="AJ66" s="343"/>
      <c r="AK66" s="343">
        <v>0</v>
      </c>
      <c r="AL66" s="343">
        <v>0</v>
      </c>
      <c r="AM66" s="343">
        <v>0</v>
      </c>
      <c r="AN66" s="343">
        <v>0</v>
      </c>
      <c r="AO66" s="343">
        <v>0</v>
      </c>
      <c r="AP66" s="343">
        <v>0</v>
      </c>
      <c r="AQ66" s="343"/>
      <c r="AR66" s="343"/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3">
        <f t="shared" si="26"/>
        <v>0</v>
      </c>
      <c r="V67" s="994"/>
      <c r="W67" s="363"/>
      <c r="X67" s="224"/>
      <c r="Y67" s="976" t="str">
        <f t="shared" si="20"/>
        <v>511F25</v>
      </c>
      <c r="Z67" s="938" t="s">
        <v>765</v>
      </c>
      <c r="AA67" s="449"/>
      <c r="AB67" s="449">
        <v>0</v>
      </c>
      <c r="AC67" s="343">
        <v>0</v>
      </c>
      <c r="AD67" s="343">
        <v>0</v>
      </c>
      <c r="AE67" s="343">
        <v>0</v>
      </c>
      <c r="AF67" s="343">
        <v>0</v>
      </c>
      <c r="AG67" s="343">
        <v>0</v>
      </c>
      <c r="AH67" s="343">
        <v>0</v>
      </c>
      <c r="AI67" s="343">
        <v>0</v>
      </c>
      <c r="AJ67" s="343"/>
      <c r="AK67" s="343">
        <v>0</v>
      </c>
      <c r="AL67" s="343">
        <v>0</v>
      </c>
      <c r="AM67" s="343">
        <v>0</v>
      </c>
      <c r="AN67" s="343">
        <v>0</v>
      </c>
      <c r="AO67" s="343">
        <v>0</v>
      </c>
      <c r="AP67" s="343">
        <v>0</v>
      </c>
      <c r="AQ67" s="343"/>
      <c r="AR67" s="343"/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3">
        <f t="shared" si="26"/>
        <v>0</v>
      </c>
      <c r="V68" s="994"/>
      <c r="W68" s="363"/>
      <c r="X68" s="224"/>
      <c r="Y68" s="976" t="str">
        <f t="shared" si="20"/>
        <v>511AF25</v>
      </c>
      <c r="Z68" s="938" t="s">
        <v>763</v>
      </c>
      <c r="AA68" s="449"/>
      <c r="AB68" s="449">
        <v>0</v>
      </c>
      <c r="AC68" s="343">
        <v>0</v>
      </c>
      <c r="AD68" s="343">
        <v>0</v>
      </c>
      <c r="AE68" s="343">
        <v>0</v>
      </c>
      <c r="AF68" s="343">
        <v>0</v>
      </c>
      <c r="AG68" s="343">
        <v>0</v>
      </c>
      <c r="AH68" s="343">
        <v>0</v>
      </c>
      <c r="AI68" s="343">
        <v>0</v>
      </c>
      <c r="AJ68" s="343"/>
      <c r="AK68" s="343">
        <v>0</v>
      </c>
      <c r="AL68" s="343">
        <v>0</v>
      </c>
      <c r="AM68" s="343">
        <v>0</v>
      </c>
      <c r="AN68" s="343">
        <v>0</v>
      </c>
      <c r="AO68" s="343">
        <v>0</v>
      </c>
      <c r="AP68" s="343">
        <v>0</v>
      </c>
      <c r="AQ68" s="343"/>
      <c r="AR68" s="343"/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3">
        <f t="shared" si="26"/>
        <v>0</v>
      </c>
      <c r="V69" s="994"/>
      <c r="W69" s="363"/>
      <c r="X69" s="224"/>
      <c r="Y69" s="976" t="str">
        <f t="shared" si="20"/>
        <v>540F25</v>
      </c>
      <c r="Z69" s="938" t="s">
        <v>771</v>
      </c>
      <c r="AA69" s="449"/>
      <c r="AB69" s="449">
        <v>0</v>
      </c>
      <c r="AC69" s="343">
        <v>0</v>
      </c>
      <c r="AD69" s="343">
        <v>0</v>
      </c>
      <c r="AE69" s="343">
        <v>0</v>
      </c>
      <c r="AF69" s="343">
        <v>0</v>
      </c>
      <c r="AG69" s="343">
        <v>0</v>
      </c>
      <c r="AH69" s="343">
        <v>0</v>
      </c>
      <c r="AI69" s="343">
        <v>0</v>
      </c>
      <c r="AJ69" s="343"/>
      <c r="AK69" s="343">
        <v>0</v>
      </c>
      <c r="AL69" s="343">
        <v>0</v>
      </c>
      <c r="AM69" s="343">
        <v>0</v>
      </c>
      <c r="AN69" s="343">
        <v>0</v>
      </c>
      <c r="AO69" s="343">
        <v>0</v>
      </c>
      <c r="AP69" s="343">
        <v>0</v>
      </c>
      <c r="AQ69" s="343"/>
      <c r="AR69" s="343"/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3">
        <f t="shared" si="26"/>
        <v>0</v>
      </c>
      <c r="V70" s="994"/>
      <c r="W70" s="363"/>
      <c r="X70" s="224"/>
      <c r="Y70" s="976" t="str">
        <f>B70&amp;D70</f>
        <v>548F25</v>
      </c>
      <c r="Z70" s="938" t="s">
        <v>1141</v>
      </c>
      <c r="AA70" s="449"/>
      <c r="AB70" s="449">
        <v>0</v>
      </c>
      <c r="AC70" s="343">
        <v>0</v>
      </c>
      <c r="AD70" s="343">
        <v>0</v>
      </c>
      <c r="AE70" s="343">
        <v>0</v>
      </c>
      <c r="AF70" s="343">
        <v>0</v>
      </c>
      <c r="AG70" s="343">
        <v>0</v>
      </c>
      <c r="AH70" s="343">
        <v>0</v>
      </c>
      <c r="AI70" s="343">
        <v>0</v>
      </c>
      <c r="AJ70" s="343"/>
      <c r="AK70" s="343">
        <v>0</v>
      </c>
      <c r="AL70" s="343">
        <v>0</v>
      </c>
      <c r="AM70" s="343">
        <v>0</v>
      </c>
      <c r="AN70" s="343">
        <v>0</v>
      </c>
      <c r="AO70" s="343">
        <v>0</v>
      </c>
      <c r="AP70" s="343">
        <v>0</v>
      </c>
      <c r="AQ70" s="343"/>
      <c r="AR70" s="343"/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3">
        <f t="shared" si="26"/>
        <v>0</v>
      </c>
      <c r="V71" s="994"/>
      <c r="W71" s="363"/>
      <c r="X71" s="224"/>
      <c r="Y71" s="976" t="str">
        <f>B71&amp;D71</f>
        <v>549F25</v>
      </c>
      <c r="Z71" s="938">
        <v>203501</v>
      </c>
      <c r="AA71" s="449"/>
      <c r="AB71" s="449">
        <v>0</v>
      </c>
      <c r="AC71" s="343">
        <v>0</v>
      </c>
      <c r="AD71" s="343">
        <v>0</v>
      </c>
      <c r="AE71" s="343">
        <v>0</v>
      </c>
      <c r="AF71" s="343">
        <v>0</v>
      </c>
      <c r="AG71" s="343">
        <v>0</v>
      </c>
      <c r="AH71" s="343">
        <v>0</v>
      </c>
      <c r="AI71" s="343">
        <v>0</v>
      </c>
      <c r="AJ71" s="343"/>
      <c r="AK71" s="343">
        <v>0</v>
      </c>
      <c r="AL71" s="343">
        <v>0</v>
      </c>
      <c r="AM71" s="343">
        <v>0</v>
      </c>
      <c r="AN71" s="343">
        <v>0</v>
      </c>
      <c r="AO71" s="343">
        <v>0</v>
      </c>
      <c r="AP71" s="343">
        <v>0</v>
      </c>
      <c r="AQ71" s="343"/>
      <c r="AR71" s="343"/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3">
        <f>IF(T72=0,0,P72/T72)</f>
        <v>0</v>
      </c>
      <c r="V72" s="994"/>
      <c r="W72" s="363"/>
      <c r="X72" s="224"/>
      <c r="Y72" s="976" t="str">
        <f>B72&amp;D72</f>
        <v>549F40</v>
      </c>
      <c r="Z72" s="938">
        <v>203501</v>
      </c>
      <c r="AA72" s="449"/>
      <c r="AB72" s="449">
        <v>0</v>
      </c>
      <c r="AC72" s="343">
        <v>0</v>
      </c>
      <c r="AD72" s="343">
        <v>0</v>
      </c>
      <c r="AE72" s="343">
        <v>0</v>
      </c>
      <c r="AF72" s="343">
        <v>0</v>
      </c>
      <c r="AG72" s="343">
        <v>0</v>
      </c>
      <c r="AH72" s="343">
        <v>0</v>
      </c>
      <c r="AI72" s="343">
        <v>0</v>
      </c>
      <c r="AJ72" s="343"/>
      <c r="AK72" s="343">
        <v>0</v>
      </c>
      <c r="AL72" s="343">
        <v>0</v>
      </c>
      <c r="AM72" s="343">
        <v>0</v>
      </c>
      <c r="AN72" s="343">
        <v>0</v>
      </c>
      <c r="AO72" s="343">
        <v>0</v>
      </c>
      <c r="AP72" s="343">
        <v>0</v>
      </c>
      <c r="AQ72" s="343"/>
      <c r="AR72" s="343"/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3">
        <f>IF(T73=0,0,P73/T73)</f>
        <v>0</v>
      </c>
      <c r="V73" s="994"/>
      <c r="W73" s="363"/>
      <c r="X73" s="224"/>
      <c r="Y73" s="976" t="str">
        <f>B73&amp;D73</f>
        <v>540F40</v>
      </c>
      <c r="Z73" s="938" t="s">
        <v>771</v>
      </c>
      <c r="AA73" s="449"/>
      <c r="AB73" s="449">
        <v>0</v>
      </c>
      <c r="AC73" s="343">
        <v>0</v>
      </c>
      <c r="AD73" s="343">
        <v>0</v>
      </c>
      <c r="AE73" s="343">
        <v>0</v>
      </c>
      <c r="AF73" s="343">
        <v>0</v>
      </c>
      <c r="AG73" s="343">
        <v>0</v>
      </c>
      <c r="AH73" s="343">
        <v>0</v>
      </c>
      <c r="AI73" s="343">
        <v>0</v>
      </c>
      <c r="AJ73" s="343"/>
      <c r="AK73" s="343">
        <v>0</v>
      </c>
      <c r="AL73" s="343">
        <v>0</v>
      </c>
      <c r="AM73" s="343">
        <v>0</v>
      </c>
      <c r="AN73" s="343">
        <v>0</v>
      </c>
      <c r="AO73" s="343">
        <v>0</v>
      </c>
      <c r="AP73" s="343">
        <v>0</v>
      </c>
      <c r="AQ73" s="343"/>
      <c r="AR73" s="343"/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133320</v>
      </c>
      <c r="R74" s="344"/>
      <c r="S74" s="344"/>
      <c r="T74" s="389">
        <f t="shared" ref="T74:T102" si="29">Q74/$N$293</f>
        <v>8888</v>
      </c>
      <c r="U74" s="993">
        <f t="shared" si="26"/>
        <v>0</v>
      </c>
      <c r="V74" s="994"/>
      <c r="W74" s="363"/>
      <c r="X74" s="224"/>
      <c r="Y74" s="976" t="str">
        <f t="shared" si="20"/>
        <v>540FSILO</v>
      </c>
      <c r="Z74" s="938" t="s">
        <v>771</v>
      </c>
      <c r="AA74" s="449"/>
      <c r="AB74" s="449">
        <v>0</v>
      </c>
      <c r="AC74" s="343">
        <v>14990</v>
      </c>
      <c r="AD74" s="343">
        <v>14730</v>
      </c>
      <c r="AE74" s="343">
        <v>14990</v>
      </c>
      <c r="AF74" s="343">
        <v>0</v>
      </c>
      <c r="AG74" s="343">
        <v>0</v>
      </c>
      <c r="AH74" s="343">
        <v>44080</v>
      </c>
      <c r="AI74" s="343">
        <v>14970</v>
      </c>
      <c r="AJ74" s="343"/>
      <c r="AK74" s="343">
        <v>0</v>
      </c>
      <c r="AL74" s="343">
        <v>0</v>
      </c>
      <c r="AM74" s="343">
        <v>14790</v>
      </c>
      <c r="AN74" s="343">
        <v>14770</v>
      </c>
      <c r="AO74" s="343">
        <v>0</v>
      </c>
      <c r="AP74" s="343">
        <v>0</v>
      </c>
      <c r="AQ74" s="343"/>
      <c r="AR74" s="343"/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133320</v>
      </c>
      <c r="BG74" s="896">
        <f t="shared" si="6"/>
        <v>7</v>
      </c>
      <c r="BH74" s="896">
        <f t="shared" si="7"/>
        <v>19045.714285714286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14780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14780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14780</v>
      </c>
      <c r="R75" s="344"/>
      <c r="S75" s="344"/>
      <c r="T75" s="389">
        <f t="shared" si="29"/>
        <v>985.33333333333337</v>
      </c>
      <c r="U75" s="993">
        <f t="shared" si="26"/>
        <v>0</v>
      </c>
      <c r="V75" s="994"/>
      <c r="W75" s="363"/>
      <c r="X75" s="224"/>
      <c r="Y75" s="976" t="str">
        <f t="shared" si="20"/>
        <v>548FSILO</v>
      </c>
      <c r="Z75" s="938">
        <v>201501</v>
      </c>
      <c r="AA75" s="449"/>
      <c r="AB75" s="449">
        <v>0</v>
      </c>
      <c r="AC75" s="343">
        <v>0</v>
      </c>
      <c r="AD75" s="343">
        <v>0</v>
      </c>
      <c r="AE75" s="343">
        <v>0</v>
      </c>
      <c r="AF75" s="343">
        <v>0</v>
      </c>
      <c r="AG75" s="343">
        <v>0</v>
      </c>
      <c r="AH75" s="343">
        <v>0</v>
      </c>
      <c r="AI75" s="343">
        <v>0</v>
      </c>
      <c r="AJ75" s="343"/>
      <c r="AK75" s="343">
        <v>0</v>
      </c>
      <c r="AL75" s="343">
        <v>0</v>
      </c>
      <c r="AM75" s="343">
        <v>0</v>
      </c>
      <c r="AN75" s="343">
        <v>0</v>
      </c>
      <c r="AO75" s="343">
        <v>0</v>
      </c>
      <c r="AP75" s="343">
        <v>14780</v>
      </c>
      <c r="AQ75" s="343"/>
      <c r="AR75" s="343"/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14780</v>
      </c>
      <c r="BG75" s="896">
        <f t="shared" si="6"/>
        <v>1</v>
      </c>
      <c r="BH75" s="896">
        <f t="shared" si="7"/>
        <v>14780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3">
        <f>IF(T76=0,0,P76/T76)</f>
        <v>0</v>
      </c>
      <c r="V76" s="994"/>
      <c r="W76" s="363"/>
      <c r="X76" s="224"/>
      <c r="Y76" s="976" t="str">
        <f>B76&amp;D76</f>
        <v>548FP31SILO</v>
      </c>
      <c r="Z76" s="938">
        <v>20150831</v>
      </c>
      <c r="AA76" s="449"/>
      <c r="AB76" s="449">
        <v>0</v>
      </c>
      <c r="AC76" s="343"/>
      <c r="AD76" s="343">
        <v>0</v>
      </c>
      <c r="AE76" s="343">
        <v>0</v>
      </c>
      <c r="AF76" s="343">
        <v>0</v>
      </c>
      <c r="AG76" s="343">
        <v>0</v>
      </c>
      <c r="AH76" s="343">
        <v>0</v>
      </c>
      <c r="AI76" s="343">
        <v>0</v>
      </c>
      <c r="AJ76" s="343"/>
      <c r="AK76" s="343">
        <v>0</v>
      </c>
      <c r="AL76" s="343">
        <v>0</v>
      </c>
      <c r="AM76" s="343">
        <v>0</v>
      </c>
      <c r="AN76" s="343">
        <v>0</v>
      </c>
      <c r="AO76" s="343">
        <v>0</v>
      </c>
      <c r="AP76" s="343">
        <v>0</v>
      </c>
      <c r="AQ76" s="343"/>
      <c r="AR76" s="343"/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3">
        <f t="shared" si="26"/>
        <v>0</v>
      </c>
      <c r="V77" s="994"/>
      <c r="W77" s="363"/>
      <c r="X77" s="224"/>
      <c r="Y77" s="976" t="str">
        <f>B77&amp;D77</f>
        <v>548FP33SILO</v>
      </c>
      <c r="Z77" s="938">
        <v>20150833</v>
      </c>
      <c r="AA77" s="449"/>
      <c r="AB77" s="449">
        <v>0</v>
      </c>
      <c r="AC77" s="343"/>
      <c r="AD77" s="343">
        <v>0</v>
      </c>
      <c r="AE77" s="343">
        <v>0</v>
      </c>
      <c r="AF77" s="343">
        <v>0</v>
      </c>
      <c r="AG77" s="343">
        <v>0</v>
      </c>
      <c r="AH77" s="343">
        <v>0</v>
      </c>
      <c r="AI77" s="343">
        <v>0</v>
      </c>
      <c r="AJ77" s="343"/>
      <c r="AK77" s="343">
        <v>0</v>
      </c>
      <c r="AL77" s="343">
        <v>0</v>
      </c>
      <c r="AM77" s="343">
        <v>0</v>
      </c>
      <c r="AN77" s="343">
        <v>0</v>
      </c>
      <c r="AO77" s="343">
        <v>0</v>
      </c>
      <c r="AP77" s="343">
        <v>0</v>
      </c>
      <c r="AQ77" s="343"/>
      <c r="AR77" s="343"/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3">
        <f t="shared" si="26"/>
        <v>0</v>
      </c>
      <c r="V78" s="994"/>
      <c r="W78" s="363"/>
      <c r="X78" s="224"/>
      <c r="Y78" s="976" t="str">
        <f>B78&amp;D78</f>
        <v>548FP35SILO</v>
      </c>
      <c r="Z78" s="938">
        <v>20150835</v>
      </c>
      <c r="AA78" s="449"/>
      <c r="AB78" s="449">
        <v>0</v>
      </c>
      <c r="AC78" s="343"/>
      <c r="AD78" s="343">
        <v>0</v>
      </c>
      <c r="AE78" s="343">
        <v>0</v>
      </c>
      <c r="AF78" s="343">
        <v>0</v>
      </c>
      <c r="AG78" s="343">
        <v>0</v>
      </c>
      <c r="AH78" s="343">
        <v>0</v>
      </c>
      <c r="AI78" s="343">
        <v>0</v>
      </c>
      <c r="AJ78" s="343"/>
      <c r="AK78" s="343">
        <v>0</v>
      </c>
      <c r="AL78" s="343">
        <v>0</v>
      </c>
      <c r="AM78" s="343">
        <v>0</v>
      </c>
      <c r="AN78" s="343">
        <v>0</v>
      </c>
      <c r="AO78" s="343">
        <v>0</v>
      </c>
      <c r="AP78" s="343">
        <v>0</v>
      </c>
      <c r="AQ78" s="343"/>
      <c r="AR78" s="343"/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29840</v>
      </c>
      <c r="R79" s="344"/>
      <c r="S79" s="344"/>
      <c r="T79" s="389">
        <f t="shared" si="29"/>
        <v>1989.3333333333333</v>
      </c>
      <c r="U79" s="993">
        <f t="shared" si="26"/>
        <v>0</v>
      </c>
      <c r="V79" s="994"/>
      <c r="W79" s="363"/>
      <c r="X79" s="224"/>
      <c r="Y79" s="976" t="str">
        <f t="shared" si="20"/>
        <v>549FSILO</v>
      </c>
      <c r="Z79" s="938">
        <v>203501</v>
      </c>
      <c r="AA79" s="449"/>
      <c r="AB79" s="449">
        <v>14840</v>
      </c>
      <c r="AC79" s="343"/>
      <c r="AD79" s="343">
        <v>0</v>
      </c>
      <c r="AE79" s="343">
        <v>15000</v>
      </c>
      <c r="AF79" s="343">
        <v>0</v>
      </c>
      <c r="AG79" s="343">
        <v>0</v>
      </c>
      <c r="AH79" s="343">
        <v>0</v>
      </c>
      <c r="AI79" s="343">
        <v>0</v>
      </c>
      <c r="AJ79" s="343"/>
      <c r="AK79" s="343">
        <v>0</v>
      </c>
      <c r="AL79" s="343">
        <v>0</v>
      </c>
      <c r="AM79" s="343">
        <v>0</v>
      </c>
      <c r="AN79" s="343">
        <v>0</v>
      </c>
      <c r="AO79" s="343">
        <v>0</v>
      </c>
      <c r="AP79" s="343">
        <v>0</v>
      </c>
      <c r="AQ79" s="343"/>
      <c r="AR79" s="343"/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29840</v>
      </c>
      <c r="BG79" s="896">
        <f t="shared" si="32"/>
        <v>2</v>
      </c>
      <c r="BH79" s="896">
        <f t="shared" si="33"/>
        <v>14920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3">
        <f t="shared" si="26"/>
        <v>0</v>
      </c>
      <c r="V80" s="994"/>
      <c r="W80" s="363"/>
      <c r="X80" s="224"/>
      <c r="Y80" s="976" t="str">
        <f t="shared" si="20"/>
        <v>510(S)SILO</v>
      </c>
      <c r="Z80" s="938" t="s">
        <v>772</v>
      </c>
      <c r="AA80" s="450"/>
      <c r="AB80" s="450">
        <v>0</v>
      </c>
      <c r="AC80" s="343"/>
      <c r="AD80" s="343">
        <v>0</v>
      </c>
      <c r="AE80" s="343">
        <v>0</v>
      </c>
      <c r="AF80" s="343">
        <v>0</v>
      </c>
      <c r="AG80" s="343">
        <v>0</v>
      </c>
      <c r="AH80" s="343">
        <v>0</v>
      </c>
      <c r="AI80" s="343">
        <v>0</v>
      </c>
      <c r="AJ80" s="343"/>
      <c r="AK80" s="343">
        <v>0</v>
      </c>
      <c r="AL80" s="343">
        <v>0</v>
      </c>
      <c r="AM80" s="343">
        <v>0</v>
      </c>
      <c r="AN80" s="343">
        <v>0</v>
      </c>
      <c r="AO80" s="343">
        <v>0</v>
      </c>
      <c r="AP80" s="343">
        <v>0</v>
      </c>
      <c r="AQ80" s="343"/>
      <c r="AR80" s="343"/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3">
        <f t="shared" ref="U81:U86" si="35">IF(T81=0,0,P81/T81)</f>
        <v>0</v>
      </c>
      <c r="V81" s="994"/>
      <c r="W81" s="363"/>
      <c r="X81" s="224"/>
      <c r="Y81" s="976" t="str">
        <f t="shared" si="20"/>
        <v>510F(S)SILO</v>
      </c>
      <c r="Z81" s="938" t="s">
        <v>761</v>
      </c>
      <c r="AA81" s="450"/>
      <c r="AB81" s="450">
        <v>0</v>
      </c>
      <c r="AC81" s="343"/>
      <c r="AD81" s="343">
        <v>0</v>
      </c>
      <c r="AE81" s="343">
        <v>0</v>
      </c>
      <c r="AF81" s="343">
        <v>0</v>
      </c>
      <c r="AG81" s="343">
        <v>0</v>
      </c>
      <c r="AH81" s="343">
        <v>0</v>
      </c>
      <c r="AI81" s="343">
        <v>0</v>
      </c>
      <c r="AJ81" s="343"/>
      <c r="AK81" s="343">
        <v>0</v>
      </c>
      <c r="AL81" s="343">
        <v>0</v>
      </c>
      <c r="AM81" s="343">
        <v>0</v>
      </c>
      <c r="AN81" s="343">
        <v>0</v>
      </c>
      <c r="AO81" s="343">
        <v>0</v>
      </c>
      <c r="AP81" s="343">
        <v>0</v>
      </c>
      <c r="AQ81" s="343"/>
      <c r="AR81" s="343"/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3">
        <f t="shared" si="35"/>
        <v>0</v>
      </c>
      <c r="V82" s="994"/>
      <c r="W82" s="363"/>
      <c r="X82" s="224"/>
      <c r="Y82" s="976" t="str">
        <f t="shared" si="20"/>
        <v>510NFP87SILO</v>
      </c>
      <c r="Z82" s="938">
        <v>11252887</v>
      </c>
      <c r="AA82" s="450"/>
      <c r="AB82" s="450">
        <v>0</v>
      </c>
      <c r="AC82" s="343"/>
      <c r="AD82" s="343">
        <v>0</v>
      </c>
      <c r="AE82" s="343">
        <v>0</v>
      </c>
      <c r="AF82" s="343">
        <v>0</v>
      </c>
      <c r="AG82" s="343">
        <v>0</v>
      </c>
      <c r="AH82" s="343">
        <v>0</v>
      </c>
      <c r="AI82" s="343">
        <v>0</v>
      </c>
      <c r="AJ82" s="343"/>
      <c r="AK82" s="343">
        <v>0</v>
      </c>
      <c r="AL82" s="343">
        <v>0</v>
      </c>
      <c r="AM82" s="343">
        <v>0</v>
      </c>
      <c r="AN82" s="343">
        <v>0</v>
      </c>
      <c r="AO82" s="343">
        <v>0</v>
      </c>
      <c r="AP82" s="343">
        <v>0</v>
      </c>
      <c r="AQ82" s="343"/>
      <c r="AR82" s="343"/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3">
        <f t="shared" si="35"/>
        <v>0</v>
      </c>
      <c r="V83" s="994"/>
      <c r="W83" s="363"/>
      <c r="X83" s="224"/>
      <c r="Y83" s="976" t="str">
        <f>B83&amp;D83</f>
        <v>510NFP88SILO</v>
      </c>
      <c r="Z83" s="938">
        <v>11252888</v>
      </c>
      <c r="AA83" s="450"/>
      <c r="AB83" s="450">
        <v>0</v>
      </c>
      <c r="AC83" s="343"/>
      <c r="AD83" s="343">
        <v>0</v>
      </c>
      <c r="AE83" s="343">
        <v>0</v>
      </c>
      <c r="AF83" s="343">
        <v>0</v>
      </c>
      <c r="AG83" s="343">
        <v>0</v>
      </c>
      <c r="AH83" s="343">
        <v>0</v>
      </c>
      <c r="AI83" s="343">
        <v>0</v>
      </c>
      <c r="AJ83" s="343"/>
      <c r="AK83" s="343">
        <v>0</v>
      </c>
      <c r="AL83" s="343">
        <v>0</v>
      </c>
      <c r="AM83" s="343">
        <v>0</v>
      </c>
      <c r="AN83" s="343">
        <v>0</v>
      </c>
      <c r="AO83" s="343">
        <v>0</v>
      </c>
      <c r="AP83" s="343">
        <v>0</v>
      </c>
      <c r="AQ83" s="343"/>
      <c r="AR83" s="343"/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3">
        <f t="shared" si="35"/>
        <v>0</v>
      </c>
      <c r="V84" s="994"/>
      <c r="W84" s="363"/>
      <c r="X84" s="224"/>
      <c r="Y84" s="976" t="str">
        <f>B84&amp;D84</f>
        <v>510NFP89SILO</v>
      </c>
      <c r="Z84" s="938">
        <v>11252888</v>
      </c>
      <c r="AA84" s="450"/>
      <c r="AB84" s="450">
        <v>0</v>
      </c>
      <c r="AC84" s="343"/>
      <c r="AD84" s="343">
        <v>0</v>
      </c>
      <c r="AE84" s="343">
        <v>0</v>
      </c>
      <c r="AF84" s="343">
        <v>0</v>
      </c>
      <c r="AG84" s="343">
        <v>0</v>
      </c>
      <c r="AH84" s="343">
        <v>0</v>
      </c>
      <c r="AI84" s="343">
        <v>0</v>
      </c>
      <c r="AJ84" s="343"/>
      <c r="AK84" s="343">
        <v>0</v>
      </c>
      <c r="AL84" s="343">
        <v>0</v>
      </c>
      <c r="AM84" s="343">
        <v>0</v>
      </c>
      <c r="AN84" s="343">
        <v>0</v>
      </c>
      <c r="AO84" s="343">
        <v>0</v>
      </c>
      <c r="AP84" s="343">
        <v>0</v>
      </c>
      <c r="AQ84" s="343"/>
      <c r="AR84" s="343"/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3">
        <f t="shared" si="35"/>
        <v>0</v>
      </c>
      <c r="V85" s="994"/>
      <c r="W85" s="363"/>
      <c r="X85" s="224"/>
      <c r="Y85" s="976" t="str">
        <f>B85&amp;D85</f>
        <v>510NFP85SILO</v>
      </c>
      <c r="Z85" s="938">
        <v>11252885</v>
      </c>
      <c r="AA85" s="450"/>
      <c r="AB85" s="450">
        <v>0</v>
      </c>
      <c r="AC85" s="343"/>
      <c r="AD85" s="343">
        <v>0</v>
      </c>
      <c r="AE85" s="343">
        <v>0</v>
      </c>
      <c r="AF85" s="343">
        <v>0</v>
      </c>
      <c r="AG85" s="343">
        <v>0</v>
      </c>
      <c r="AH85" s="343">
        <v>0</v>
      </c>
      <c r="AI85" s="343">
        <v>0</v>
      </c>
      <c r="AJ85" s="343"/>
      <c r="AK85" s="343">
        <v>0</v>
      </c>
      <c r="AL85" s="343">
        <v>0</v>
      </c>
      <c r="AM85" s="343">
        <v>0</v>
      </c>
      <c r="AN85" s="343">
        <v>0</v>
      </c>
      <c r="AO85" s="343">
        <v>0</v>
      </c>
      <c r="AP85" s="343">
        <v>0</v>
      </c>
      <c r="AQ85" s="343"/>
      <c r="AR85" s="343"/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3">
        <f t="shared" si="35"/>
        <v>0</v>
      </c>
      <c r="V86" s="994"/>
      <c r="W86" s="224"/>
      <c r="X86" s="224"/>
      <c r="Y86" s="976" t="str">
        <f t="shared" si="20"/>
        <v>510NFSILO</v>
      </c>
      <c r="Z86" s="938" t="s">
        <v>762</v>
      </c>
      <c r="AA86" s="450"/>
      <c r="AB86" s="450">
        <v>0</v>
      </c>
      <c r="AC86" s="343"/>
      <c r="AD86" s="343">
        <v>0</v>
      </c>
      <c r="AE86" s="343">
        <v>0</v>
      </c>
      <c r="AF86" s="343">
        <v>0</v>
      </c>
      <c r="AG86" s="343">
        <v>0</v>
      </c>
      <c r="AH86" s="343">
        <v>0</v>
      </c>
      <c r="AI86" s="343">
        <v>0</v>
      </c>
      <c r="AJ86" s="343"/>
      <c r="AK86" s="343">
        <v>0</v>
      </c>
      <c r="AL86" s="343">
        <v>0</v>
      </c>
      <c r="AM86" s="343">
        <v>0</v>
      </c>
      <c r="AN86" s="343">
        <v>0</v>
      </c>
      <c r="AO86" s="343">
        <v>0</v>
      </c>
      <c r="AP86" s="343">
        <v>0</v>
      </c>
      <c r="AQ86" s="343"/>
      <c r="AR86" s="343"/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3">
        <f>IF(T87=0,0,P87/T87)</f>
        <v>0</v>
      </c>
      <c r="V87" s="994"/>
      <c r="W87" s="224"/>
      <c r="X87" s="224"/>
      <c r="Y87" s="976" t="str">
        <f>B87&amp;D87</f>
        <v>510NFP92SILO</v>
      </c>
      <c r="Z87" s="938">
        <v>11252892</v>
      </c>
      <c r="AA87" s="450"/>
      <c r="AB87" s="450">
        <v>0</v>
      </c>
      <c r="AC87" s="343"/>
      <c r="AD87" s="343">
        <v>0</v>
      </c>
      <c r="AE87" s="343">
        <v>0</v>
      </c>
      <c r="AF87" s="343">
        <v>0</v>
      </c>
      <c r="AG87" s="343">
        <v>0</v>
      </c>
      <c r="AH87" s="343">
        <v>0</v>
      </c>
      <c r="AI87" s="343">
        <v>0</v>
      </c>
      <c r="AJ87" s="343"/>
      <c r="AK87" s="343">
        <v>0</v>
      </c>
      <c r="AL87" s="343">
        <v>0</v>
      </c>
      <c r="AM87" s="343">
        <v>0</v>
      </c>
      <c r="AN87" s="343">
        <v>0</v>
      </c>
      <c r="AO87" s="343">
        <v>0</v>
      </c>
      <c r="AP87" s="343">
        <v>0</v>
      </c>
      <c r="AQ87" s="343"/>
      <c r="AR87" s="343"/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3">
        <f t="shared" ref="U88:U102" si="36">IF(T88=0,0,P88/T88)</f>
        <v>0</v>
      </c>
      <c r="V88" s="994"/>
      <c r="W88" s="224"/>
      <c r="X88" s="224"/>
      <c r="Y88" s="976" t="str">
        <f t="shared" si="20"/>
        <v>511AFSILO</v>
      </c>
      <c r="Z88" s="938" t="s">
        <v>763</v>
      </c>
      <c r="AA88" s="450"/>
      <c r="AB88" s="450">
        <v>0</v>
      </c>
      <c r="AC88" s="343"/>
      <c r="AD88" s="343">
        <v>0</v>
      </c>
      <c r="AE88" s="343">
        <v>0</v>
      </c>
      <c r="AF88" s="343">
        <v>0</v>
      </c>
      <c r="AG88" s="343">
        <v>0</v>
      </c>
      <c r="AH88" s="343">
        <v>0</v>
      </c>
      <c r="AI88" s="343">
        <v>0</v>
      </c>
      <c r="AJ88" s="343"/>
      <c r="AK88" s="343">
        <v>0</v>
      </c>
      <c r="AL88" s="343">
        <v>0</v>
      </c>
      <c r="AM88" s="343">
        <v>0</v>
      </c>
      <c r="AN88" s="343">
        <v>0</v>
      </c>
      <c r="AO88" s="343">
        <v>0</v>
      </c>
      <c r="AP88" s="343">
        <v>0</v>
      </c>
      <c r="AQ88" s="343"/>
      <c r="AR88" s="343"/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3">
        <f t="shared" si="36"/>
        <v>0</v>
      </c>
      <c r="V89" s="994"/>
      <c r="W89" s="224"/>
      <c r="X89" s="224"/>
      <c r="Y89" s="976" t="str">
        <f t="shared" si="20"/>
        <v>511ANFSILO</v>
      </c>
      <c r="Z89" s="938" t="s">
        <v>764</v>
      </c>
      <c r="AA89" s="450"/>
      <c r="AB89" s="450">
        <v>0</v>
      </c>
      <c r="AC89" s="343"/>
      <c r="AD89" s="343">
        <v>0</v>
      </c>
      <c r="AE89" s="343">
        <v>0</v>
      </c>
      <c r="AF89" s="343">
        <v>0</v>
      </c>
      <c r="AG89" s="343">
        <v>0</v>
      </c>
      <c r="AH89" s="343">
        <v>0</v>
      </c>
      <c r="AI89" s="343">
        <v>0</v>
      </c>
      <c r="AJ89" s="343"/>
      <c r="AK89" s="343">
        <v>0</v>
      </c>
      <c r="AL89" s="343">
        <v>0</v>
      </c>
      <c r="AM89" s="343">
        <v>0</v>
      </c>
      <c r="AN89" s="343">
        <v>0</v>
      </c>
      <c r="AO89" s="343">
        <v>0</v>
      </c>
      <c r="AP89" s="343">
        <v>0</v>
      </c>
      <c r="AQ89" s="343"/>
      <c r="AR89" s="343"/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3">
        <f>IF(T90=0,0,P90/T90)</f>
        <v>0</v>
      </c>
      <c r="V90" s="994"/>
      <c r="W90" s="224"/>
      <c r="X90" s="224"/>
      <c r="Y90" s="976" t="str">
        <f t="shared" ref="Y90:Y95" si="37">B90&amp;D90</f>
        <v>511ANFP33SILO</v>
      </c>
      <c r="Z90" s="938">
        <v>11352833</v>
      </c>
      <c r="AA90" s="450"/>
      <c r="AB90" s="450">
        <v>0</v>
      </c>
      <c r="AC90" s="343"/>
      <c r="AD90" s="343">
        <v>0</v>
      </c>
      <c r="AE90" s="343">
        <v>0</v>
      </c>
      <c r="AF90" s="343">
        <v>0</v>
      </c>
      <c r="AG90" s="343">
        <v>0</v>
      </c>
      <c r="AH90" s="343">
        <v>0</v>
      </c>
      <c r="AI90" s="343">
        <v>0</v>
      </c>
      <c r="AJ90" s="343"/>
      <c r="AK90" s="343">
        <v>0</v>
      </c>
      <c r="AL90" s="343">
        <v>0</v>
      </c>
      <c r="AM90" s="343">
        <v>0</v>
      </c>
      <c r="AN90" s="343">
        <v>0</v>
      </c>
      <c r="AO90" s="343">
        <v>0</v>
      </c>
      <c r="AP90" s="343">
        <v>0</v>
      </c>
      <c r="AQ90" s="343"/>
      <c r="AR90" s="343"/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3">
        <f>IF(T91=0,0,P91/T91)</f>
        <v>0</v>
      </c>
      <c r="V91" s="994"/>
      <c r="W91" s="224"/>
      <c r="X91" s="224"/>
      <c r="Y91" s="976" t="str">
        <f t="shared" si="37"/>
        <v>511ANFP35SILO</v>
      </c>
      <c r="Z91" s="938">
        <v>11352835</v>
      </c>
      <c r="AA91" s="450"/>
      <c r="AB91" s="450">
        <v>0</v>
      </c>
      <c r="AC91" s="343"/>
      <c r="AD91" s="343">
        <v>0</v>
      </c>
      <c r="AE91" s="343">
        <v>0</v>
      </c>
      <c r="AF91" s="343">
        <v>0</v>
      </c>
      <c r="AG91" s="343">
        <v>0</v>
      </c>
      <c r="AH91" s="343">
        <v>0</v>
      </c>
      <c r="AI91" s="343">
        <v>0</v>
      </c>
      <c r="AJ91" s="343"/>
      <c r="AK91" s="343">
        <v>0</v>
      </c>
      <c r="AL91" s="343">
        <v>0</v>
      </c>
      <c r="AM91" s="343">
        <v>0</v>
      </c>
      <c r="AN91" s="343">
        <v>0</v>
      </c>
      <c r="AO91" s="343">
        <v>0</v>
      </c>
      <c r="AP91" s="343">
        <v>0</v>
      </c>
      <c r="AQ91" s="343"/>
      <c r="AR91" s="343"/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3">
        <f t="shared" si="36"/>
        <v>0</v>
      </c>
      <c r="V92" s="994"/>
      <c r="W92" s="224"/>
      <c r="X92" s="224"/>
      <c r="Y92" s="976" t="str">
        <f t="shared" si="37"/>
        <v>511ANFP85SILO</v>
      </c>
      <c r="Z92" s="938">
        <v>11352885</v>
      </c>
      <c r="AA92" s="450"/>
      <c r="AB92" s="450">
        <v>0</v>
      </c>
      <c r="AC92" s="343"/>
      <c r="AD92" s="343">
        <v>0</v>
      </c>
      <c r="AE92" s="343">
        <v>0</v>
      </c>
      <c r="AF92" s="343">
        <v>0</v>
      </c>
      <c r="AG92" s="343">
        <v>0</v>
      </c>
      <c r="AH92" s="343">
        <v>0</v>
      </c>
      <c r="AI92" s="343">
        <v>0</v>
      </c>
      <c r="AJ92" s="343"/>
      <c r="AK92" s="343">
        <v>0</v>
      </c>
      <c r="AL92" s="343">
        <v>0</v>
      </c>
      <c r="AM92" s="343">
        <v>0</v>
      </c>
      <c r="AN92" s="343">
        <v>0</v>
      </c>
      <c r="AO92" s="343">
        <v>0</v>
      </c>
      <c r="AP92" s="343">
        <v>0</v>
      </c>
      <c r="AQ92" s="343"/>
      <c r="AR92" s="343"/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3">
        <f>IF(T93=0,0,P93/T93)</f>
        <v>0</v>
      </c>
      <c r="V93" s="994"/>
      <c r="W93" s="224"/>
      <c r="X93" s="224"/>
      <c r="Y93" s="976" t="str">
        <f t="shared" si="37"/>
        <v>511ANFP88SILO</v>
      </c>
      <c r="Z93" s="938">
        <v>11352888</v>
      </c>
      <c r="AA93" s="450"/>
      <c r="AB93" s="450">
        <v>0</v>
      </c>
      <c r="AC93" s="343"/>
      <c r="AD93" s="343">
        <v>0</v>
      </c>
      <c r="AE93" s="343">
        <v>0</v>
      </c>
      <c r="AF93" s="343">
        <v>0</v>
      </c>
      <c r="AG93" s="343">
        <v>0</v>
      </c>
      <c r="AH93" s="343">
        <v>0</v>
      </c>
      <c r="AI93" s="343">
        <v>0</v>
      </c>
      <c r="AJ93" s="343"/>
      <c r="AK93" s="343">
        <v>0</v>
      </c>
      <c r="AL93" s="343">
        <v>0</v>
      </c>
      <c r="AM93" s="343">
        <v>0</v>
      </c>
      <c r="AN93" s="343">
        <v>0</v>
      </c>
      <c r="AO93" s="343">
        <v>0</v>
      </c>
      <c r="AP93" s="343">
        <v>0</v>
      </c>
      <c r="AQ93" s="343"/>
      <c r="AR93" s="343"/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3">
        <f>IF(T94=0,0,P94/T94)</f>
        <v>0</v>
      </c>
      <c r="V94" s="994"/>
      <c r="W94" s="224"/>
      <c r="X94" s="224"/>
      <c r="Y94" s="976" t="str">
        <f t="shared" si="37"/>
        <v>511ANFP89SILO</v>
      </c>
      <c r="Z94" s="938">
        <v>11352889</v>
      </c>
      <c r="AA94" s="450"/>
      <c r="AB94" s="450">
        <v>0</v>
      </c>
      <c r="AC94" s="343"/>
      <c r="AD94" s="343">
        <v>0</v>
      </c>
      <c r="AE94" s="343">
        <v>0</v>
      </c>
      <c r="AF94" s="343">
        <v>0</v>
      </c>
      <c r="AG94" s="343">
        <v>0</v>
      </c>
      <c r="AH94" s="343">
        <v>0</v>
      </c>
      <c r="AI94" s="343">
        <v>0</v>
      </c>
      <c r="AJ94" s="343"/>
      <c r="AK94" s="343">
        <v>0</v>
      </c>
      <c r="AL94" s="343">
        <v>0</v>
      </c>
      <c r="AM94" s="343">
        <v>0</v>
      </c>
      <c r="AN94" s="343">
        <v>0</v>
      </c>
      <c r="AO94" s="343">
        <v>0</v>
      </c>
      <c r="AP94" s="343">
        <v>0</v>
      </c>
      <c r="AQ94" s="343"/>
      <c r="AR94" s="343"/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3">
        <f>IF(T95=0,0,P95/T95)</f>
        <v>0</v>
      </c>
      <c r="V95" s="994"/>
      <c r="W95" s="224"/>
      <c r="X95" s="224"/>
      <c r="Y95" s="976" t="str">
        <f t="shared" si="37"/>
        <v>511ANFP92SILO</v>
      </c>
      <c r="Z95" s="938">
        <v>11352892</v>
      </c>
      <c r="AA95" s="450"/>
      <c r="AB95" s="450">
        <v>0</v>
      </c>
      <c r="AC95" s="343"/>
      <c r="AD95" s="343">
        <v>0</v>
      </c>
      <c r="AE95" s="343">
        <v>0</v>
      </c>
      <c r="AF95" s="343">
        <v>0</v>
      </c>
      <c r="AG95" s="343">
        <v>0</v>
      </c>
      <c r="AH95" s="343">
        <v>0</v>
      </c>
      <c r="AI95" s="343">
        <v>0</v>
      </c>
      <c r="AJ95" s="343"/>
      <c r="AK95" s="343">
        <v>0</v>
      </c>
      <c r="AL95" s="343">
        <v>0</v>
      </c>
      <c r="AM95" s="343">
        <v>0</v>
      </c>
      <c r="AN95" s="343">
        <v>0</v>
      </c>
      <c r="AO95" s="343">
        <v>0</v>
      </c>
      <c r="AP95" s="343">
        <v>0</v>
      </c>
      <c r="AQ95" s="343"/>
      <c r="AR95" s="343"/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3">
        <f t="shared" si="36"/>
        <v>0</v>
      </c>
      <c r="V96" s="994"/>
      <c r="W96" s="224"/>
      <c r="X96" s="224"/>
      <c r="Y96" s="976" t="str">
        <f t="shared" si="20"/>
        <v>511FSILO</v>
      </c>
      <c r="Z96" s="938" t="s">
        <v>765</v>
      </c>
      <c r="AA96" s="449"/>
      <c r="AB96" s="449">
        <v>0</v>
      </c>
      <c r="AC96" s="343"/>
      <c r="AD96" s="343">
        <v>0</v>
      </c>
      <c r="AE96" s="343">
        <v>0</v>
      </c>
      <c r="AF96" s="343">
        <v>0</v>
      </c>
      <c r="AG96" s="343">
        <v>0</v>
      </c>
      <c r="AH96" s="343">
        <v>0</v>
      </c>
      <c r="AI96" s="343">
        <v>0</v>
      </c>
      <c r="AJ96" s="343"/>
      <c r="AK96" s="343">
        <v>0</v>
      </c>
      <c r="AL96" s="343">
        <v>0</v>
      </c>
      <c r="AM96" s="343">
        <v>0</v>
      </c>
      <c r="AN96" s="343">
        <v>0</v>
      </c>
      <c r="AO96" s="343">
        <v>0</v>
      </c>
      <c r="AP96" s="343">
        <v>0</v>
      </c>
      <c r="AQ96" s="343"/>
      <c r="AR96" s="343"/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3">
        <f t="shared" si="36"/>
        <v>0</v>
      </c>
      <c r="V97" s="994"/>
      <c r="W97" s="224"/>
      <c r="X97" s="224"/>
      <c r="Y97" s="976" t="str">
        <f t="shared" si="20"/>
        <v>511NFSILO</v>
      </c>
      <c r="Z97" s="938" t="s">
        <v>766</v>
      </c>
      <c r="AA97" s="450"/>
      <c r="AB97" s="450">
        <v>0</v>
      </c>
      <c r="AC97" s="343"/>
      <c r="AD97" s="343">
        <v>0</v>
      </c>
      <c r="AE97" s="343">
        <v>0</v>
      </c>
      <c r="AF97" s="343">
        <v>0</v>
      </c>
      <c r="AG97" s="343">
        <v>0</v>
      </c>
      <c r="AH97" s="343">
        <v>0</v>
      </c>
      <c r="AI97" s="343">
        <v>0</v>
      </c>
      <c r="AJ97" s="343"/>
      <c r="AK97" s="343">
        <v>0</v>
      </c>
      <c r="AL97" s="343">
        <v>0</v>
      </c>
      <c r="AM97" s="343">
        <v>0</v>
      </c>
      <c r="AN97" s="343">
        <v>0</v>
      </c>
      <c r="AO97" s="343">
        <v>0</v>
      </c>
      <c r="AP97" s="343">
        <v>0</v>
      </c>
      <c r="AQ97" s="343"/>
      <c r="AR97" s="343"/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3">
        <f>IF(T98=0,0,P98/T98)</f>
        <v>0</v>
      </c>
      <c r="V98" s="994"/>
      <c r="W98" s="224"/>
      <c r="X98" s="224"/>
      <c r="Y98" s="976" t="str">
        <f>B98&amp;D98</f>
        <v>511NFP33SILO</v>
      </c>
      <c r="Z98" s="938">
        <v>11452833</v>
      </c>
      <c r="AA98" s="450"/>
      <c r="AB98" s="450">
        <v>0</v>
      </c>
      <c r="AC98" s="343"/>
      <c r="AD98" s="343">
        <v>0</v>
      </c>
      <c r="AE98" s="343">
        <v>0</v>
      </c>
      <c r="AF98" s="343">
        <v>0</v>
      </c>
      <c r="AG98" s="343">
        <v>0</v>
      </c>
      <c r="AH98" s="343">
        <v>0</v>
      </c>
      <c r="AI98" s="343">
        <v>0</v>
      </c>
      <c r="AJ98" s="343"/>
      <c r="AK98" s="343">
        <v>0</v>
      </c>
      <c r="AL98" s="343">
        <v>0</v>
      </c>
      <c r="AM98" s="343">
        <v>0</v>
      </c>
      <c r="AN98" s="343">
        <v>0</v>
      </c>
      <c r="AO98" s="343">
        <v>0</v>
      </c>
      <c r="AP98" s="343">
        <v>0</v>
      </c>
      <c r="AQ98" s="343"/>
      <c r="AR98" s="343"/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3">
        <f t="shared" si="36"/>
        <v>0</v>
      </c>
      <c r="V99" s="994"/>
      <c r="W99" s="224"/>
      <c r="X99" s="224"/>
      <c r="Y99" s="976" t="str">
        <f>B99&amp;D99</f>
        <v>511NFP35SILO</v>
      </c>
      <c r="Z99" s="938">
        <v>11452835</v>
      </c>
      <c r="AA99" s="450"/>
      <c r="AB99" s="450">
        <v>0</v>
      </c>
      <c r="AC99" s="343"/>
      <c r="AD99" s="343">
        <v>0</v>
      </c>
      <c r="AE99" s="343">
        <v>0</v>
      </c>
      <c r="AF99" s="343">
        <v>0</v>
      </c>
      <c r="AG99" s="343">
        <v>0</v>
      </c>
      <c r="AH99" s="343">
        <v>0</v>
      </c>
      <c r="AI99" s="343">
        <v>0</v>
      </c>
      <c r="AJ99" s="343"/>
      <c r="AK99" s="343">
        <v>0</v>
      </c>
      <c r="AL99" s="343">
        <v>0</v>
      </c>
      <c r="AM99" s="343">
        <v>0</v>
      </c>
      <c r="AN99" s="343">
        <v>0</v>
      </c>
      <c r="AO99" s="343">
        <v>0</v>
      </c>
      <c r="AP99" s="343">
        <v>0</v>
      </c>
      <c r="AQ99" s="343"/>
      <c r="AR99" s="343"/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3">
        <f>IF(T100=0,0,P100/T100)</f>
        <v>0</v>
      </c>
      <c r="V100" s="994"/>
      <c r="W100" s="224"/>
      <c r="X100" s="224"/>
      <c r="Y100" s="976" t="str">
        <f>B100&amp;D100</f>
        <v>511NFP85SILO</v>
      </c>
      <c r="Z100" s="938">
        <v>11452885</v>
      </c>
      <c r="AA100" s="450"/>
      <c r="AB100" s="450">
        <v>0</v>
      </c>
      <c r="AC100" s="343"/>
      <c r="AD100" s="343">
        <v>0</v>
      </c>
      <c r="AE100" s="343">
        <v>0</v>
      </c>
      <c r="AF100" s="343">
        <v>0</v>
      </c>
      <c r="AG100" s="343">
        <v>0</v>
      </c>
      <c r="AH100" s="343">
        <v>0</v>
      </c>
      <c r="AI100" s="343">
        <v>0</v>
      </c>
      <c r="AJ100" s="343"/>
      <c r="AK100" s="343">
        <v>0</v>
      </c>
      <c r="AL100" s="343">
        <v>0</v>
      </c>
      <c r="AM100" s="343">
        <v>0</v>
      </c>
      <c r="AN100" s="343">
        <v>0</v>
      </c>
      <c r="AO100" s="343">
        <v>0</v>
      </c>
      <c r="AP100" s="343">
        <v>0</v>
      </c>
      <c r="AQ100" s="343"/>
      <c r="AR100" s="343"/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3">
        <f>IF(T101=0,0,P101/T101)</f>
        <v>0</v>
      </c>
      <c r="V101" s="994"/>
      <c r="W101" s="373"/>
      <c r="X101" s="373"/>
      <c r="Y101" s="976" t="str">
        <f>B101&amp;D101</f>
        <v>511NFP87SILO</v>
      </c>
      <c r="Z101" s="938">
        <v>11452887</v>
      </c>
      <c r="AA101" s="450"/>
      <c r="AB101" s="450">
        <v>0</v>
      </c>
      <c r="AC101" s="343"/>
      <c r="AD101" s="343">
        <v>0</v>
      </c>
      <c r="AE101" s="343">
        <v>0</v>
      </c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>
        <v>0</v>
      </c>
      <c r="AM101" s="343">
        <v>0</v>
      </c>
      <c r="AN101" s="343">
        <v>0</v>
      </c>
      <c r="AO101" s="343">
        <v>0</v>
      </c>
      <c r="AP101" s="343">
        <v>0</v>
      </c>
      <c r="AQ101" s="343"/>
      <c r="AR101" s="343"/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3">
        <f t="shared" si="36"/>
        <v>0</v>
      </c>
      <c r="V102" s="994"/>
      <c r="W102" s="373"/>
      <c r="X102" s="373"/>
      <c r="Y102" s="976" t="str">
        <f>B102&amp;D102</f>
        <v>513F(S)SILO</v>
      </c>
      <c r="Z102" s="938" t="s">
        <v>767</v>
      </c>
      <c r="AA102" s="450"/>
      <c r="AB102" s="450"/>
      <c r="AC102" s="343"/>
      <c r="AD102" s="343">
        <v>0</v>
      </c>
      <c r="AE102" s="343">
        <v>0</v>
      </c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>
        <v>0</v>
      </c>
      <c r="AM102" s="343">
        <v>0</v>
      </c>
      <c r="AN102" s="343">
        <v>0</v>
      </c>
      <c r="AO102" s="343">
        <v>0</v>
      </c>
      <c r="AP102" s="343">
        <v>0</v>
      </c>
      <c r="AQ102" s="343"/>
      <c r="AR102" s="343"/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0" t="s">
        <v>1740</v>
      </c>
      <c r="B103" s="991"/>
      <c r="C103" s="991"/>
      <c r="D103" s="992"/>
      <c r="E103" s="498">
        <f>SUM(E62:E71,E53,E52)</f>
        <v>0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0</v>
      </c>
      <c r="P103" s="498">
        <f>SUM(P62:P71,P53,P52)</f>
        <v>0</v>
      </c>
      <c r="Q103" s="498">
        <f t="shared" si="39"/>
        <v>64400</v>
      </c>
      <c r="R103" s="238">
        <f>SUM(R13,R16,R19)</f>
        <v>228600</v>
      </c>
      <c r="S103" s="238">
        <f>SUM(S13,S16,S19)</f>
        <v>1518890</v>
      </c>
      <c r="T103" s="238">
        <f>SUM(T53,T62:T69,T48)</f>
        <v>4293.333333333333</v>
      </c>
      <c r="U103" s="1176">
        <f>IF(T103=0,0,P103/T103)</f>
        <v>0</v>
      </c>
      <c r="V103" s="1177"/>
      <c r="W103" s="1195">
        <f>P108/T107</f>
        <v>2.257569672589852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0</v>
      </c>
      <c r="AB103" s="234">
        <f t="shared" si="41"/>
        <v>161740</v>
      </c>
      <c r="AC103" s="234">
        <f t="shared" si="41"/>
        <v>97990</v>
      </c>
      <c r="AD103" s="234">
        <f t="shared" si="41"/>
        <v>151130</v>
      </c>
      <c r="AE103" s="234">
        <f t="shared" si="41"/>
        <v>113940</v>
      </c>
      <c r="AF103" s="234">
        <f t="shared" si="41"/>
        <v>106750</v>
      </c>
      <c r="AG103" s="234">
        <f t="shared" si="41"/>
        <v>49350</v>
      </c>
      <c r="AH103" s="234">
        <f t="shared" si="41"/>
        <v>178630</v>
      </c>
      <c r="AI103" s="234">
        <f t="shared" si="41"/>
        <v>81270</v>
      </c>
      <c r="AJ103" s="234">
        <f t="shared" si="41"/>
        <v>0</v>
      </c>
      <c r="AK103" s="234">
        <f t="shared" si="41"/>
        <v>129700</v>
      </c>
      <c r="AL103" s="234">
        <f t="shared" si="41"/>
        <v>101850</v>
      </c>
      <c r="AM103" s="234">
        <f t="shared" si="41"/>
        <v>151040</v>
      </c>
      <c r="AN103" s="234">
        <f t="shared" si="41"/>
        <v>57670</v>
      </c>
      <c r="AO103" s="234">
        <f t="shared" si="41"/>
        <v>71150</v>
      </c>
      <c r="AP103" s="234">
        <f t="shared" si="41"/>
        <v>66680</v>
      </c>
      <c r="AQ103" s="234">
        <f t="shared" si="41"/>
        <v>0</v>
      </c>
      <c r="AR103" s="234">
        <f t="shared" si="41"/>
        <v>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1518890</v>
      </c>
      <c r="BG103" s="219"/>
      <c r="BH103" s="219"/>
      <c r="BJ103" s="209"/>
    </row>
    <row r="104" spans="1:62" s="235" customFormat="1" ht="15" customHeight="1">
      <c r="A104" s="990" t="s">
        <v>1765</v>
      </c>
      <c r="B104" s="991"/>
      <c r="C104" s="991"/>
      <c r="D104" s="992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6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0" t="s">
        <v>1741</v>
      </c>
      <c r="B105" s="991"/>
      <c r="C105" s="991"/>
      <c r="D105" s="992"/>
      <c r="E105" s="498">
        <f t="shared" ref="E105:N105" si="43">SUM(E10:E47,E49:E51,E54:E61)</f>
        <v>4895</v>
      </c>
      <c r="F105" s="498">
        <f>SUM(F10:F47,F49:F51,F54:F61)</f>
        <v>711</v>
      </c>
      <c r="G105" s="498">
        <f t="shared" si="43"/>
        <v>0</v>
      </c>
      <c r="H105" s="498">
        <f t="shared" si="43"/>
        <v>4</v>
      </c>
      <c r="I105" s="498">
        <f t="shared" si="43"/>
        <v>1038</v>
      </c>
      <c r="J105" s="498">
        <f t="shared" si="43"/>
        <v>0</v>
      </c>
      <c r="K105" s="498">
        <f t="shared" si="43"/>
        <v>0</v>
      </c>
      <c r="L105" s="498">
        <f t="shared" si="43"/>
        <v>51900</v>
      </c>
      <c r="M105" s="498">
        <f t="shared" si="43"/>
        <v>0</v>
      </c>
      <c r="N105" s="498">
        <f t="shared" si="43"/>
        <v>0</v>
      </c>
      <c r="O105" s="498">
        <f>SUM(O10:O47,O49:O51,O54:O61)</f>
        <v>4572</v>
      </c>
      <c r="P105" s="498">
        <f>SUM(P10:P47,P49:P51,P54:P61)</f>
        <v>228600</v>
      </c>
      <c r="Q105" s="498">
        <f>SUM(Q10:Q71)-Q103</f>
        <v>1276550</v>
      </c>
      <c r="R105" s="498">
        <f>SUM(R11:R47,R49:R51,R54:R61)</f>
        <v>228600</v>
      </c>
      <c r="S105" s="498">
        <f>SUM(S11:S47,S49:S51,S54:S61)</f>
        <v>1582670</v>
      </c>
      <c r="T105" s="498">
        <f>SUM(T10:T47,T49:T51,T54:T61)</f>
        <v>85103.333333333343</v>
      </c>
      <c r="U105" s="1010">
        <f>IF(T105=0,0,P105/T105)</f>
        <v>2.6861462535740861</v>
      </c>
      <c r="V105" s="1011"/>
      <c r="W105" s="1196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14780</v>
      </c>
      <c r="G106" s="232">
        <f>SUM(G74:G102)</f>
        <v>0</v>
      </c>
      <c r="H106" s="232">
        <f>SUM(H74:H102)</f>
        <v>0</v>
      </c>
      <c r="I106" s="232">
        <f>SUM(L74:L102)</f>
        <v>14780</v>
      </c>
      <c r="J106" s="232"/>
      <c r="K106" s="232"/>
      <c r="L106" s="232">
        <f t="shared" ref="L106:Q106" si="44">SUM(L74:L102)</f>
        <v>14780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177940</v>
      </c>
      <c r="R106" s="236"/>
      <c r="S106" s="236"/>
      <c r="T106" s="237">
        <f>Q106/$N$293</f>
        <v>11862.666666666666</v>
      </c>
      <c r="U106" s="1010"/>
      <c r="V106" s="1011"/>
      <c r="W106" s="1196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87" t="s">
        <v>1742</v>
      </c>
      <c r="B107" s="988"/>
      <c r="C107" s="988"/>
      <c r="D107" s="989"/>
      <c r="E107" s="238">
        <f>SUM(E103:E105)</f>
        <v>4895</v>
      </c>
      <c r="F107" s="238">
        <f>SUM(F103:F105)</f>
        <v>711</v>
      </c>
      <c r="G107" s="238">
        <f>SUM(G103:G105)</f>
        <v>0</v>
      </c>
      <c r="H107" s="238">
        <f>SUM(H103:H105)</f>
        <v>4</v>
      </c>
      <c r="I107" s="238">
        <f t="shared" ref="I107:P107" si="45">SUM(I103:I105)</f>
        <v>1038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4572</v>
      </c>
      <c r="P107" s="238">
        <f t="shared" si="45"/>
        <v>228600</v>
      </c>
      <c r="Q107" s="894">
        <f>+Q108</f>
        <v>1518890</v>
      </c>
      <c r="R107" s="236">
        <f>SUM(R11:R102)</f>
        <v>228600</v>
      </c>
      <c r="S107" s="236"/>
      <c r="T107" s="1052">
        <f>Q107/$N$293</f>
        <v>101259.33333333333</v>
      </c>
      <c r="U107" s="1008" t="s">
        <v>1761</v>
      </c>
      <c r="V107" s="1009"/>
      <c r="W107" s="1196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0" t="s">
        <v>1743</v>
      </c>
      <c r="B108" s="991"/>
      <c r="C108" s="991"/>
      <c r="D108" s="992"/>
      <c r="E108" s="232">
        <f>E103*25+E105*50+E106+E104*40</f>
        <v>244750</v>
      </c>
      <c r="F108" s="232">
        <f>F103*25+F105*50+F106+F104*40</f>
        <v>50330</v>
      </c>
      <c r="G108" s="232">
        <f>G103*25+G105*50+G106</f>
        <v>0</v>
      </c>
      <c r="H108" s="232">
        <f>H103*25+H105*50+H106</f>
        <v>200</v>
      </c>
      <c r="I108" s="232">
        <f>I103*25+I105*50+I106</f>
        <v>66680</v>
      </c>
      <c r="J108" s="232"/>
      <c r="K108" s="232"/>
      <c r="L108" s="232">
        <f>L103+L105+L106+L104</f>
        <v>66680</v>
      </c>
      <c r="M108" s="232">
        <f>+M105*50+M103*25</f>
        <v>0</v>
      </c>
      <c r="N108" s="232">
        <f>+N103*25+N104*40+N105*50</f>
        <v>0</v>
      </c>
      <c r="O108" s="558">
        <f>O103*25+O105*50+O106</f>
        <v>228600</v>
      </c>
      <c r="P108" s="232">
        <f>P103+P105+P106</f>
        <v>228600</v>
      </c>
      <c r="Q108" s="427">
        <f>+SUM(Q10:Q102)</f>
        <v>1518890</v>
      </c>
      <c r="R108" s="242"/>
      <c r="S108" s="242"/>
      <c r="T108" s="1053"/>
      <c r="U108" s="1008"/>
      <c r="V108" s="1009"/>
      <c r="W108" s="1197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1" t="s">
        <v>1735</v>
      </c>
      <c r="D112" s="1051"/>
      <c r="E112" s="1051"/>
      <c r="F112" s="1051"/>
      <c r="G112" s="1051"/>
      <c r="H112" s="1051"/>
      <c r="I112" s="1051"/>
      <c r="J112" s="1051"/>
      <c r="K112" s="1051"/>
      <c r="L112" s="1051"/>
      <c r="M112" s="1051"/>
      <c r="N112" s="1051"/>
      <c r="O112" s="1051"/>
      <c r="P112" s="1051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59" t="s">
        <v>86</v>
      </c>
      <c r="D113" s="1159"/>
      <c r="E113" s="1159"/>
      <c r="F113" s="1159"/>
      <c r="G113" s="1159"/>
      <c r="H113" s="1159"/>
      <c r="I113" s="1159"/>
      <c r="J113" s="1159"/>
      <c r="K113" s="1159"/>
      <c r="L113" s="1159"/>
      <c r="M113" s="1159"/>
      <c r="N113" s="1159"/>
      <c r="O113" s="1159"/>
      <c r="P113" s="115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0" t="s">
        <v>1738</v>
      </c>
      <c r="D114" s="1160"/>
      <c r="E114" s="1160"/>
      <c r="F114" s="1160"/>
      <c r="G114" s="1160"/>
      <c r="H114" s="1160"/>
      <c r="I114" s="1160"/>
      <c r="J114" s="1160"/>
      <c r="K114" s="1160"/>
      <c r="L114" s="1160"/>
      <c r="M114" s="1160"/>
      <c r="N114" s="1160"/>
      <c r="O114" s="1160"/>
      <c r="P114" s="116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3" t="s">
        <v>1675</v>
      </c>
      <c r="B115" s="1034" t="s">
        <v>1676</v>
      </c>
      <c r="C115" s="1034" t="s">
        <v>1677</v>
      </c>
      <c r="D115" s="1046" t="s">
        <v>1678</v>
      </c>
      <c r="E115" s="61" t="s">
        <v>0</v>
      </c>
      <c r="F115" s="1049" t="s">
        <v>1680</v>
      </c>
      <c r="G115" s="1054"/>
      <c r="H115" s="1050"/>
      <c r="I115" s="1049" t="s">
        <v>1681</v>
      </c>
      <c r="J115" s="1054"/>
      <c r="K115" s="1054"/>
      <c r="L115" s="1054"/>
      <c r="M115" s="1054"/>
      <c r="N115" s="1050"/>
      <c r="O115" s="1049" t="s">
        <v>1687</v>
      </c>
      <c r="P115" s="1050"/>
      <c r="Q115" s="194" t="s">
        <v>1727</v>
      </c>
      <c r="R115" s="334"/>
      <c r="S115" s="334"/>
      <c r="T115" s="194" t="s">
        <v>1728</v>
      </c>
      <c r="U115" s="1037" t="s">
        <v>1690</v>
      </c>
      <c r="V115" s="1038"/>
      <c r="W115" s="1173" t="s">
        <v>1692</v>
      </c>
      <c r="X115" s="999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4"/>
      <c r="B116" s="1035"/>
      <c r="C116" s="1035"/>
      <c r="D116" s="1047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49" t="s">
        <v>1684</v>
      </c>
      <c r="J116" s="1054"/>
      <c r="K116" s="1054"/>
      <c r="L116" s="1050"/>
      <c r="M116" s="585" t="s">
        <v>1688</v>
      </c>
      <c r="N116" s="784" t="s">
        <v>1686</v>
      </c>
      <c r="O116" s="1049" t="s">
        <v>1732</v>
      </c>
      <c r="P116" s="1050"/>
      <c r="Q116" s="787" t="s">
        <v>1730</v>
      </c>
      <c r="R116" s="786"/>
      <c r="S116" s="786"/>
      <c r="T116" s="787" t="s">
        <v>1731</v>
      </c>
      <c r="U116" s="1039"/>
      <c r="V116" s="1040"/>
      <c r="W116" s="1174"/>
      <c r="X116" s="1000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5"/>
      <c r="B117" s="1036"/>
      <c r="C117" s="1036"/>
      <c r="D117" s="1048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1"/>
      <c r="V117" s="1042"/>
      <c r="W117" s="1175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2494</v>
      </c>
      <c r="C118" s="407" t="s">
        <v>40</v>
      </c>
      <c r="D118" s="876">
        <v>10</v>
      </c>
      <c r="E118" s="305">
        <v>5929</v>
      </c>
      <c r="F118" s="821">
        <v>0</v>
      </c>
      <c r="G118" s="305"/>
      <c r="H118" s="344">
        <v>2900</v>
      </c>
      <c r="I118" s="305">
        <f>SUMIF(data!$D:$D,INTGRATE!$B118&amp;INTGRATE!$D118,data!$J:$J)</f>
        <v>965</v>
      </c>
      <c r="J118" s="305"/>
      <c r="K118" s="305"/>
      <c r="L118" s="248">
        <f>SUMIF(data!$D:$D,INTGRATE!$B118&amp;INTGRATE!$D118,data!$K:$K)</f>
        <v>9650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7864</v>
      </c>
      <c r="P118" s="305">
        <f t="shared" ref="P118:P161" si="46">O118*D118</f>
        <v>78640</v>
      </c>
      <c r="Q118" s="248">
        <f t="shared" ref="Q118:Q149" si="47">SUM(AA118:BE118)</f>
        <v>160750</v>
      </c>
      <c r="R118" s="222"/>
      <c r="S118" s="222"/>
      <c r="T118" s="248">
        <f t="shared" ref="T118:T149" si="48">Q118/$N$293</f>
        <v>10716.666666666666</v>
      </c>
      <c r="U118" s="993">
        <f t="shared" ref="U118:U148" si="49">IF(T118=0,0,P118/T118)</f>
        <v>7.3381026438569208</v>
      </c>
      <c r="V118" s="994"/>
      <c r="W118" s="472"/>
      <c r="Y118" s="981" t="str">
        <f t="shared" ref="Y118:Y161" si="50">B118&amp;D118</f>
        <v>550PF10</v>
      </c>
      <c r="Z118" s="941">
        <v>0</v>
      </c>
      <c r="AA118" s="248"/>
      <c r="AB118" s="343">
        <v>13400</v>
      </c>
      <c r="AC118" s="343">
        <v>6000</v>
      </c>
      <c r="AD118" s="343">
        <v>17200</v>
      </c>
      <c r="AE118" s="343">
        <v>26500</v>
      </c>
      <c r="AF118" s="343">
        <v>7300</v>
      </c>
      <c r="AG118" s="343">
        <v>3500</v>
      </c>
      <c r="AH118" s="343">
        <v>4000</v>
      </c>
      <c r="AI118" s="343">
        <v>11000</v>
      </c>
      <c r="AJ118" s="343"/>
      <c r="AK118" s="343">
        <v>35200</v>
      </c>
      <c r="AL118" s="343">
        <v>8000</v>
      </c>
      <c r="AM118" s="343">
        <v>8500</v>
      </c>
      <c r="AN118" s="305">
        <v>7500</v>
      </c>
      <c r="AO118" s="343">
        <v>3000</v>
      </c>
      <c r="AP118" s="343">
        <v>9650</v>
      </c>
      <c r="AQ118" s="248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160750</v>
      </c>
      <c r="BG118" s="896">
        <f>COUNTIF(AA118:BE118,"&gt;0")</f>
        <v>14</v>
      </c>
      <c r="BH118" s="896">
        <f>IFERROR(BF118/BG118,0)</f>
        <v>11482.142857142857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368</v>
      </c>
      <c r="F119" s="100">
        <f>SUMIF(pro!$A:$A,INTGRATE!$Y:$Y,pro!$N:$N)</f>
        <v>975</v>
      </c>
      <c r="G119" s="248"/>
      <c r="H119" s="344">
        <f>SUMIF(CBIN!$A:$A,INTGRATE!$Y:$Y,CBIN!$G:$G)</f>
        <v>0</v>
      </c>
      <c r="I119" s="248">
        <f>SUMIF(data!$D:$D,INTGRATE!$B119&amp;INTGRATE!$D119,data!$J:$J)</f>
        <v>281</v>
      </c>
      <c r="J119" s="248"/>
      <c r="K119" s="248"/>
      <c r="L119" s="248">
        <f>SUMIF(data!$D:$D,INTGRATE!$B119&amp;INTGRATE!$D119,data!$K:$K)</f>
        <v>14050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1062</v>
      </c>
      <c r="P119" s="248">
        <f t="shared" si="46"/>
        <v>53100</v>
      </c>
      <c r="Q119" s="248">
        <f t="shared" si="47"/>
        <v>334800</v>
      </c>
      <c r="R119" s="408"/>
      <c r="S119" s="222"/>
      <c r="T119" s="248">
        <f t="shared" si="48"/>
        <v>22320</v>
      </c>
      <c r="U119" s="993">
        <f t="shared" si="49"/>
        <v>2.379032258064516</v>
      </c>
      <c r="V119" s="994"/>
      <c r="W119" s="363"/>
      <c r="X119" s="251"/>
      <c r="Y119" s="981" t="str">
        <f t="shared" si="50"/>
        <v>550SF50</v>
      </c>
      <c r="Z119" s="942" t="s">
        <v>773</v>
      </c>
      <c r="AA119" s="248"/>
      <c r="AB119" s="343">
        <v>15550</v>
      </c>
      <c r="AC119" s="343">
        <v>3000</v>
      </c>
      <c r="AD119" s="343">
        <v>51100</v>
      </c>
      <c r="AE119" s="343">
        <v>62450</v>
      </c>
      <c r="AF119" s="343">
        <v>14250</v>
      </c>
      <c r="AG119" s="343">
        <v>0</v>
      </c>
      <c r="AH119" s="343">
        <v>12250</v>
      </c>
      <c r="AI119" s="343">
        <v>28500</v>
      </c>
      <c r="AJ119" s="343"/>
      <c r="AK119" s="343">
        <v>17500</v>
      </c>
      <c r="AL119" s="343">
        <v>23250</v>
      </c>
      <c r="AM119" s="343">
        <v>20500</v>
      </c>
      <c r="AN119" s="248">
        <v>23000</v>
      </c>
      <c r="AO119" s="343">
        <v>49400</v>
      </c>
      <c r="AP119" s="343">
        <v>14050</v>
      </c>
      <c r="AQ119" s="248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334800</v>
      </c>
      <c r="BG119" s="896">
        <f t="shared" ref="BG119:BG184" si="53">COUNTIF(AA119:BE119,"&gt;0")</f>
        <v>13</v>
      </c>
      <c r="BH119" s="896">
        <f t="shared" ref="BH119:BH184" si="54">IFERROR(BF119/BG119,0)</f>
        <v>25753.846153846152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3">
        <f t="shared" si="49"/>
        <v>0</v>
      </c>
      <c r="V120" s="994"/>
      <c r="W120" s="600"/>
      <c r="X120" s="251"/>
      <c r="Y120" s="981" t="str">
        <f t="shared" si="50"/>
        <v>550S FS2025</v>
      </c>
      <c r="Z120" s="942">
        <v>31210820</v>
      </c>
      <c r="AA120" s="248"/>
      <c r="AB120" s="343">
        <v>0</v>
      </c>
      <c r="AC120" s="343">
        <v>0</v>
      </c>
      <c r="AD120" s="343">
        <v>0</v>
      </c>
      <c r="AE120" s="343">
        <v>0</v>
      </c>
      <c r="AF120" s="343">
        <v>0</v>
      </c>
      <c r="AG120" s="343">
        <v>0</v>
      </c>
      <c r="AH120" s="343">
        <v>0</v>
      </c>
      <c r="AI120" s="343">
        <v>0</v>
      </c>
      <c r="AJ120" s="343"/>
      <c r="AK120" s="343">
        <v>0</v>
      </c>
      <c r="AL120" s="343">
        <v>0</v>
      </c>
      <c r="AM120" s="343">
        <v>0</v>
      </c>
      <c r="AN120" s="248">
        <v>0</v>
      </c>
      <c r="AO120" s="343">
        <v>0</v>
      </c>
      <c r="AP120" s="343">
        <v>0</v>
      </c>
      <c r="AQ120" s="248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2609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3">
        <f t="shared" si="49"/>
        <v>0</v>
      </c>
      <c r="V121" s="994"/>
      <c r="W121" s="600"/>
      <c r="X121" s="251"/>
      <c r="Y121" s="981" t="str">
        <f t="shared" si="50"/>
        <v>550SFS1350</v>
      </c>
      <c r="Z121" s="942">
        <v>31210813</v>
      </c>
      <c r="AA121" s="248"/>
      <c r="AB121" s="343">
        <v>0</v>
      </c>
      <c r="AC121" s="343">
        <v>0</v>
      </c>
      <c r="AD121" s="343">
        <v>0</v>
      </c>
      <c r="AE121" s="343">
        <v>0</v>
      </c>
      <c r="AF121" s="343">
        <v>0</v>
      </c>
      <c r="AG121" s="343">
        <v>0</v>
      </c>
      <c r="AH121" s="343">
        <v>0</v>
      </c>
      <c r="AI121" s="343">
        <v>0</v>
      </c>
      <c r="AJ121" s="343"/>
      <c r="AK121" s="343">
        <v>0</v>
      </c>
      <c r="AL121" s="343">
        <v>0</v>
      </c>
      <c r="AM121" s="343">
        <v>0</v>
      </c>
      <c r="AN121" s="248">
        <v>0</v>
      </c>
      <c r="AO121" s="343">
        <v>0</v>
      </c>
      <c r="AP121" s="343">
        <v>0</v>
      </c>
      <c r="AQ121" s="248"/>
      <c r="AR121" s="343"/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4966</v>
      </c>
      <c r="F122" s="100">
        <f>SUMIF(pro!$A:$A,INTGRATE!$Y:$Y,pro!$N:$N)</f>
        <v>975</v>
      </c>
      <c r="G122" s="248"/>
      <c r="H122" s="344">
        <f>SUMIF(CBIN!$A:$A,INTGRATE!$Y:$Y,CBIN!$G:$G)</f>
        <v>0</v>
      </c>
      <c r="I122" s="248">
        <f>SUMIF(data!$D:$D,INTGRATE!$B122&amp;INTGRATE!$D122,data!$J:$J)</f>
        <v>960</v>
      </c>
      <c r="J122" s="248"/>
      <c r="K122" s="248"/>
      <c r="L122" s="248">
        <f>SUMIF(data!$D:$D,INTGRATE!$B122&amp;INTGRATE!$D122,data!$K:$K)</f>
        <v>48000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4981</v>
      </c>
      <c r="P122" s="248">
        <f>O122*D122</f>
        <v>249050</v>
      </c>
      <c r="Q122" s="248">
        <f>SUM(AA122:BE122)</f>
        <v>1053950</v>
      </c>
      <c r="R122" s="408"/>
      <c r="S122" s="222"/>
      <c r="T122" s="248">
        <f t="shared" si="48"/>
        <v>70263.333333333328</v>
      </c>
      <c r="U122" s="993">
        <f>IF(T122=0,0,P122/T122)</f>
        <v>3.5445229849613362</v>
      </c>
      <c r="V122" s="994"/>
      <c r="W122" s="600"/>
      <c r="X122" s="251"/>
      <c r="Y122" s="981" t="str">
        <f t="shared" si="50"/>
        <v>550SFS3150</v>
      </c>
      <c r="Z122" s="942">
        <v>31210831</v>
      </c>
      <c r="AA122" s="248"/>
      <c r="AB122" s="343">
        <v>128800</v>
      </c>
      <c r="AC122" s="343">
        <v>49100</v>
      </c>
      <c r="AD122" s="343">
        <v>85000</v>
      </c>
      <c r="AE122" s="343">
        <v>87900</v>
      </c>
      <c r="AF122" s="343">
        <v>85750</v>
      </c>
      <c r="AG122" s="343">
        <v>73050</v>
      </c>
      <c r="AH122" s="343">
        <v>49650</v>
      </c>
      <c r="AI122" s="343">
        <v>93450</v>
      </c>
      <c r="AJ122" s="343"/>
      <c r="AK122" s="343">
        <v>79000</v>
      </c>
      <c r="AL122" s="343">
        <v>91700</v>
      </c>
      <c r="AM122" s="343">
        <v>70500</v>
      </c>
      <c r="AN122" s="248">
        <v>39500</v>
      </c>
      <c r="AO122" s="343">
        <v>72550</v>
      </c>
      <c r="AP122" s="343">
        <v>48000</v>
      </c>
      <c r="AQ122" s="248"/>
      <c r="AR122" s="343"/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1053950</v>
      </c>
      <c r="BG122" s="896">
        <f t="shared" si="53"/>
        <v>14</v>
      </c>
      <c r="BH122" s="896">
        <f t="shared" si="54"/>
        <v>75282.142857142855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1468</v>
      </c>
      <c r="F123" s="100">
        <f>SUMIF(pro!$A:$A,INTGRATE!$Y:$Y,pro!$N:$N)</f>
        <v>977</v>
      </c>
      <c r="G123" s="248"/>
      <c r="H123" s="344">
        <f>SUMIF(CBIN!$A:$A,INTGRATE!$Y:$Y,CBIN!$G:$G)</f>
        <v>0</v>
      </c>
      <c r="I123" s="248">
        <f>SUMIF(data!$D:$D,INTGRATE!$B123&amp;INTGRATE!$D123,data!$J:$J)</f>
        <v>293</v>
      </c>
      <c r="J123" s="248"/>
      <c r="K123" s="248"/>
      <c r="L123" s="248">
        <f>SUMIF(data!$D:$D,INTGRATE!$B123&amp;INTGRATE!$D123,data!$K:$K)</f>
        <v>14650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2152</v>
      </c>
      <c r="P123" s="248">
        <f>O123*D123</f>
        <v>107600</v>
      </c>
      <c r="Q123" s="248">
        <f>SUM(AA123:BE123)</f>
        <v>291400</v>
      </c>
      <c r="R123" s="408"/>
      <c r="S123" s="222"/>
      <c r="T123" s="248">
        <f t="shared" si="48"/>
        <v>19426.666666666668</v>
      </c>
      <c r="U123" s="993">
        <f>IF(T123=0,0,P123/T123)</f>
        <v>5.5387783115991764</v>
      </c>
      <c r="V123" s="994"/>
      <c r="W123" s="600"/>
      <c r="X123" s="251"/>
      <c r="Y123" s="981" t="str">
        <f t="shared" si="50"/>
        <v>550SFS2550</v>
      </c>
      <c r="Z123" s="942">
        <v>31210825</v>
      </c>
      <c r="AA123" s="248"/>
      <c r="AB123" s="343">
        <v>0</v>
      </c>
      <c r="AC123" s="343">
        <v>42500</v>
      </c>
      <c r="AD123" s="343">
        <v>49150</v>
      </c>
      <c r="AE123" s="343">
        <v>35200</v>
      </c>
      <c r="AF123" s="343">
        <v>3500</v>
      </c>
      <c r="AG123" s="343">
        <v>22000</v>
      </c>
      <c r="AH123" s="343">
        <v>7850</v>
      </c>
      <c r="AI123" s="343">
        <v>19500</v>
      </c>
      <c r="AJ123" s="343"/>
      <c r="AK123" s="343">
        <v>59150</v>
      </c>
      <c r="AL123" s="343">
        <v>10900</v>
      </c>
      <c r="AM123" s="343">
        <v>10000</v>
      </c>
      <c r="AN123" s="248">
        <v>0</v>
      </c>
      <c r="AO123" s="343">
        <v>17000</v>
      </c>
      <c r="AP123" s="343">
        <v>14650</v>
      </c>
      <c r="AQ123" s="248"/>
      <c r="AR123" s="343"/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291400</v>
      </c>
      <c r="BG123" s="896">
        <f t="shared" si="53"/>
        <v>12</v>
      </c>
      <c r="BH123" s="896">
        <f t="shared" si="54"/>
        <v>24283.333333333332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3">
        <f t="shared" si="49"/>
        <v>0</v>
      </c>
      <c r="V124" s="994"/>
      <c r="W124" s="363"/>
      <c r="X124" s="251"/>
      <c r="Y124" s="981" t="str">
        <f t="shared" si="50"/>
        <v>550S FS8725</v>
      </c>
      <c r="Z124" s="942">
        <v>31210887</v>
      </c>
      <c r="AA124" s="248"/>
      <c r="AB124" s="343">
        <v>0</v>
      </c>
      <c r="AC124" s="343">
        <v>0</v>
      </c>
      <c r="AD124" s="343">
        <v>0</v>
      </c>
      <c r="AE124" s="343">
        <v>0</v>
      </c>
      <c r="AF124" s="343">
        <v>0</v>
      </c>
      <c r="AG124" s="343">
        <v>0</v>
      </c>
      <c r="AH124" s="343">
        <v>0</v>
      </c>
      <c r="AI124" s="343">
        <v>0</v>
      </c>
      <c r="AJ124" s="343"/>
      <c r="AK124" s="343">
        <v>0</v>
      </c>
      <c r="AL124" s="343">
        <v>0</v>
      </c>
      <c r="AM124" s="343">
        <v>0</v>
      </c>
      <c r="AN124" s="248">
        <v>0</v>
      </c>
      <c r="AO124" s="343">
        <v>0</v>
      </c>
      <c r="AP124" s="343">
        <v>0</v>
      </c>
      <c r="AQ124" s="248"/>
      <c r="AR124" s="343"/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3">
        <f t="shared" si="49"/>
        <v>0</v>
      </c>
      <c r="V125" s="994"/>
      <c r="W125" s="409"/>
      <c r="X125" s="251"/>
      <c r="Y125" s="981" t="str">
        <f t="shared" si="50"/>
        <v>550PFS4610</v>
      </c>
      <c r="Z125" s="942">
        <v>0</v>
      </c>
      <c r="AA125" s="248"/>
      <c r="AB125" s="343">
        <v>0</v>
      </c>
      <c r="AC125" s="343">
        <v>0</v>
      </c>
      <c r="AD125" s="343">
        <v>0</v>
      </c>
      <c r="AE125" s="343">
        <v>0</v>
      </c>
      <c r="AF125" s="343">
        <v>0</v>
      </c>
      <c r="AG125" s="343">
        <v>0</v>
      </c>
      <c r="AH125" s="343">
        <v>0</v>
      </c>
      <c r="AI125" s="343">
        <v>0</v>
      </c>
      <c r="AJ125" s="343"/>
      <c r="AK125" s="343">
        <v>0</v>
      </c>
      <c r="AL125" s="343">
        <v>0</v>
      </c>
      <c r="AM125" s="343">
        <v>0</v>
      </c>
      <c r="AN125" s="248">
        <v>0</v>
      </c>
      <c r="AO125" s="343">
        <v>0</v>
      </c>
      <c r="AP125" s="343">
        <v>0</v>
      </c>
      <c r="AQ125" s="248"/>
      <c r="AR125" s="343"/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3">
        <f>IF(T126=0,0,P126/T126)</f>
        <v>0</v>
      </c>
      <c r="V126" s="994"/>
      <c r="W126" s="409"/>
      <c r="X126" s="251"/>
      <c r="Y126" s="981" t="str">
        <f t="shared" si="50"/>
        <v>550PFS8810</v>
      </c>
      <c r="Z126" s="942"/>
      <c r="AA126" s="248"/>
      <c r="AB126" s="343">
        <v>0</v>
      </c>
      <c r="AC126" s="343">
        <v>0</v>
      </c>
      <c r="AD126" s="343">
        <v>0</v>
      </c>
      <c r="AE126" s="343">
        <v>0</v>
      </c>
      <c r="AF126" s="343">
        <v>0</v>
      </c>
      <c r="AG126" s="343">
        <v>0</v>
      </c>
      <c r="AH126" s="343">
        <v>0</v>
      </c>
      <c r="AI126" s="343">
        <v>0</v>
      </c>
      <c r="AJ126" s="343"/>
      <c r="AK126" s="343">
        <v>0</v>
      </c>
      <c r="AL126" s="343">
        <v>0</v>
      </c>
      <c r="AM126" s="343">
        <v>0</v>
      </c>
      <c r="AN126" s="248">
        <v>0</v>
      </c>
      <c r="AO126" s="343">
        <v>0</v>
      </c>
      <c r="AP126" s="343">
        <v>0</v>
      </c>
      <c r="AQ126" s="248"/>
      <c r="AR126" s="343"/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3">
        <f t="shared" si="49"/>
        <v>0</v>
      </c>
      <c r="V127" s="994"/>
      <c r="W127" s="409"/>
      <c r="X127" s="251"/>
      <c r="Y127" s="981" t="str">
        <f t="shared" si="50"/>
        <v>550PFS8710</v>
      </c>
      <c r="Z127" s="942"/>
      <c r="AA127" s="248"/>
      <c r="AB127" s="343">
        <v>0</v>
      </c>
      <c r="AC127" s="343">
        <v>0</v>
      </c>
      <c r="AD127" s="343">
        <v>0</v>
      </c>
      <c r="AE127" s="343">
        <v>0</v>
      </c>
      <c r="AF127" s="343">
        <v>0</v>
      </c>
      <c r="AG127" s="343">
        <v>0</v>
      </c>
      <c r="AH127" s="343">
        <v>0</v>
      </c>
      <c r="AI127" s="343">
        <v>0</v>
      </c>
      <c r="AJ127" s="343"/>
      <c r="AK127" s="343">
        <v>0</v>
      </c>
      <c r="AL127" s="343">
        <v>0</v>
      </c>
      <c r="AM127" s="343">
        <v>0</v>
      </c>
      <c r="AN127" s="248">
        <v>0</v>
      </c>
      <c r="AO127" s="343">
        <v>0</v>
      </c>
      <c r="AP127" s="343">
        <v>0</v>
      </c>
      <c r="AQ127" s="248"/>
      <c r="AR127" s="343"/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78640</v>
      </c>
      <c r="S128" s="408">
        <f>SUM(Q118,Q125:Q127)</f>
        <v>160750</v>
      </c>
      <c r="T128" s="248">
        <f t="shared" si="48"/>
        <v>0</v>
      </c>
      <c r="U128" s="993">
        <f t="shared" si="49"/>
        <v>0</v>
      </c>
      <c r="V128" s="994"/>
      <c r="W128" s="363"/>
      <c r="X128" s="251"/>
      <c r="Y128" s="982" t="str">
        <f t="shared" si="50"/>
        <v>551F50</v>
      </c>
      <c r="Z128" s="942" t="s">
        <v>774</v>
      </c>
      <c r="AA128" s="248"/>
      <c r="AB128" s="343">
        <v>0</v>
      </c>
      <c r="AC128" s="343">
        <v>0</v>
      </c>
      <c r="AD128" s="343">
        <v>0</v>
      </c>
      <c r="AE128" s="343">
        <v>0</v>
      </c>
      <c r="AF128" s="343">
        <v>0</v>
      </c>
      <c r="AG128" s="343">
        <v>0</v>
      </c>
      <c r="AH128" s="343">
        <v>0</v>
      </c>
      <c r="AI128" s="343">
        <v>0</v>
      </c>
      <c r="AJ128" s="343"/>
      <c r="AK128" s="343">
        <v>0</v>
      </c>
      <c r="AL128" s="343">
        <v>0</v>
      </c>
      <c r="AM128" s="343">
        <v>0</v>
      </c>
      <c r="AN128" s="248">
        <v>0</v>
      </c>
      <c r="AO128" s="343">
        <v>0</v>
      </c>
      <c r="AP128" s="343">
        <v>0</v>
      </c>
      <c r="AQ128" s="248"/>
      <c r="AR128" s="343"/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2614</v>
      </c>
      <c r="C129" s="877" t="s">
        <v>61</v>
      </c>
      <c r="D129" s="627">
        <v>50</v>
      </c>
      <c r="E129" s="248">
        <v>556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58</v>
      </c>
      <c r="J129" s="248"/>
      <c r="K129" s="248"/>
      <c r="L129" s="248">
        <f>SUMIF(data!$D:$D,INTGRATE!$B129&amp;INTGRATE!$D129,data!$K:$K)</f>
        <v>2900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498</v>
      </c>
      <c r="P129" s="248">
        <f t="shared" si="46"/>
        <v>24900</v>
      </c>
      <c r="Q129" s="248">
        <f t="shared" si="47"/>
        <v>223800</v>
      </c>
      <c r="R129" s="343"/>
      <c r="S129" s="408"/>
      <c r="T129" s="248">
        <f t="shared" si="48"/>
        <v>14920</v>
      </c>
      <c r="U129" s="993">
        <f t="shared" si="49"/>
        <v>1.6689008042895441</v>
      </c>
      <c r="V129" s="994"/>
      <c r="W129" s="363"/>
      <c r="X129" s="251"/>
      <c r="Y129" s="982" t="str">
        <f t="shared" si="50"/>
        <v>551FS3150</v>
      </c>
      <c r="Z129" s="942">
        <v>31410831</v>
      </c>
      <c r="AA129" s="248"/>
      <c r="AB129" s="343">
        <v>38850</v>
      </c>
      <c r="AC129" s="343">
        <v>0</v>
      </c>
      <c r="AD129" s="343">
        <v>27000</v>
      </c>
      <c r="AE129" s="343">
        <v>24500</v>
      </c>
      <c r="AF129" s="343">
        <v>30400</v>
      </c>
      <c r="AG129" s="343">
        <v>0</v>
      </c>
      <c r="AH129" s="343">
        <v>19400</v>
      </c>
      <c r="AI129" s="343">
        <v>16850</v>
      </c>
      <c r="AJ129" s="343"/>
      <c r="AK129" s="343">
        <v>5000</v>
      </c>
      <c r="AL129" s="343">
        <v>34100</v>
      </c>
      <c r="AM129" s="343">
        <v>0</v>
      </c>
      <c r="AN129" s="248">
        <v>18400</v>
      </c>
      <c r="AO129" s="343">
        <v>6400</v>
      </c>
      <c r="AP129" s="343">
        <v>2900</v>
      </c>
      <c r="AQ129" s="248"/>
      <c r="AR129" s="343"/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223800</v>
      </c>
      <c r="BG129" s="896">
        <f t="shared" si="53"/>
        <v>11</v>
      </c>
      <c r="BH129" s="896">
        <f t="shared" si="54"/>
        <v>20345.454545454544</v>
      </c>
      <c r="BI129" s="214"/>
    </row>
    <row r="130" spans="1:62">
      <c r="A130" s="311">
        <v>13</v>
      </c>
      <c r="B130" s="249" t="s">
        <v>2469</v>
      </c>
      <c r="C130" s="877" t="s">
        <v>61</v>
      </c>
      <c r="D130" s="625">
        <v>50</v>
      </c>
      <c r="E130" s="248">
        <v>81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81</v>
      </c>
      <c r="P130" s="248">
        <f t="shared" si="46"/>
        <v>4050</v>
      </c>
      <c r="Q130" s="248">
        <f t="shared" si="47"/>
        <v>52000</v>
      </c>
      <c r="R130" s="622" t="s">
        <v>1400</v>
      </c>
      <c r="S130" s="622" t="s">
        <v>1401</v>
      </c>
      <c r="T130" s="248">
        <f t="shared" si="48"/>
        <v>3466.6666666666665</v>
      </c>
      <c r="U130" s="993">
        <f t="shared" si="49"/>
        <v>1.1682692307692308</v>
      </c>
      <c r="V130" s="994"/>
      <c r="W130" s="93"/>
      <c r="X130" s="251"/>
      <c r="Y130" s="982" t="str">
        <f t="shared" si="50"/>
        <v>551FS2550</v>
      </c>
      <c r="Z130" s="942">
        <v>31410825</v>
      </c>
      <c r="AA130" s="248"/>
      <c r="AB130" s="343">
        <v>0</v>
      </c>
      <c r="AC130" s="343">
        <v>5000</v>
      </c>
      <c r="AD130" s="343">
        <v>10000</v>
      </c>
      <c r="AE130" s="343">
        <v>0</v>
      </c>
      <c r="AF130" s="343">
        <v>2250</v>
      </c>
      <c r="AG130" s="343">
        <v>15350</v>
      </c>
      <c r="AH130" s="343">
        <v>0</v>
      </c>
      <c r="AI130" s="343">
        <v>0</v>
      </c>
      <c r="AJ130" s="343"/>
      <c r="AK130" s="343">
        <v>0</v>
      </c>
      <c r="AL130" s="343">
        <v>0</v>
      </c>
      <c r="AM130" s="343">
        <v>19400</v>
      </c>
      <c r="AN130" s="248">
        <v>0</v>
      </c>
      <c r="AO130" s="343">
        <v>0</v>
      </c>
      <c r="AP130" s="343">
        <v>0</v>
      </c>
      <c r="AQ130" s="248"/>
      <c r="AR130" s="343"/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52000</v>
      </c>
      <c r="BG130" s="896">
        <f t="shared" si="53"/>
        <v>5</v>
      </c>
      <c r="BH130" s="896">
        <f t="shared" si="54"/>
        <v>10400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409750</v>
      </c>
      <c r="S131" s="408">
        <f>SUM(Q119:Q124,Q159,Q196:Q206)</f>
        <v>1715840</v>
      </c>
      <c r="T131" s="248">
        <f t="shared" si="48"/>
        <v>0</v>
      </c>
      <c r="U131" s="993">
        <f t="shared" si="49"/>
        <v>0</v>
      </c>
      <c r="V131" s="994"/>
      <c r="W131" s="93"/>
      <c r="X131" s="251"/>
      <c r="Y131" s="982" t="str">
        <f t="shared" si="50"/>
        <v>551FS4450</v>
      </c>
      <c r="Z131" s="942">
        <v>31410844</v>
      </c>
      <c r="AA131" s="248"/>
      <c r="AB131" s="343">
        <v>0</v>
      </c>
      <c r="AC131" s="343">
        <v>0</v>
      </c>
      <c r="AD131" s="343">
        <v>0</v>
      </c>
      <c r="AE131" s="343">
        <v>0</v>
      </c>
      <c r="AF131" s="343">
        <v>0</v>
      </c>
      <c r="AG131" s="343">
        <v>0</v>
      </c>
      <c r="AH131" s="343">
        <v>0</v>
      </c>
      <c r="AI131" s="343">
        <v>0</v>
      </c>
      <c r="AJ131" s="343"/>
      <c r="AK131" s="343">
        <v>0</v>
      </c>
      <c r="AL131" s="343">
        <v>0</v>
      </c>
      <c r="AM131" s="343">
        <v>0</v>
      </c>
      <c r="AN131" s="248">
        <v>0</v>
      </c>
      <c r="AO131" s="343">
        <v>0</v>
      </c>
      <c r="AP131" s="343">
        <v>0</v>
      </c>
      <c r="AQ131" s="248"/>
      <c r="AR131" s="343"/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3">
        <f t="shared" si="49"/>
        <v>0</v>
      </c>
      <c r="V132" s="994"/>
      <c r="W132" s="93"/>
      <c r="X132" s="251"/>
      <c r="Y132" s="982" t="str">
        <f t="shared" si="50"/>
        <v>551FS4750</v>
      </c>
      <c r="Z132" s="942">
        <v>31410847</v>
      </c>
      <c r="AA132" s="248"/>
      <c r="AB132" s="343">
        <v>0</v>
      </c>
      <c r="AC132" s="343">
        <v>0</v>
      </c>
      <c r="AD132" s="343">
        <v>0</v>
      </c>
      <c r="AE132" s="343">
        <v>0</v>
      </c>
      <c r="AF132" s="343">
        <v>0</v>
      </c>
      <c r="AG132" s="343">
        <v>0</v>
      </c>
      <c r="AH132" s="343">
        <v>0</v>
      </c>
      <c r="AI132" s="343">
        <v>0</v>
      </c>
      <c r="AJ132" s="343"/>
      <c r="AK132" s="343">
        <v>0</v>
      </c>
      <c r="AL132" s="343">
        <v>0</v>
      </c>
      <c r="AM132" s="343">
        <v>0</v>
      </c>
      <c r="AN132" s="248">
        <v>0</v>
      </c>
      <c r="AO132" s="343">
        <v>0</v>
      </c>
      <c r="AP132" s="343">
        <v>0</v>
      </c>
      <c r="AQ132" s="248"/>
      <c r="AR132" s="343"/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3787</v>
      </c>
      <c r="F133" s="100">
        <f>SUMIF(pro!$A:$A,INTGRATE!$Y:$Y,pro!$N:$N)</f>
        <v>0</v>
      </c>
      <c r="G133" s="248"/>
      <c r="H133" s="344">
        <f>SUMIF(CBIN!$A:$A,INTGRATE!$Y:$Y,CBIN!$G:$G)</f>
        <v>0</v>
      </c>
      <c r="I133" s="248">
        <f>SUMIF(data!$D:$D,INTGRATE!$B133&amp;INTGRATE!$D133,data!$J:$J)</f>
        <v>178</v>
      </c>
      <c r="J133" s="248"/>
      <c r="K133" s="248"/>
      <c r="L133" s="248">
        <f>SUMIF(data!$D:$D,INTGRATE!$B133&amp;INTGRATE!$D133,data!$K:$K)</f>
        <v>8900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3609</v>
      </c>
      <c r="P133" s="248">
        <f t="shared" si="46"/>
        <v>180450</v>
      </c>
      <c r="Q133" s="248">
        <f t="shared" si="47"/>
        <v>627000</v>
      </c>
      <c r="R133" s="408"/>
      <c r="S133" s="408"/>
      <c r="T133" s="248">
        <f t="shared" si="48"/>
        <v>41800</v>
      </c>
      <c r="U133" s="993">
        <f t="shared" si="49"/>
        <v>4.3169856459330145</v>
      </c>
      <c r="V133" s="994"/>
      <c r="W133" s="93"/>
      <c r="X133" s="251"/>
      <c r="Y133" s="982" t="str">
        <f t="shared" si="50"/>
        <v>551FS5450</v>
      </c>
      <c r="Z133" s="942">
        <v>31410854</v>
      </c>
      <c r="AA133" s="248"/>
      <c r="AB133" s="343">
        <v>37550</v>
      </c>
      <c r="AC133" s="343">
        <v>113650</v>
      </c>
      <c r="AD133" s="343">
        <v>57900</v>
      </c>
      <c r="AE133" s="343">
        <v>59000</v>
      </c>
      <c r="AF133" s="343">
        <v>29000</v>
      </c>
      <c r="AG133" s="343">
        <v>10000</v>
      </c>
      <c r="AH133" s="343">
        <v>21100</v>
      </c>
      <c r="AI133" s="343">
        <v>78650</v>
      </c>
      <c r="AJ133" s="343"/>
      <c r="AK133" s="343">
        <v>45550</v>
      </c>
      <c r="AL133" s="343">
        <v>62950</v>
      </c>
      <c r="AM133" s="343">
        <v>49000</v>
      </c>
      <c r="AN133" s="248">
        <v>17700</v>
      </c>
      <c r="AO133" s="343">
        <v>36050</v>
      </c>
      <c r="AP133" s="343">
        <v>8900</v>
      </c>
      <c r="AQ133" s="248"/>
      <c r="AR133" s="343"/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627000</v>
      </c>
      <c r="BG133" s="896">
        <f t="shared" si="53"/>
        <v>14</v>
      </c>
      <c r="BH133" s="896">
        <f t="shared" si="54"/>
        <v>44785.714285714283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3">
        <f t="shared" si="49"/>
        <v>0</v>
      </c>
      <c r="V134" s="994"/>
      <c r="W134" s="93"/>
      <c r="X134" s="251"/>
      <c r="Y134" s="982" t="str">
        <f>B134&amp;D134</f>
        <v>551FS5250</v>
      </c>
      <c r="Z134" s="942">
        <v>31410852</v>
      </c>
      <c r="AA134" s="248"/>
      <c r="AB134" s="343">
        <v>0</v>
      </c>
      <c r="AC134" s="343">
        <v>0</v>
      </c>
      <c r="AD134" s="343">
        <v>0</v>
      </c>
      <c r="AE134" s="343">
        <v>0</v>
      </c>
      <c r="AF134" s="343">
        <v>0</v>
      </c>
      <c r="AG134" s="343">
        <v>0</v>
      </c>
      <c r="AH134" s="343">
        <v>0</v>
      </c>
      <c r="AI134" s="343">
        <v>0</v>
      </c>
      <c r="AJ134" s="343"/>
      <c r="AK134" s="343">
        <v>0</v>
      </c>
      <c r="AL134" s="343">
        <v>0</v>
      </c>
      <c r="AM134" s="343">
        <v>0</v>
      </c>
      <c r="AN134" s="248">
        <v>0</v>
      </c>
      <c r="AO134" s="343">
        <v>0</v>
      </c>
      <c r="AP134" s="343">
        <v>0</v>
      </c>
      <c r="AQ134" s="248"/>
      <c r="AR134" s="343"/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3">
        <f t="shared" si="49"/>
        <v>0</v>
      </c>
      <c r="V135" s="994"/>
      <c r="W135" s="363"/>
      <c r="X135" s="251"/>
      <c r="Y135" s="983" t="str">
        <f t="shared" si="50"/>
        <v>551GP F25</v>
      </c>
      <c r="Z135" s="938" t="s">
        <v>775</v>
      </c>
      <c r="AA135" s="248"/>
      <c r="AB135" s="343">
        <v>0</v>
      </c>
      <c r="AC135" s="343">
        <v>0</v>
      </c>
      <c r="AD135" s="343">
        <v>0</v>
      </c>
      <c r="AE135" s="343">
        <v>0</v>
      </c>
      <c r="AF135" s="343">
        <v>0</v>
      </c>
      <c r="AG135" s="343">
        <v>0</v>
      </c>
      <c r="AH135" s="343">
        <v>0</v>
      </c>
      <c r="AI135" s="343">
        <v>0</v>
      </c>
      <c r="AJ135" s="343"/>
      <c r="AK135" s="343">
        <v>0</v>
      </c>
      <c r="AL135" s="343">
        <v>0</v>
      </c>
      <c r="AM135" s="343">
        <v>0</v>
      </c>
      <c r="AN135" s="248">
        <v>0</v>
      </c>
      <c r="AO135" s="343">
        <v>0</v>
      </c>
      <c r="AP135" s="343">
        <v>0</v>
      </c>
      <c r="AQ135" s="248"/>
      <c r="AR135" s="343"/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4022370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3">
        <f t="shared" si="49"/>
        <v>0</v>
      </c>
      <c r="V136" s="994"/>
      <c r="W136" s="364"/>
      <c r="X136" s="251"/>
      <c r="Y136" s="983" t="str">
        <f t="shared" si="50"/>
        <v>551GPF50</v>
      </c>
      <c r="Z136" s="938" t="s">
        <v>775</v>
      </c>
      <c r="AA136" s="248"/>
      <c r="AB136" s="343">
        <v>0</v>
      </c>
      <c r="AC136" s="343">
        <v>0</v>
      </c>
      <c r="AD136" s="343">
        <v>0</v>
      </c>
      <c r="AE136" s="343">
        <v>0</v>
      </c>
      <c r="AF136" s="343">
        <v>0</v>
      </c>
      <c r="AG136" s="343">
        <v>0</v>
      </c>
      <c r="AH136" s="343">
        <v>0</v>
      </c>
      <c r="AI136" s="343">
        <v>0</v>
      </c>
      <c r="AJ136" s="343"/>
      <c r="AK136" s="343">
        <v>0</v>
      </c>
      <c r="AL136" s="343">
        <v>0</v>
      </c>
      <c r="AM136" s="343">
        <v>0</v>
      </c>
      <c r="AN136" s="248">
        <v>0</v>
      </c>
      <c r="AO136" s="343">
        <v>0</v>
      </c>
      <c r="AP136" s="343">
        <v>0</v>
      </c>
      <c r="AQ136" s="248"/>
      <c r="AR136" s="343"/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16861870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3">
        <f t="shared" si="49"/>
        <v>0</v>
      </c>
      <c r="V137" s="994"/>
      <c r="W137" s="600"/>
      <c r="X137" s="251"/>
      <c r="Y137" s="983" t="str">
        <f t="shared" si="50"/>
        <v>551GPFS4450</v>
      </c>
      <c r="Z137" s="938">
        <v>31411844</v>
      </c>
      <c r="AA137" s="248"/>
      <c r="AB137" s="343">
        <v>0</v>
      </c>
      <c r="AC137" s="343">
        <v>0</v>
      </c>
      <c r="AD137" s="343">
        <v>0</v>
      </c>
      <c r="AE137" s="343">
        <v>0</v>
      </c>
      <c r="AF137" s="343">
        <v>0</v>
      </c>
      <c r="AG137" s="343">
        <v>0</v>
      </c>
      <c r="AH137" s="343">
        <v>0</v>
      </c>
      <c r="AI137" s="343">
        <v>0</v>
      </c>
      <c r="AJ137" s="343"/>
      <c r="AK137" s="343">
        <v>0</v>
      </c>
      <c r="AL137" s="343">
        <v>0</v>
      </c>
      <c r="AM137" s="343">
        <v>0</v>
      </c>
      <c r="AN137" s="248">
        <v>0</v>
      </c>
      <c r="AO137" s="343">
        <v>0</v>
      </c>
      <c r="AP137" s="343">
        <v>0</v>
      </c>
      <c r="AQ137" s="248"/>
      <c r="AR137" s="343"/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3">
        <f t="shared" si="49"/>
        <v>0</v>
      </c>
      <c r="V138" s="994"/>
      <c r="W138" s="600"/>
      <c r="X138" s="251"/>
      <c r="Y138" s="983" t="str">
        <f t="shared" si="50"/>
        <v>551GPFS4750</v>
      </c>
      <c r="Z138" s="938">
        <v>31411847</v>
      </c>
      <c r="AA138" s="248"/>
      <c r="AB138" s="343">
        <v>0</v>
      </c>
      <c r="AC138" s="343">
        <v>0</v>
      </c>
      <c r="AD138" s="343">
        <v>0</v>
      </c>
      <c r="AE138" s="343">
        <v>0</v>
      </c>
      <c r="AF138" s="343">
        <v>0</v>
      </c>
      <c r="AG138" s="343">
        <v>0</v>
      </c>
      <c r="AH138" s="343">
        <v>0</v>
      </c>
      <c r="AI138" s="343">
        <v>0</v>
      </c>
      <c r="AJ138" s="343"/>
      <c r="AK138" s="343">
        <v>0</v>
      </c>
      <c r="AL138" s="343">
        <v>0</v>
      </c>
      <c r="AM138" s="343">
        <v>0</v>
      </c>
      <c r="AN138" s="248">
        <v>0</v>
      </c>
      <c r="AO138" s="343">
        <v>0</v>
      </c>
      <c r="AP138" s="343">
        <v>0</v>
      </c>
      <c r="AQ138" s="248"/>
      <c r="AR138" s="343"/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3">
        <f t="shared" si="49"/>
        <v>0</v>
      </c>
      <c r="V139" s="994"/>
      <c r="W139" s="600"/>
      <c r="X139" s="251"/>
      <c r="Y139" s="983" t="str">
        <f t="shared" si="50"/>
        <v>551GPFS4850</v>
      </c>
      <c r="Z139" s="938">
        <v>31411848</v>
      </c>
      <c r="AA139" s="248"/>
      <c r="AB139" s="343">
        <v>0</v>
      </c>
      <c r="AC139" s="343">
        <v>0</v>
      </c>
      <c r="AD139" s="343">
        <v>0</v>
      </c>
      <c r="AE139" s="343">
        <v>0</v>
      </c>
      <c r="AF139" s="343">
        <v>0</v>
      </c>
      <c r="AG139" s="343">
        <v>0</v>
      </c>
      <c r="AH139" s="343">
        <v>0</v>
      </c>
      <c r="AI139" s="343">
        <v>0</v>
      </c>
      <c r="AJ139" s="343"/>
      <c r="AK139" s="343">
        <v>0</v>
      </c>
      <c r="AL139" s="343">
        <v>0</v>
      </c>
      <c r="AM139" s="343">
        <v>0</v>
      </c>
      <c r="AN139" s="248">
        <v>0</v>
      </c>
      <c r="AO139" s="343">
        <v>0</v>
      </c>
      <c r="AP139" s="343">
        <v>0</v>
      </c>
      <c r="AQ139" s="248"/>
      <c r="AR139" s="343"/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3">
        <f t="shared" si="49"/>
        <v>0</v>
      </c>
      <c r="V140" s="994"/>
      <c r="W140" s="600"/>
      <c r="X140" s="251"/>
      <c r="Y140" s="983" t="str">
        <f t="shared" si="50"/>
        <v>551GPFS5250</v>
      </c>
      <c r="Z140" s="938">
        <v>31411852</v>
      </c>
      <c r="AA140" s="248"/>
      <c r="AB140" s="343">
        <v>0</v>
      </c>
      <c r="AC140" s="343">
        <v>0</v>
      </c>
      <c r="AD140" s="343">
        <v>0</v>
      </c>
      <c r="AE140" s="343">
        <v>0</v>
      </c>
      <c r="AF140" s="343">
        <v>0</v>
      </c>
      <c r="AG140" s="343">
        <v>0</v>
      </c>
      <c r="AH140" s="343">
        <v>0</v>
      </c>
      <c r="AI140" s="343">
        <v>0</v>
      </c>
      <c r="AJ140" s="343"/>
      <c r="AK140" s="343">
        <v>0</v>
      </c>
      <c r="AL140" s="343">
        <v>0</v>
      </c>
      <c r="AM140" s="343">
        <v>0</v>
      </c>
      <c r="AN140" s="248">
        <v>0</v>
      </c>
      <c r="AO140" s="343">
        <v>0</v>
      </c>
      <c r="AP140" s="343">
        <v>0</v>
      </c>
      <c r="AQ140" s="248"/>
      <c r="AR140" s="343"/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2611</v>
      </c>
      <c r="C141" s="250" t="s">
        <v>61</v>
      </c>
      <c r="D141" s="625">
        <v>50</v>
      </c>
      <c r="E141" s="248">
        <v>1296</v>
      </c>
      <c r="F141" s="100">
        <f>SUMIF(pro!$A:$A,INTGRATE!$Y:$Y,pro!$N:$N)</f>
        <v>1069</v>
      </c>
      <c r="G141" s="344"/>
      <c r="H141" s="344">
        <f>SUMIF(CBIN!$A:$A,INTGRATE!$Y:$Y,CBIN!$G:$G)</f>
        <v>0</v>
      </c>
      <c r="I141" s="248">
        <f>SUMIF(data!$D:$D,INTGRATE!$B141&amp;INTGRATE!$D141,data!$J:$J)</f>
        <v>618</v>
      </c>
      <c r="J141" s="248"/>
      <c r="K141" s="248"/>
      <c r="L141" s="248">
        <f>SUMIF(data!$D:$D,INTGRATE!$B141&amp;INTGRATE!$D141,data!$K:$K)</f>
        <v>30900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1747</v>
      </c>
      <c r="P141" s="248">
        <f t="shared" si="46"/>
        <v>87350</v>
      </c>
      <c r="Q141" s="248">
        <f t="shared" si="47"/>
        <v>268200</v>
      </c>
      <c r="R141" s="622"/>
      <c r="S141" s="622"/>
      <c r="T141" s="248">
        <f t="shared" si="48"/>
        <v>17880</v>
      </c>
      <c r="U141" s="993">
        <f t="shared" si="49"/>
        <v>4.8853467561521251</v>
      </c>
      <c r="V141" s="994"/>
      <c r="W141" s="364"/>
      <c r="X141" s="251"/>
      <c r="Y141" s="983" t="str">
        <f t="shared" si="50"/>
        <v>551GPFS3150</v>
      </c>
      <c r="Z141" s="938">
        <v>31411831</v>
      </c>
      <c r="AA141" s="248"/>
      <c r="AB141" s="343">
        <v>29000</v>
      </c>
      <c r="AC141" s="343">
        <v>31850</v>
      </c>
      <c r="AD141" s="343">
        <v>0</v>
      </c>
      <c r="AE141" s="343">
        <v>5000</v>
      </c>
      <c r="AF141" s="343">
        <v>25150</v>
      </c>
      <c r="AG141" s="343">
        <v>20300</v>
      </c>
      <c r="AH141" s="343">
        <v>16000</v>
      </c>
      <c r="AI141" s="343">
        <v>20500</v>
      </c>
      <c r="AJ141" s="343"/>
      <c r="AK141" s="343">
        <v>31400</v>
      </c>
      <c r="AL141" s="343">
        <v>28600</v>
      </c>
      <c r="AM141" s="343">
        <v>0</v>
      </c>
      <c r="AN141" s="248">
        <v>29500</v>
      </c>
      <c r="AO141" s="343">
        <v>0</v>
      </c>
      <c r="AP141" s="343">
        <v>30900</v>
      </c>
      <c r="AQ141" s="248"/>
      <c r="AR141" s="343"/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268200</v>
      </c>
      <c r="BG141" s="896">
        <f t="shared" si="53"/>
        <v>11</v>
      </c>
      <c r="BH141" s="896">
        <f t="shared" si="54"/>
        <v>24381.81818181818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3">
        <f t="shared" si="49"/>
        <v>0</v>
      </c>
      <c r="V142" s="994"/>
      <c r="W142" s="364"/>
      <c r="X142" s="251"/>
      <c r="Y142" s="983" t="str">
        <f t="shared" si="50"/>
        <v>551GPFS1150</v>
      </c>
      <c r="Z142" s="938">
        <v>31411811</v>
      </c>
      <c r="AA142" s="248"/>
      <c r="AB142" s="343">
        <v>0</v>
      </c>
      <c r="AC142" s="343">
        <v>0</v>
      </c>
      <c r="AD142" s="343">
        <v>0</v>
      </c>
      <c r="AE142" s="343">
        <v>0</v>
      </c>
      <c r="AF142" s="343">
        <v>0</v>
      </c>
      <c r="AG142" s="343">
        <v>0</v>
      </c>
      <c r="AH142" s="343">
        <v>0</v>
      </c>
      <c r="AI142" s="343">
        <v>0</v>
      </c>
      <c r="AJ142" s="343"/>
      <c r="AK142" s="343">
        <v>0</v>
      </c>
      <c r="AL142" s="343">
        <v>0</v>
      </c>
      <c r="AM142" s="343">
        <v>0</v>
      </c>
      <c r="AN142" s="248">
        <v>0</v>
      </c>
      <c r="AO142" s="343">
        <v>0</v>
      </c>
      <c r="AP142" s="343">
        <v>0</v>
      </c>
      <c r="AQ142" s="248"/>
      <c r="AR142" s="343"/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940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940</v>
      </c>
      <c r="J143" s="248"/>
      <c r="K143" s="248"/>
      <c r="L143" s="248">
        <f>SUMIF(data!$D:$D,INTGRATE!$B143&amp;INTGRATE!$D143,data!$K:$K)</f>
        <v>47000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0</v>
      </c>
      <c r="P143" s="248">
        <f>O143*D143</f>
        <v>0</v>
      </c>
      <c r="Q143" s="248">
        <f>SUM(AA143:BE143)</f>
        <v>687900</v>
      </c>
      <c r="R143" s="622" t="s">
        <v>1404</v>
      </c>
      <c r="S143" s="622" t="s">
        <v>1405</v>
      </c>
      <c r="T143" s="248">
        <f t="shared" si="48"/>
        <v>45860</v>
      </c>
      <c r="U143" s="993">
        <f>IF(T143=0,0,P143/T143)</f>
        <v>0</v>
      </c>
      <c r="V143" s="994"/>
      <c r="W143" s="364"/>
      <c r="X143" s="251"/>
      <c r="Y143" s="983" t="str">
        <f>B143&amp;D143</f>
        <v>551GPFS1350</v>
      </c>
      <c r="Z143" s="938">
        <v>31411813</v>
      </c>
      <c r="AA143" s="248"/>
      <c r="AB143" s="343">
        <v>103950</v>
      </c>
      <c r="AC143" s="343">
        <v>12250</v>
      </c>
      <c r="AD143" s="343">
        <v>2650</v>
      </c>
      <c r="AE143" s="343">
        <v>98650</v>
      </c>
      <c r="AF143" s="343">
        <v>14000</v>
      </c>
      <c r="AG143" s="343">
        <v>35650</v>
      </c>
      <c r="AH143" s="343">
        <v>64400</v>
      </c>
      <c r="AI143" s="343">
        <v>40400</v>
      </c>
      <c r="AJ143" s="343"/>
      <c r="AK143" s="343">
        <v>38500</v>
      </c>
      <c r="AL143" s="343">
        <v>104300</v>
      </c>
      <c r="AM143" s="343">
        <v>62350</v>
      </c>
      <c r="AN143" s="248">
        <v>1000</v>
      </c>
      <c r="AO143" s="343">
        <v>62800</v>
      </c>
      <c r="AP143" s="343">
        <v>47000</v>
      </c>
      <c r="AQ143" s="248"/>
      <c r="AR143" s="343"/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687900</v>
      </c>
      <c r="BG143" s="896">
        <f t="shared" si="53"/>
        <v>14</v>
      </c>
      <c r="BH143" s="896">
        <f t="shared" si="54"/>
        <v>49135.714285714283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729</v>
      </c>
      <c r="F144" s="100">
        <f>SUMIF(pro!$A:$A,INTGRATE!$Y:$Y,pro!$N:$N)</f>
        <v>1627</v>
      </c>
      <c r="G144" s="344"/>
      <c r="H144" s="344">
        <f>SUMIF(CBIN!$A:$A,INTGRATE!$Y:$Y,CBIN!$G:$G)</f>
        <v>0</v>
      </c>
      <c r="I144" s="248">
        <f>SUMIF(data!$D:$D,INTGRATE!$B144&amp;INTGRATE!$D144,data!$J:$J)</f>
        <v>740</v>
      </c>
      <c r="J144" s="248"/>
      <c r="K144" s="248"/>
      <c r="L144" s="248">
        <f>SUMIF(data!$D:$D,INTGRATE!$B144&amp;INTGRATE!$D144,data!$K:$K)</f>
        <v>37000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1616</v>
      </c>
      <c r="P144" s="248">
        <f t="shared" si="46"/>
        <v>80800</v>
      </c>
      <c r="Q144" s="248">
        <f t="shared" si="47"/>
        <v>152300</v>
      </c>
      <c r="R144" s="687">
        <f>SUM(P118:P260)-R137-R131-R128</f>
        <v>1314450</v>
      </c>
      <c r="S144" s="687">
        <f>SUM(Q118:Q260)-S137-S131-S128</f>
        <v>21700480</v>
      </c>
      <c r="T144" s="248">
        <f t="shared" si="48"/>
        <v>10153.333333333334</v>
      </c>
      <c r="U144" s="993">
        <f t="shared" si="49"/>
        <v>7.9579776756401834</v>
      </c>
      <c r="V144" s="994"/>
      <c r="W144" s="364"/>
      <c r="X144" s="251"/>
      <c r="Y144" s="983" t="str">
        <f t="shared" si="50"/>
        <v>551GPFS5450</v>
      </c>
      <c r="Z144" s="938">
        <v>31411854</v>
      </c>
      <c r="AA144" s="248"/>
      <c r="AB144" s="343">
        <v>0</v>
      </c>
      <c r="AC144" s="343">
        <v>49250</v>
      </c>
      <c r="AD144" s="343">
        <v>2850</v>
      </c>
      <c r="AE144" s="343">
        <v>4450</v>
      </c>
      <c r="AF144" s="343">
        <v>0</v>
      </c>
      <c r="AG144" s="343">
        <v>0</v>
      </c>
      <c r="AH144" s="343">
        <v>12000</v>
      </c>
      <c r="AI144" s="343">
        <v>0</v>
      </c>
      <c r="AJ144" s="343"/>
      <c r="AK144" s="343">
        <v>28750</v>
      </c>
      <c r="AL144" s="343">
        <v>3500</v>
      </c>
      <c r="AM144" s="343">
        <v>0</v>
      </c>
      <c r="AN144" s="248">
        <v>14500</v>
      </c>
      <c r="AO144" s="343">
        <v>0</v>
      </c>
      <c r="AP144" s="343">
        <v>37000</v>
      </c>
      <c r="AQ144" s="248"/>
      <c r="AR144" s="343"/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152300</v>
      </c>
      <c r="BG144" s="896">
        <f t="shared" si="53"/>
        <v>8</v>
      </c>
      <c r="BH144" s="896">
        <f t="shared" si="54"/>
        <v>19037.5</v>
      </c>
      <c r="BI144" s="214"/>
    </row>
    <row r="145" spans="1:62">
      <c r="A145" s="311">
        <v>28</v>
      </c>
      <c r="B145" s="249" t="s">
        <v>2471</v>
      </c>
      <c r="C145" s="407" t="s">
        <v>61</v>
      </c>
      <c r="D145" s="625">
        <v>50</v>
      </c>
      <c r="E145" s="248">
        <v>0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0</v>
      </c>
      <c r="P145" s="248">
        <f t="shared" si="46"/>
        <v>0</v>
      </c>
      <c r="Q145" s="248">
        <f t="shared" si="47"/>
        <v>21450</v>
      </c>
      <c r="R145" s="408"/>
      <c r="S145" s="222"/>
      <c r="T145" s="248">
        <f t="shared" si="48"/>
        <v>1430</v>
      </c>
      <c r="U145" s="993">
        <f t="shared" si="49"/>
        <v>0</v>
      </c>
      <c r="V145" s="994"/>
      <c r="W145" s="364"/>
      <c r="X145" s="251"/>
      <c r="Y145" s="983" t="str">
        <f t="shared" si="50"/>
        <v>551GPFS2550</v>
      </c>
      <c r="Z145" s="938">
        <v>31411825</v>
      </c>
      <c r="AA145" s="248"/>
      <c r="AB145" s="343">
        <v>10500</v>
      </c>
      <c r="AC145" s="343">
        <v>0</v>
      </c>
      <c r="AD145" s="343">
        <v>7500</v>
      </c>
      <c r="AE145" s="343">
        <v>0</v>
      </c>
      <c r="AF145" s="343">
        <v>3450</v>
      </c>
      <c r="AG145" s="343">
        <v>0</v>
      </c>
      <c r="AH145" s="343">
        <v>0</v>
      </c>
      <c r="AI145" s="343">
        <v>0</v>
      </c>
      <c r="AJ145" s="343"/>
      <c r="AK145" s="343">
        <v>0</v>
      </c>
      <c r="AL145" s="343">
        <v>0</v>
      </c>
      <c r="AM145" s="343">
        <v>0</v>
      </c>
      <c r="AN145" s="248">
        <v>0</v>
      </c>
      <c r="AO145" s="343">
        <v>0</v>
      </c>
      <c r="AP145" s="343">
        <v>0</v>
      </c>
      <c r="AQ145" s="248"/>
      <c r="AR145" s="343"/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21450</v>
      </c>
      <c r="BG145" s="896">
        <f t="shared" si="53"/>
        <v>3</v>
      </c>
      <c r="BH145" s="896">
        <f t="shared" si="54"/>
        <v>7150</v>
      </c>
      <c r="BI145" s="214">
        <f>+SUM(BF174:BF195)+SUM(BF241:BF260)</f>
        <v>2692830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584</v>
      </c>
      <c r="F146" s="100">
        <f>SUMIF(pro!$A:$A,INTGRATE!$Y:$Y,pro!$N:$N)</f>
        <v>7218</v>
      </c>
      <c r="G146" s="344"/>
      <c r="H146" s="344">
        <f>SUMIF(CBIN!$A:$A,INTGRATE!$Y:$Y,CBIN!$G:$G)</f>
        <v>0</v>
      </c>
      <c r="I146" s="248">
        <f>SUMIF(data!$D:$D,INTGRATE!$B146&amp;INTGRATE!$D146,data!$J:$J)</f>
        <v>340</v>
      </c>
      <c r="J146" s="248"/>
      <c r="K146" s="248"/>
      <c r="L146" s="248">
        <f>SUMIF(data!$D:$D,INTGRATE!$B146&amp;INTGRATE!$D146,data!$K:$K)</f>
        <v>17000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7462</v>
      </c>
      <c r="P146" s="248">
        <f t="shared" si="46"/>
        <v>373100</v>
      </c>
      <c r="Q146" s="248">
        <f t="shared" si="47"/>
        <v>3030550</v>
      </c>
      <c r="R146" s="622"/>
      <c r="S146" s="622"/>
      <c r="T146" s="248">
        <f t="shared" si="48"/>
        <v>202036.66666666666</v>
      </c>
      <c r="U146" s="993">
        <f t="shared" si="49"/>
        <v>1.8466944943987067</v>
      </c>
      <c r="V146" s="994"/>
      <c r="W146" s="472"/>
      <c r="X146" s="251"/>
      <c r="Y146" s="983" t="str">
        <f t="shared" si="50"/>
        <v>552F50</v>
      </c>
      <c r="Z146" s="938">
        <v>321101</v>
      </c>
      <c r="AA146" s="248"/>
      <c r="AB146" s="343">
        <v>65500</v>
      </c>
      <c r="AC146" s="343">
        <v>58900</v>
      </c>
      <c r="AD146" s="343">
        <v>144450</v>
      </c>
      <c r="AE146" s="343">
        <v>308000</v>
      </c>
      <c r="AF146" s="343">
        <v>667500</v>
      </c>
      <c r="AG146" s="343">
        <v>422800</v>
      </c>
      <c r="AH146" s="343">
        <v>371450</v>
      </c>
      <c r="AI146" s="343">
        <v>410200</v>
      </c>
      <c r="AJ146" s="343"/>
      <c r="AK146" s="343">
        <v>124350</v>
      </c>
      <c r="AL146" s="343">
        <v>85200</v>
      </c>
      <c r="AM146" s="343">
        <v>116300</v>
      </c>
      <c r="AN146" s="248">
        <v>69250</v>
      </c>
      <c r="AO146" s="343">
        <v>169650</v>
      </c>
      <c r="AP146" s="343">
        <v>17000</v>
      </c>
      <c r="AQ146" s="248"/>
      <c r="AR146" s="343"/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3030550</v>
      </c>
      <c r="BG146" s="896">
        <f t="shared" si="53"/>
        <v>14</v>
      </c>
      <c r="BH146" s="896">
        <f t="shared" si="54"/>
        <v>216467.85714285713</v>
      </c>
      <c r="BI146" s="214">
        <f>SUM(BF196:BF261)</f>
        <v>6347920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3">
        <f t="shared" si="49"/>
        <v>0</v>
      </c>
      <c r="V147" s="994"/>
      <c r="W147" s="472"/>
      <c r="X147" s="251"/>
      <c r="Y147" s="983" t="str">
        <f t="shared" si="50"/>
        <v>552F25</v>
      </c>
      <c r="Z147" s="938">
        <v>321101</v>
      </c>
      <c r="AA147" s="248"/>
      <c r="AB147" s="343">
        <v>0</v>
      </c>
      <c r="AC147" s="343">
        <v>0</v>
      </c>
      <c r="AD147" s="343">
        <v>0</v>
      </c>
      <c r="AE147" s="343">
        <v>0</v>
      </c>
      <c r="AF147" s="343">
        <v>0</v>
      </c>
      <c r="AG147" s="343">
        <v>0</v>
      </c>
      <c r="AH147" s="343">
        <v>0</v>
      </c>
      <c r="AI147" s="343">
        <v>0</v>
      </c>
      <c r="AJ147" s="343"/>
      <c r="AK147" s="343">
        <v>0</v>
      </c>
      <c r="AL147" s="343">
        <v>0</v>
      </c>
      <c r="AM147" s="343">
        <v>0</v>
      </c>
      <c r="AN147" s="248">
        <v>0</v>
      </c>
      <c r="AO147" s="343">
        <v>0</v>
      </c>
      <c r="AP147" s="343">
        <v>0</v>
      </c>
      <c r="AQ147" s="248"/>
      <c r="AR147" s="343"/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17229150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3">
        <f t="shared" si="49"/>
        <v>0</v>
      </c>
      <c r="V148" s="994"/>
      <c r="W148" s="472"/>
      <c r="X148" s="251"/>
      <c r="Y148" s="983" t="str">
        <f t="shared" si="50"/>
        <v>552FS1050</v>
      </c>
      <c r="Z148" s="938">
        <v>32110810</v>
      </c>
      <c r="AA148" s="248"/>
      <c r="AB148" s="343">
        <v>0</v>
      </c>
      <c r="AC148" s="343">
        <v>0</v>
      </c>
      <c r="AD148" s="343">
        <v>0</v>
      </c>
      <c r="AE148" s="343">
        <v>0</v>
      </c>
      <c r="AF148" s="343">
        <v>0</v>
      </c>
      <c r="AG148" s="343">
        <v>0</v>
      </c>
      <c r="AH148" s="343">
        <v>0</v>
      </c>
      <c r="AI148" s="343">
        <v>0</v>
      </c>
      <c r="AJ148" s="343"/>
      <c r="AK148" s="343">
        <v>0</v>
      </c>
      <c r="AL148" s="343">
        <v>0</v>
      </c>
      <c r="AM148" s="343">
        <v>0</v>
      </c>
      <c r="AN148" s="248">
        <v>0</v>
      </c>
      <c r="AO148" s="343">
        <v>0</v>
      </c>
      <c r="AP148" s="343">
        <v>0</v>
      </c>
      <c r="AQ148" s="248"/>
      <c r="AR148" s="343"/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3">
        <f t="shared" ref="U149:U196" si="55">IF(T149=0,0,P149/T149)</f>
        <v>0</v>
      </c>
      <c r="V149" s="994"/>
      <c r="W149" s="472"/>
      <c r="X149" s="251"/>
      <c r="Y149" s="983" t="str">
        <f t="shared" si="50"/>
        <v>552FS1150</v>
      </c>
      <c r="Z149" s="938">
        <v>32110811</v>
      </c>
      <c r="AA149" s="248"/>
      <c r="AB149" s="343">
        <v>0</v>
      </c>
      <c r="AC149" s="343">
        <v>0</v>
      </c>
      <c r="AD149" s="343">
        <v>0</v>
      </c>
      <c r="AE149" s="343">
        <v>0</v>
      </c>
      <c r="AF149" s="343">
        <v>0</v>
      </c>
      <c r="AG149" s="343">
        <v>0</v>
      </c>
      <c r="AH149" s="343">
        <v>0</v>
      </c>
      <c r="AI149" s="343">
        <v>0</v>
      </c>
      <c r="AJ149" s="343"/>
      <c r="AK149" s="343">
        <v>0</v>
      </c>
      <c r="AL149" s="343">
        <v>0</v>
      </c>
      <c r="AM149" s="343">
        <v>0</v>
      </c>
      <c r="AN149" s="248">
        <v>0</v>
      </c>
      <c r="AO149" s="343">
        <v>0</v>
      </c>
      <c r="AP149" s="343">
        <v>0</v>
      </c>
      <c r="AQ149" s="248"/>
      <c r="AR149" s="343"/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649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649</v>
      </c>
      <c r="J150" s="248"/>
      <c r="K150" s="248"/>
      <c r="L150" s="248">
        <f>SUMIF(data!$D:$D,INTGRATE!$B150&amp;INTGRATE!$D150,data!$K:$K)</f>
        <v>32450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0</v>
      </c>
      <c r="P150" s="248">
        <f>O150*D150</f>
        <v>0</v>
      </c>
      <c r="Q150" s="248">
        <f>SUM(AA150:BE150)</f>
        <v>211900</v>
      </c>
      <c r="R150" s="408"/>
      <c r="S150" s="222"/>
      <c r="T150" s="248">
        <f t="shared" ref="T150:T183" si="56">Q150/$N$293</f>
        <v>14126.666666666666</v>
      </c>
      <c r="U150" s="993">
        <f>IF(T150=0,0,P150/T150)</f>
        <v>0</v>
      </c>
      <c r="V150" s="994"/>
      <c r="W150" s="472"/>
      <c r="X150" s="251"/>
      <c r="Y150" s="983" t="str">
        <f>B150&amp;D150</f>
        <v>552FS1350</v>
      </c>
      <c r="Z150" s="938">
        <v>32110813</v>
      </c>
      <c r="AA150" s="248"/>
      <c r="AB150" s="343">
        <v>42850</v>
      </c>
      <c r="AC150" s="343">
        <v>0</v>
      </c>
      <c r="AD150" s="343">
        <v>0</v>
      </c>
      <c r="AE150" s="343">
        <v>0</v>
      </c>
      <c r="AF150" s="343">
        <v>0</v>
      </c>
      <c r="AG150" s="343">
        <v>0</v>
      </c>
      <c r="AH150" s="343">
        <v>0</v>
      </c>
      <c r="AI150" s="343">
        <v>0</v>
      </c>
      <c r="AJ150" s="343"/>
      <c r="AK150" s="343">
        <v>16500</v>
      </c>
      <c r="AL150" s="343">
        <v>17000</v>
      </c>
      <c r="AM150" s="343">
        <v>0</v>
      </c>
      <c r="AN150" s="248">
        <v>40500</v>
      </c>
      <c r="AO150" s="343">
        <v>62600</v>
      </c>
      <c r="AP150" s="343">
        <v>32450</v>
      </c>
      <c r="AQ150" s="248"/>
      <c r="AR150" s="343"/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211900</v>
      </c>
      <c r="BG150" s="896">
        <f t="shared" si="53"/>
        <v>6</v>
      </c>
      <c r="BH150" s="896">
        <f t="shared" si="54"/>
        <v>35316.666666666664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3">
        <f>IF(T151=0,0,P151/T151)</f>
        <v>0</v>
      </c>
      <c r="V151" s="994"/>
      <c r="W151" s="472"/>
      <c r="X151" s="251"/>
      <c r="Y151" s="983" t="str">
        <f>B151&amp;D151</f>
        <v>552FS3150</v>
      </c>
      <c r="Z151" s="938">
        <v>32110831</v>
      </c>
      <c r="AA151" s="248"/>
      <c r="AB151" s="343">
        <v>0</v>
      </c>
      <c r="AC151" s="343">
        <v>0</v>
      </c>
      <c r="AD151" s="343">
        <v>0</v>
      </c>
      <c r="AE151" s="343">
        <v>0</v>
      </c>
      <c r="AF151" s="343">
        <v>0</v>
      </c>
      <c r="AG151" s="343">
        <v>0</v>
      </c>
      <c r="AH151" s="343">
        <v>0</v>
      </c>
      <c r="AI151" s="343">
        <v>0</v>
      </c>
      <c r="AJ151" s="343"/>
      <c r="AK151" s="343">
        <v>0</v>
      </c>
      <c r="AL151" s="343">
        <v>0</v>
      </c>
      <c r="AM151" s="343">
        <v>0</v>
      </c>
      <c r="AN151" s="248">
        <v>0</v>
      </c>
      <c r="AO151" s="343">
        <v>0</v>
      </c>
      <c r="AP151" s="343">
        <v>0</v>
      </c>
      <c r="AQ151" s="248"/>
      <c r="AR151" s="343"/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3">
        <f t="shared" si="55"/>
        <v>0</v>
      </c>
      <c r="V152" s="994"/>
      <c r="W152" s="523"/>
      <c r="X152" s="251"/>
      <c r="Y152" s="983" t="str">
        <f t="shared" si="50"/>
        <v>552FS3450</v>
      </c>
      <c r="Z152" s="938">
        <v>32110834</v>
      </c>
      <c r="AA152" s="248"/>
      <c r="AB152" s="343">
        <v>0</v>
      </c>
      <c r="AC152" s="343">
        <v>0</v>
      </c>
      <c r="AD152" s="343">
        <v>0</v>
      </c>
      <c r="AE152" s="343">
        <v>0</v>
      </c>
      <c r="AF152" s="343">
        <v>0</v>
      </c>
      <c r="AG152" s="343">
        <v>0</v>
      </c>
      <c r="AH152" s="343">
        <v>0</v>
      </c>
      <c r="AI152" s="343">
        <v>0</v>
      </c>
      <c r="AJ152" s="343"/>
      <c r="AK152" s="343">
        <v>0</v>
      </c>
      <c r="AL152" s="343">
        <v>0</v>
      </c>
      <c r="AM152" s="343">
        <v>0</v>
      </c>
      <c r="AN152" s="248">
        <v>0</v>
      </c>
      <c r="AO152" s="343">
        <v>0</v>
      </c>
      <c r="AP152" s="343">
        <v>0</v>
      </c>
      <c r="AQ152" s="248"/>
      <c r="AR152" s="343"/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3">
        <f>IF(T153=0,0,P153/T153)</f>
        <v>0</v>
      </c>
      <c r="V153" s="994"/>
      <c r="W153" s="523"/>
      <c r="X153" s="251"/>
      <c r="Y153" s="983" t="str">
        <f t="shared" si="50"/>
        <v>552FS3750</v>
      </c>
      <c r="Z153" s="938">
        <v>32110837</v>
      </c>
      <c r="AA153" s="248"/>
      <c r="AB153" s="343">
        <v>0</v>
      </c>
      <c r="AC153" s="343">
        <v>0</v>
      </c>
      <c r="AD153" s="343">
        <v>0</v>
      </c>
      <c r="AE153" s="343">
        <v>0</v>
      </c>
      <c r="AF153" s="343">
        <v>0</v>
      </c>
      <c r="AG153" s="343">
        <v>0</v>
      </c>
      <c r="AH153" s="343">
        <v>0</v>
      </c>
      <c r="AI153" s="343">
        <v>0</v>
      </c>
      <c r="AJ153" s="343"/>
      <c r="AK153" s="343">
        <v>0</v>
      </c>
      <c r="AL153" s="343">
        <v>0</v>
      </c>
      <c r="AM153" s="343">
        <v>0</v>
      </c>
      <c r="AN153" s="248">
        <v>0</v>
      </c>
      <c r="AO153" s="343">
        <v>0</v>
      </c>
      <c r="AP153" s="343">
        <v>0</v>
      </c>
      <c r="AQ153" s="248"/>
      <c r="AR153" s="343"/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3">
        <f>IF(T154=0,0,P154/T154)</f>
        <v>0</v>
      </c>
      <c r="V154" s="994"/>
      <c r="W154" s="523"/>
      <c r="X154" s="251"/>
      <c r="Y154" s="983" t="str">
        <f>B154&amp;D154</f>
        <v>552FS7350</v>
      </c>
      <c r="Z154" s="938">
        <v>32110873</v>
      </c>
      <c r="AA154" s="248"/>
      <c r="AB154" s="343">
        <v>0</v>
      </c>
      <c r="AC154" s="343">
        <v>0</v>
      </c>
      <c r="AD154" s="343">
        <v>0</v>
      </c>
      <c r="AE154" s="343">
        <v>0</v>
      </c>
      <c r="AF154" s="343">
        <v>0</v>
      </c>
      <c r="AG154" s="343">
        <v>0</v>
      </c>
      <c r="AH154" s="343">
        <v>0</v>
      </c>
      <c r="AI154" s="343">
        <v>0</v>
      </c>
      <c r="AJ154" s="343"/>
      <c r="AK154" s="343">
        <v>0</v>
      </c>
      <c r="AL154" s="343">
        <v>0</v>
      </c>
      <c r="AM154" s="343">
        <v>0</v>
      </c>
      <c r="AN154" s="248">
        <v>0</v>
      </c>
      <c r="AO154" s="343">
        <v>0</v>
      </c>
      <c r="AP154" s="343">
        <v>0</v>
      </c>
      <c r="AQ154" s="248"/>
      <c r="AR154" s="343"/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4188</v>
      </c>
      <c r="F155" s="100">
        <f>SUMIF(pro!$A:$A,INTGRATE!$Y:$Y,pro!$N:$N)</f>
        <v>7246</v>
      </c>
      <c r="G155" s="344"/>
      <c r="H155" s="344">
        <f>SUMIF(CBIN!$A:$A,INTGRATE!$Y:$Y,CBIN!$G:$G)</f>
        <v>0</v>
      </c>
      <c r="I155" s="248">
        <f>SUMIF(data!$D:$D,INTGRATE!$B155&amp;INTGRATE!$D155,data!$J:$J)</f>
        <v>7862</v>
      </c>
      <c r="J155" s="248"/>
      <c r="K155" s="248"/>
      <c r="L155" s="248">
        <f>SUMIF(data!$D:$D,INTGRATE!$B155&amp;INTGRATE!$D155,data!$K:$K)</f>
        <v>393100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3572</v>
      </c>
      <c r="P155" s="248">
        <f t="shared" si="46"/>
        <v>178600</v>
      </c>
      <c r="Q155" s="248">
        <f>SUM(AA155:BE155)</f>
        <v>2338450</v>
      </c>
      <c r="R155" s="222"/>
      <c r="S155" s="222"/>
      <c r="T155" s="248">
        <f t="shared" si="56"/>
        <v>155896.66666666666</v>
      </c>
      <c r="U155" s="993">
        <f t="shared" si="55"/>
        <v>1.1456306527828264</v>
      </c>
      <c r="V155" s="994"/>
      <c r="W155" s="472"/>
      <c r="X155" s="251"/>
      <c r="Y155" s="983" t="str">
        <f t="shared" si="50"/>
        <v>552FS9050</v>
      </c>
      <c r="Z155" s="938">
        <v>32110890</v>
      </c>
      <c r="AA155" s="248"/>
      <c r="AB155" s="343">
        <v>173500</v>
      </c>
      <c r="AC155" s="343">
        <v>330200</v>
      </c>
      <c r="AD155" s="343">
        <v>16800</v>
      </c>
      <c r="AE155" s="343">
        <v>0</v>
      </c>
      <c r="AF155" s="343">
        <v>0</v>
      </c>
      <c r="AG155" s="343">
        <v>0</v>
      </c>
      <c r="AH155" s="343">
        <v>0</v>
      </c>
      <c r="AI155" s="343">
        <v>0</v>
      </c>
      <c r="AJ155" s="343"/>
      <c r="AK155" s="343">
        <v>234650</v>
      </c>
      <c r="AL155" s="343">
        <v>329500</v>
      </c>
      <c r="AM155" s="343">
        <v>344700</v>
      </c>
      <c r="AN155" s="248">
        <v>242200</v>
      </c>
      <c r="AO155" s="343">
        <v>273800</v>
      </c>
      <c r="AP155" s="343">
        <v>393100</v>
      </c>
      <c r="AQ155" s="248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2338450</v>
      </c>
      <c r="BG155" s="896">
        <f t="shared" si="53"/>
        <v>9</v>
      </c>
      <c r="BH155" s="896">
        <f t="shared" si="54"/>
        <v>259827.77777777778</v>
      </c>
    </row>
    <row r="156" spans="1:62">
      <c r="A156" s="311">
        <v>39</v>
      </c>
      <c r="B156" s="253" t="s">
        <v>2666</v>
      </c>
      <c r="C156" s="253" t="s">
        <v>61</v>
      </c>
      <c r="D156" s="400">
        <v>50</v>
      </c>
      <c r="E156" s="248">
        <v>167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0</v>
      </c>
      <c r="J156" s="248"/>
      <c r="K156" s="248"/>
      <c r="L156" s="248">
        <f>SUMIF(data!$D:$D,INTGRATE!$B156&amp;INTGRATE!$D156,data!$K:$K)</f>
        <v>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167</v>
      </c>
      <c r="P156" s="248">
        <f t="shared" ref="P156" si="59">O156*D156</f>
        <v>8350</v>
      </c>
      <c r="Q156" s="248">
        <f>SUM(AA156:BE156)</f>
        <v>34000</v>
      </c>
      <c r="R156" s="222"/>
      <c r="S156" s="222"/>
      <c r="T156" s="248">
        <f t="shared" si="56"/>
        <v>2266.6666666666665</v>
      </c>
      <c r="U156" s="993">
        <f t="shared" ref="U156" si="60">IF(T156=0,0,P156/T156)</f>
        <v>3.6838235294117649</v>
      </c>
      <c r="V156" s="994"/>
      <c r="W156" s="472"/>
      <c r="X156" s="251"/>
      <c r="Y156" s="983" t="str">
        <f t="shared" si="50"/>
        <v>552WDF50</v>
      </c>
      <c r="Z156" s="938">
        <v>321181</v>
      </c>
      <c r="AA156" s="248"/>
      <c r="AB156" s="343">
        <v>0</v>
      </c>
      <c r="AC156" s="343">
        <v>0</v>
      </c>
      <c r="AD156" s="343">
        <v>0</v>
      </c>
      <c r="AE156" s="343">
        <v>0</v>
      </c>
      <c r="AF156" s="343">
        <v>0</v>
      </c>
      <c r="AG156" s="343">
        <v>0</v>
      </c>
      <c r="AH156" s="343">
        <v>0</v>
      </c>
      <c r="AI156" s="343">
        <v>0</v>
      </c>
      <c r="AJ156" s="343"/>
      <c r="AK156" s="343">
        <v>0</v>
      </c>
      <c r="AL156" s="343">
        <v>0</v>
      </c>
      <c r="AM156" s="343">
        <v>0</v>
      </c>
      <c r="AN156" s="248">
        <v>17000</v>
      </c>
      <c r="AO156" s="343">
        <v>17000</v>
      </c>
      <c r="AP156" s="343">
        <v>0</v>
      </c>
      <c r="AQ156" s="248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34000</v>
      </c>
      <c r="BG156" s="896">
        <f t="shared" ref="BG156" si="62">COUNTIF(AA156:BE156,"&gt;0")</f>
        <v>2</v>
      </c>
      <c r="BH156" s="896">
        <f t="shared" ref="BH156" si="63">IFERROR(BF156/BG156,0)</f>
        <v>17000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239</v>
      </c>
      <c r="F157" s="100">
        <f>SUMIF(pro!$A:$A,INTGRATE!$Y:$Y,pro!$N:$N)</f>
        <v>1448</v>
      </c>
      <c r="G157" s="248"/>
      <c r="H157" s="344">
        <f>SUMIF(CBIN!$A:$A,INTGRATE!$Y:$Y,CBIN!$G:$G)</f>
        <v>0</v>
      </c>
      <c r="I157" s="248">
        <f>SUMIF(data!$D:$D,INTGRATE!$B157&amp;INTGRATE!$D157,data!$J:$J)</f>
        <v>0</v>
      </c>
      <c r="J157" s="248"/>
      <c r="K157" s="248"/>
      <c r="L157" s="248">
        <f>SUMIF(data!$D:$D,INTGRATE!$B157&amp;INTGRATE!$D157,data!$K:$K)</f>
        <v>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1687</v>
      </c>
      <c r="P157" s="248">
        <f t="shared" si="46"/>
        <v>84350</v>
      </c>
      <c r="Q157" s="248">
        <f t="shared" si="57"/>
        <v>2338100</v>
      </c>
      <c r="R157" s="222"/>
      <c r="S157" s="222"/>
      <c r="T157" s="248">
        <f t="shared" si="56"/>
        <v>155873.33333333334</v>
      </c>
      <c r="U157" s="993">
        <f t="shared" si="55"/>
        <v>0.54114451905393268</v>
      </c>
      <c r="V157" s="994"/>
      <c r="W157" s="522"/>
      <c r="X157" s="251"/>
      <c r="Y157" s="983" t="str">
        <f t="shared" si="50"/>
        <v>552SF50</v>
      </c>
      <c r="Z157" s="938" t="s">
        <v>776</v>
      </c>
      <c r="AA157" s="248"/>
      <c r="AB157" s="343">
        <v>0</v>
      </c>
      <c r="AC157" s="343">
        <v>167750</v>
      </c>
      <c r="AD157" s="343">
        <v>335450</v>
      </c>
      <c r="AE157" s="343">
        <v>312250</v>
      </c>
      <c r="AF157" s="343">
        <v>228550</v>
      </c>
      <c r="AG157" s="343">
        <v>382900</v>
      </c>
      <c r="AH157" s="343">
        <v>406800</v>
      </c>
      <c r="AI157" s="343">
        <v>282000</v>
      </c>
      <c r="AJ157" s="343"/>
      <c r="AK157" s="343">
        <v>60500</v>
      </c>
      <c r="AL157" s="343">
        <v>0</v>
      </c>
      <c r="AM157" s="343">
        <v>104900</v>
      </c>
      <c r="AN157" s="248">
        <v>8000</v>
      </c>
      <c r="AO157" s="343">
        <v>49000</v>
      </c>
      <c r="AP157" s="343">
        <v>0</v>
      </c>
      <c r="AQ157" s="248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2338100</v>
      </c>
      <c r="BG157" s="896">
        <f t="shared" si="53"/>
        <v>11</v>
      </c>
      <c r="BH157" s="896">
        <f t="shared" si="54"/>
        <v>212554.54545454544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3">
        <f t="shared" si="55"/>
        <v>0</v>
      </c>
      <c r="V158" s="994"/>
      <c r="W158" s="522"/>
      <c r="X158" s="251"/>
      <c r="Y158" s="983" t="str">
        <f t="shared" si="50"/>
        <v>552SF25</v>
      </c>
      <c r="Z158" s="938" t="s">
        <v>776</v>
      </c>
      <c r="AA158" s="248"/>
      <c r="AB158" s="343">
        <v>0</v>
      </c>
      <c r="AC158" s="343">
        <v>0</v>
      </c>
      <c r="AD158" s="343">
        <v>0</v>
      </c>
      <c r="AE158" s="343">
        <v>0</v>
      </c>
      <c r="AF158" s="343">
        <v>0</v>
      </c>
      <c r="AG158" s="343">
        <v>0</v>
      </c>
      <c r="AH158" s="343">
        <v>0</v>
      </c>
      <c r="AI158" s="343">
        <v>0</v>
      </c>
      <c r="AJ158" s="343"/>
      <c r="AK158" s="343">
        <v>0</v>
      </c>
      <c r="AL158" s="343">
        <v>0</v>
      </c>
      <c r="AM158" s="343">
        <v>0</v>
      </c>
      <c r="AN158" s="248">
        <v>0</v>
      </c>
      <c r="AO158" s="343">
        <v>0</v>
      </c>
      <c r="AP158" s="343">
        <v>0</v>
      </c>
      <c r="AQ158" s="248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3">
        <f t="shared" si="55"/>
        <v>0</v>
      </c>
      <c r="V159" s="994"/>
      <c r="W159" s="522"/>
      <c r="X159" s="251"/>
      <c r="Y159" s="983" t="str">
        <f t="shared" si="50"/>
        <v>552SXF25</v>
      </c>
      <c r="Z159" s="943">
        <v>320008</v>
      </c>
      <c r="AA159" s="248"/>
      <c r="AB159" s="343">
        <v>0</v>
      </c>
      <c r="AC159" s="343">
        <v>0</v>
      </c>
      <c r="AD159" s="343">
        <v>0</v>
      </c>
      <c r="AE159" s="343">
        <v>0</v>
      </c>
      <c r="AF159" s="343">
        <v>0</v>
      </c>
      <c r="AG159" s="343">
        <v>0</v>
      </c>
      <c r="AH159" s="343">
        <v>0</v>
      </c>
      <c r="AI159" s="343">
        <v>0</v>
      </c>
      <c r="AJ159" s="343"/>
      <c r="AK159" s="343">
        <v>0</v>
      </c>
      <c r="AL159" s="343">
        <v>0</v>
      </c>
      <c r="AM159" s="343">
        <v>0</v>
      </c>
      <c r="AN159" s="248">
        <v>0</v>
      </c>
      <c r="AO159" s="343">
        <v>0</v>
      </c>
      <c r="AP159" s="343">
        <v>0</v>
      </c>
      <c r="AQ159" s="248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3">
        <f>IF(T160=0,0,P160/T160)</f>
        <v>0</v>
      </c>
      <c r="V160" s="994"/>
      <c r="W160" s="522"/>
      <c r="X160" s="251"/>
      <c r="Y160" s="983" t="str">
        <f>B160&amp;D160</f>
        <v>552SFS3150</v>
      </c>
      <c r="Z160" s="938">
        <v>32010831</v>
      </c>
      <c r="AA160" s="248"/>
      <c r="AB160" s="343">
        <v>0</v>
      </c>
      <c r="AC160" s="343">
        <v>0</v>
      </c>
      <c r="AD160" s="343">
        <v>0</v>
      </c>
      <c r="AE160" s="343">
        <v>0</v>
      </c>
      <c r="AF160" s="343">
        <v>0</v>
      </c>
      <c r="AG160" s="343">
        <v>0</v>
      </c>
      <c r="AH160" s="343">
        <v>0</v>
      </c>
      <c r="AI160" s="343">
        <v>0</v>
      </c>
      <c r="AJ160" s="343"/>
      <c r="AK160" s="343">
        <v>0</v>
      </c>
      <c r="AL160" s="343">
        <v>0</v>
      </c>
      <c r="AM160" s="343">
        <v>0</v>
      </c>
      <c r="AN160" s="248">
        <v>0</v>
      </c>
      <c r="AO160" s="343">
        <v>0</v>
      </c>
      <c r="AP160" s="343">
        <v>0</v>
      </c>
      <c r="AQ160" s="248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2608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3">
        <f t="shared" si="55"/>
        <v>0</v>
      </c>
      <c r="V161" s="994"/>
      <c r="W161" s="363"/>
      <c r="X161" s="251"/>
      <c r="Y161" s="983" t="str">
        <f t="shared" si="50"/>
        <v>552SFS1350</v>
      </c>
      <c r="Z161" s="938">
        <v>32010813</v>
      </c>
      <c r="AA161" s="248"/>
      <c r="AB161" s="343">
        <v>0</v>
      </c>
      <c r="AC161" s="343">
        <v>0</v>
      </c>
      <c r="AD161" s="343">
        <v>0</v>
      </c>
      <c r="AE161" s="343">
        <v>0</v>
      </c>
      <c r="AF161" s="343">
        <v>0</v>
      </c>
      <c r="AG161" s="343">
        <v>0</v>
      </c>
      <c r="AH161" s="343">
        <v>0</v>
      </c>
      <c r="AI161" s="343">
        <v>0</v>
      </c>
      <c r="AJ161" s="343"/>
      <c r="AK161" s="343">
        <v>0</v>
      </c>
      <c r="AL161" s="343">
        <v>0</v>
      </c>
      <c r="AM161" s="343">
        <v>0</v>
      </c>
      <c r="AN161" s="248">
        <v>0</v>
      </c>
      <c r="AO161" s="343">
        <v>0</v>
      </c>
      <c r="AP161" s="343">
        <v>0</v>
      </c>
      <c r="AQ161" s="248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3">
        <f>IF(T162=0,0,P162/T162)</f>
        <v>0</v>
      </c>
      <c r="V162" s="994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/>
      <c r="AB162" s="343">
        <v>0</v>
      </c>
      <c r="AC162" s="343">
        <v>0</v>
      </c>
      <c r="AD162" s="343">
        <v>0</v>
      </c>
      <c r="AE162" s="343">
        <v>0</v>
      </c>
      <c r="AF162" s="343">
        <v>0</v>
      </c>
      <c r="AG162" s="343">
        <v>0</v>
      </c>
      <c r="AH162" s="343">
        <v>0</v>
      </c>
      <c r="AI162" s="343">
        <v>0</v>
      </c>
      <c r="AJ162" s="343"/>
      <c r="AK162" s="343">
        <v>0</v>
      </c>
      <c r="AL162" s="343">
        <v>0</v>
      </c>
      <c r="AM162" s="343">
        <v>0</v>
      </c>
      <c r="AN162" s="248">
        <v>0</v>
      </c>
      <c r="AO162" s="343">
        <v>0</v>
      </c>
      <c r="AP162" s="343">
        <v>0</v>
      </c>
      <c r="AQ162" s="248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3">
        <f>IF(T163=0,0,P163/T163)</f>
        <v>0</v>
      </c>
      <c r="V163" s="994"/>
      <c r="W163" s="363"/>
      <c r="X163" s="251"/>
      <c r="Y163" s="983" t="str">
        <f>B163&amp;D163</f>
        <v>552SFS7350</v>
      </c>
      <c r="Z163" s="938">
        <v>32010873</v>
      </c>
      <c r="AA163" s="248"/>
      <c r="AB163" s="343">
        <v>0</v>
      </c>
      <c r="AC163" s="343">
        <v>0</v>
      </c>
      <c r="AD163" s="343">
        <v>0</v>
      </c>
      <c r="AE163" s="343">
        <v>0</v>
      </c>
      <c r="AF163" s="343">
        <v>0</v>
      </c>
      <c r="AG163" s="343">
        <v>0</v>
      </c>
      <c r="AH163" s="343">
        <v>0</v>
      </c>
      <c r="AI163" s="343">
        <v>0</v>
      </c>
      <c r="AJ163" s="343"/>
      <c r="AK163" s="343">
        <v>0</v>
      </c>
      <c r="AL163" s="343">
        <v>0</v>
      </c>
      <c r="AM163" s="343">
        <v>0</v>
      </c>
      <c r="AN163" s="248">
        <v>0</v>
      </c>
      <c r="AO163" s="343">
        <v>0</v>
      </c>
      <c r="AP163" s="343">
        <v>0</v>
      </c>
      <c r="AQ163" s="248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4597</v>
      </c>
      <c r="F164" s="100">
        <f>SUMIF(pro!$A:$A,INTGRATE!$Y:$Y,pro!$N:$N)</f>
        <v>4421</v>
      </c>
      <c r="G164" s="248"/>
      <c r="H164" s="344">
        <f>SUMIF(CBIN!$A:$A,INTGRATE!$Y:$Y,CBIN!$G:$G)</f>
        <v>0</v>
      </c>
      <c r="I164" s="248">
        <f>SUMIF(data!$D:$D,INTGRATE!$B164&amp;INTGRATE!$D164,data!$J:$J)</f>
        <v>7924</v>
      </c>
      <c r="J164" s="248"/>
      <c r="K164" s="248"/>
      <c r="L164" s="248">
        <f>SUMIF(data!$D:$D,INTGRATE!$B164&amp;INTGRATE!$D164,data!$K:$K)</f>
        <v>396200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1094</v>
      </c>
      <c r="P164" s="248">
        <f t="shared" si="65"/>
        <v>54700</v>
      </c>
      <c r="Q164" s="248">
        <f t="shared" si="66"/>
        <v>2759450</v>
      </c>
      <c r="R164" s="222"/>
      <c r="S164" s="222"/>
      <c r="T164" s="248">
        <f t="shared" si="56"/>
        <v>183963.33333333334</v>
      </c>
      <c r="U164" s="993">
        <f t="shared" si="55"/>
        <v>0.29734186160285564</v>
      </c>
      <c r="V164" s="994"/>
      <c r="W164" s="363"/>
      <c r="X164" s="251"/>
      <c r="Y164" s="983" t="str">
        <f t="shared" si="67"/>
        <v>552SFS9050</v>
      </c>
      <c r="Z164" s="938">
        <v>32010890</v>
      </c>
      <c r="AA164" s="248"/>
      <c r="AB164" s="343">
        <v>276250</v>
      </c>
      <c r="AC164" s="343">
        <v>317050</v>
      </c>
      <c r="AD164" s="343">
        <v>0</v>
      </c>
      <c r="AE164" s="343">
        <v>0</v>
      </c>
      <c r="AF164" s="343">
        <v>0</v>
      </c>
      <c r="AG164" s="343">
        <v>0</v>
      </c>
      <c r="AH164" s="343">
        <v>0</v>
      </c>
      <c r="AI164" s="343">
        <v>0</v>
      </c>
      <c r="AJ164" s="343"/>
      <c r="AK164" s="343">
        <v>402100</v>
      </c>
      <c r="AL164" s="343">
        <v>463300</v>
      </c>
      <c r="AM164" s="343">
        <v>302100</v>
      </c>
      <c r="AN164" s="248">
        <v>403150</v>
      </c>
      <c r="AO164" s="343">
        <v>199300</v>
      </c>
      <c r="AP164" s="343">
        <v>396200</v>
      </c>
      <c r="AQ164" s="248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2759450</v>
      </c>
      <c r="BG164" s="896">
        <f t="shared" si="53"/>
        <v>8</v>
      </c>
      <c r="BH164" s="896">
        <f t="shared" si="54"/>
        <v>344931.25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3">
        <f t="shared" si="55"/>
        <v>0</v>
      </c>
      <c r="V165" s="994"/>
      <c r="W165" s="363"/>
      <c r="X165" s="251"/>
      <c r="Y165" s="983" t="str">
        <f t="shared" si="67"/>
        <v>553BF50</v>
      </c>
      <c r="Z165" s="938" t="s">
        <v>777</v>
      </c>
      <c r="AA165" s="248"/>
      <c r="AB165" s="343">
        <v>0</v>
      </c>
      <c r="AC165" s="343">
        <v>0</v>
      </c>
      <c r="AD165" s="343">
        <v>0</v>
      </c>
      <c r="AE165" s="343">
        <v>0</v>
      </c>
      <c r="AF165" s="343">
        <v>0</v>
      </c>
      <c r="AG165" s="343">
        <v>0</v>
      </c>
      <c r="AH165" s="343">
        <v>0</v>
      </c>
      <c r="AI165" s="343">
        <v>0</v>
      </c>
      <c r="AJ165" s="343"/>
      <c r="AK165" s="343">
        <v>0</v>
      </c>
      <c r="AL165" s="343">
        <v>0</v>
      </c>
      <c r="AM165" s="343">
        <v>0</v>
      </c>
      <c r="AN165" s="248">
        <v>0</v>
      </c>
      <c r="AO165" s="343">
        <v>0</v>
      </c>
      <c r="AP165" s="343">
        <v>0</v>
      </c>
      <c r="AQ165" s="248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26</v>
      </c>
      <c r="F166" s="100">
        <f>SUMIF(pro!$A:$A,INTGRATE!$Y:$Y,pro!$N:$N)</f>
        <v>3132</v>
      </c>
      <c r="G166" s="248"/>
      <c r="H166" s="344">
        <f>SUMIF(CBIN!$A:$A,INTGRATE!$Y:$Y,CBIN!$G:$G)</f>
        <v>0</v>
      </c>
      <c r="I166" s="248">
        <f>SUMIF(data!$D:$D,INTGRATE!$B166&amp;INTGRATE!$D166,data!$J:$J)</f>
        <v>1608</v>
      </c>
      <c r="J166" s="248"/>
      <c r="K166" s="248"/>
      <c r="L166" s="248">
        <f>SUMIF(data!$D:$D,INTGRATE!$B166&amp;INTGRATE!$D166,data!$K:$K)</f>
        <v>80400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1550</v>
      </c>
      <c r="P166" s="248">
        <f t="shared" si="65"/>
        <v>77500</v>
      </c>
      <c r="Q166" s="248">
        <f t="shared" si="66"/>
        <v>1827500</v>
      </c>
      <c r="R166" s="222"/>
      <c r="S166" s="222"/>
      <c r="T166" s="248">
        <f t="shared" si="56"/>
        <v>121833.33333333333</v>
      </c>
      <c r="U166" s="993">
        <f t="shared" si="55"/>
        <v>0.63611491108071139</v>
      </c>
      <c r="V166" s="994"/>
      <c r="W166" s="363"/>
      <c r="X166" s="251"/>
      <c r="Y166" s="983" t="str">
        <f t="shared" si="67"/>
        <v>553MF50</v>
      </c>
      <c r="Z166" s="938" t="s">
        <v>778</v>
      </c>
      <c r="AA166" s="248"/>
      <c r="AB166" s="343">
        <v>93750</v>
      </c>
      <c r="AC166" s="343">
        <v>86450</v>
      </c>
      <c r="AD166" s="343">
        <v>54750</v>
      </c>
      <c r="AE166" s="343">
        <v>115950</v>
      </c>
      <c r="AF166" s="343">
        <v>128900</v>
      </c>
      <c r="AG166" s="343">
        <v>190650</v>
      </c>
      <c r="AH166" s="343">
        <v>76500</v>
      </c>
      <c r="AI166" s="343">
        <v>217050</v>
      </c>
      <c r="AJ166" s="343"/>
      <c r="AK166" s="343">
        <v>166300</v>
      </c>
      <c r="AL166" s="343">
        <v>60750</v>
      </c>
      <c r="AM166" s="343">
        <v>170900</v>
      </c>
      <c r="AN166" s="248">
        <v>168550</v>
      </c>
      <c r="AO166" s="343">
        <v>216600</v>
      </c>
      <c r="AP166" s="343">
        <v>80400</v>
      </c>
      <c r="AQ166" s="248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1827500</v>
      </c>
      <c r="BG166" s="896">
        <f t="shared" si="53"/>
        <v>14</v>
      </c>
      <c r="BH166" s="896">
        <f t="shared" si="54"/>
        <v>130535.71428571429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3">
        <f t="shared" si="55"/>
        <v>0</v>
      </c>
      <c r="V167" s="994"/>
      <c r="W167" s="363"/>
      <c r="X167" s="251"/>
      <c r="Y167" s="983" t="str">
        <f t="shared" si="67"/>
        <v>553MFS3450</v>
      </c>
      <c r="Z167" s="938">
        <v>33221834</v>
      </c>
      <c r="AA167" s="248"/>
      <c r="AB167" s="343">
        <v>0</v>
      </c>
      <c r="AC167" s="343">
        <v>0</v>
      </c>
      <c r="AD167" s="343">
        <v>0</v>
      </c>
      <c r="AE167" s="343">
        <v>0</v>
      </c>
      <c r="AF167" s="343">
        <v>0</v>
      </c>
      <c r="AG167" s="343">
        <v>0</v>
      </c>
      <c r="AH167" s="343">
        <v>0</v>
      </c>
      <c r="AI167" s="343">
        <v>0</v>
      </c>
      <c r="AJ167" s="343"/>
      <c r="AK167" s="343">
        <v>0</v>
      </c>
      <c r="AL167" s="343">
        <v>0</v>
      </c>
      <c r="AM167" s="343">
        <v>0</v>
      </c>
      <c r="AN167" s="248">
        <v>0</v>
      </c>
      <c r="AO167" s="343">
        <v>0</v>
      </c>
      <c r="AP167" s="343">
        <v>0</v>
      </c>
      <c r="AQ167" s="248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3">
        <f t="shared" si="55"/>
        <v>0</v>
      </c>
      <c r="V168" s="994"/>
      <c r="W168" s="363"/>
      <c r="X168" s="251"/>
      <c r="Y168" s="983" t="str">
        <f t="shared" si="67"/>
        <v>553MFS7350</v>
      </c>
      <c r="Z168" s="938">
        <v>33221873</v>
      </c>
      <c r="AA168" s="248"/>
      <c r="AB168" s="343">
        <v>0</v>
      </c>
      <c r="AC168" s="343">
        <v>0</v>
      </c>
      <c r="AD168" s="343">
        <v>0</v>
      </c>
      <c r="AE168" s="343">
        <v>0</v>
      </c>
      <c r="AF168" s="343">
        <v>0</v>
      </c>
      <c r="AG168" s="343">
        <v>0</v>
      </c>
      <c r="AH168" s="343">
        <v>0</v>
      </c>
      <c r="AI168" s="343">
        <v>0</v>
      </c>
      <c r="AJ168" s="343"/>
      <c r="AK168" s="343">
        <v>0</v>
      </c>
      <c r="AL168" s="343">
        <v>0</v>
      </c>
      <c r="AM168" s="343">
        <v>0</v>
      </c>
      <c r="AN168" s="248">
        <v>0</v>
      </c>
      <c r="AO168" s="343">
        <v>0</v>
      </c>
      <c r="AP168" s="343">
        <v>0</v>
      </c>
      <c r="AQ168" s="248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3">
        <f t="shared" si="55"/>
        <v>0</v>
      </c>
      <c r="V169" s="994"/>
      <c r="W169" s="363"/>
      <c r="X169" s="251"/>
      <c r="Y169" s="983" t="str">
        <f t="shared" si="67"/>
        <v>553MFS9050</v>
      </c>
      <c r="Z169" s="938">
        <v>33221890</v>
      </c>
      <c r="AA169" s="248"/>
      <c r="AB169" s="343">
        <v>0</v>
      </c>
      <c r="AC169" s="343">
        <v>0</v>
      </c>
      <c r="AD169" s="343">
        <v>0</v>
      </c>
      <c r="AE169" s="343">
        <v>0</v>
      </c>
      <c r="AF169" s="343">
        <v>0</v>
      </c>
      <c r="AG169" s="343">
        <v>0</v>
      </c>
      <c r="AH169" s="343">
        <v>0</v>
      </c>
      <c r="AI169" s="343">
        <v>0</v>
      </c>
      <c r="AJ169" s="343"/>
      <c r="AK169" s="343">
        <v>0</v>
      </c>
      <c r="AL169" s="343">
        <v>0</v>
      </c>
      <c r="AM169" s="343">
        <v>0</v>
      </c>
      <c r="AN169" s="248">
        <v>0</v>
      </c>
      <c r="AO169" s="343">
        <v>0</v>
      </c>
      <c r="AP169" s="343">
        <v>0</v>
      </c>
      <c r="AQ169" s="248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3">
        <f>IF(T170=0,0,P170/T170)</f>
        <v>0</v>
      </c>
      <c r="V170" s="994"/>
      <c r="W170" s="363"/>
      <c r="X170" s="251"/>
      <c r="Y170" s="983" t="str">
        <f t="shared" si="67"/>
        <v>553SF25</v>
      </c>
      <c r="Z170" s="938">
        <v>332101</v>
      </c>
      <c r="AA170" s="248"/>
      <c r="AB170" s="343">
        <v>0</v>
      </c>
      <c r="AC170" s="343">
        <v>0</v>
      </c>
      <c r="AD170" s="343">
        <v>0</v>
      </c>
      <c r="AE170" s="343">
        <v>0</v>
      </c>
      <c r="AF170" s="343">
        <v>0</v>
      </c>
      <c r="AG170" s="343">
        <v>0</v>
      </c>
      <c r="AH170" s="343">
        <v>0</v>
      </c>
      <c r="AI170" s="343">
        <v>0</v>
      </c>
      <c r="AJ170" s="343"/>
      <c r="AK170" s="343">
        <v>0</v>
      </c>
      <c r="AL170" s="343">
        <v>0</v>
      </c>
      <c r="AM170" s="343">
        <v>0</v>
      </c>
      <c r="AN170" s="248">
        <v>0</v>
      </c>
      <c r="AO170" s="343">
        <v>0</v>
      </c>
      <c r="AP170" s="343">
        <v>0</v>
      </c>
      <c r="AQ170" s="248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3">
        <f t="shared" si="55"/>
        <v>0</v>
      </c>
      <c r="V171" s="994"/>
      <c r="W171" s="363"/>
      <c r="X171" s="251"/>
      <c r="Y171" s="983" t="str">
        <f t="shared" si="67"/>
        <v>553SF50</v>
      </c>
      <c r="Z171" s="938">
        <v>332101</v>
      </c>
      <c r="AA171" s="248"/>
      <c r="AB171" s="343">
        <v>0</v>
      </c>
      <c r="AC171" s="343">
        <v>0</v>
      </c>
      <c r="AD171" s="343">
        <v>0</v>
      </c>
      <c r="AE171" s="343">
        <v>0</v>
      </c>
      <c r="AF171" s="343">
        <v>0</v>
      </c>
      <c r="AG171" s="343">
        <v>0</v>
      </c>
      <c r="AH171" s="343">
        <v>0</v>
      </c>
      <c r="AI171" s="343">
        <v>0</v>
      </c>
      <c r="AJ171" s="343"/>
      <c r="AK171" s="343">
        <v>0</v>
      </c>
      <c r="AL171" s="343">
        <v>0</v>
      </c>
      <c r="AM171" s="343">
        <v>0</v>
      </c>
      <c r="AN171" s="248">
        <v>0</v>
      </c>
      <c r="AO171" s="343">
        <v>0</v>
      </c>
      <c r="AP171" s="343">
        <v>0</v>
      </c>
      <c r="AQ171" s="248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3">
        <f>IF(T172=0,0,P172/T172)</f>
        <v>0</v>
      </c>
      <c r="V172" s="994"/>
      <c r="W172" s="363"/>
      <c r="X172" s="251"/>
      <c r="Y172" s="983" t="str">
        <f>B172&amp;D172</f>
        <v>553WDF25</v>
      </c>
      <c r="Z172" s="938">
        <v>332481</v>
      </c>
      <c r="AA172" s="248"/>
      <c r="AB172" s="343">
        <v>0</v>
      </c>
      <c r="AC172" s="343">
        <v>0</v>
      </c>
      <c r="AD172" s="343">
        <v>0</v>
      </c>
      <c r="AE172" s="343">
        <v>0</v>
      </c>
      <c r="AF172" s="343">
        <v>0</v>
      </c>
      <c r="AG172" s="343">
        <v>0</v>
      </c>
      <c r="AH172" s="343">
        <v>0</v>
      </c>
      <c r="AI172" s="343">
        <v>0</v>
      </c>
      <c r="AJ172" s="343"/>
      <c r="AK172" s="343">
        <v>0</v>
      </c>
      <c r="AL172" s="343">
        <v>0</v>
      </c>
      <c r="AM172" s="343">
        <v>0</v>
      </c>
      <c r="AN172" s="248">
        <v>0</v>
      </c>
      <c r="AO172" s="343">
        <v>0</v>
      </c>
      <c r="AP172" s="343">
        <v>0</v>
      </c>
      <c r="AQ172" s="248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3">
        <f t="shared" si="55"/>
        <v>0</v>
      </c>
      <c r="V173" s="994"/>
      <c r="W173" s="363"/>
      <c r="X173" s="251"/>
      <c r="Y173" s="983" t="str">
        <f t="shared" si="67"/>
        <v>553WDF50</v>
      </c>
      <c r="Z173" s="938">
        <v>332481</v>
      </c>
      <c r="AA173" s="248"/>
      <c r="AB173" s="343">
        <v>0</v>
      </c>
      <c r="AC173" s="343">
        <v>0</v>
      </c>
      <c r="AD173" s="343">
        <v>0</v>
      </c>
      <c r="AE173" s="343">
        <v>0</v>
      </c>
      <c r="AF173" s="343">
        <v>0</v>
      </c>
      <c r="AG173" s="343">
        <v>0</v>
      </c>
      <c r="AH173" s="343">
        <v>0</v>
      </c>
      <c r="AI173" s="343">
        <v>0</v>
      </c>
      <c r="AJ173" s="343"/>
      <c r="AK173" s="343">
        <v>0</v>
      </c>
      <c r="AL173" s="343">
        <v>0</v>
      </c>
      <c r="AM173" s="343">
        <v>0</v>
      </c>
      <c r="AN173" s="248">
        <v>0</v>
      </c>
      <c r="AO173" s="343">
        <v>0</v>
      </c>
      <c r="AP173" s="343">
        <v>0</v>
      </c>
      <c r="AQ173" s="248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3">
        <f t="shared" si="55"/>
        <v>0</v>
      </c>
      <c r="V174" s="994"/>
      <c r="W174" s="472"/>
      <c r="X174" s="251"/>
      <c r="Y174" s="983" t="str">
        <f t="shared" si="67"/>
        <v>562F50</v>
      </c>
      <c r="Z174" s="938" t="s">
        <v>779</v>
      </c>
      <c r="AA174" s="248"/>
      <c r="AB174" s="343">
        <v>0</v>
      </c>
      <c r="AC174" s="343">
        <v>0</v>
      </c>
      <c r="AD174" s="343">
        <v>0</v>
      </c>
      <c r="AE174" s="343">
        <v>0</v>
      </c>
      <c r="AF174" s="343">
        <v>0</v>
      </c>
      <c r="AG174" s="343">
        <v>0</v>
      </c>
      <c r="AH174" s="343">
        <v>0</v>
      </c>
      <c r="AI174" s="343">
        <v>0</v>
      </c>
      <c r="AJ174" s="343"/>
      <c r="AK174" s="343">
        <v>0</v>
      </c>
      <c r="AL174" s="343">
        <v>0</v>
      </c>
      <c r="AM174" s="343">
        <v>0</v>
      </c>
      <c r="AN174" s="248">
        <v>0</v>
      </c>
      <c r="AO174" s="343">
        <v>0</v>
      </c>
      <c r="AP174" s="343">
        <v>0</v>
      </c>
      <c r="AQ174" s="248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2623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3">
        <f t="shared" ref="U175" si="71">IF(T175=0,0,P175/T175)</f>
        <v>0</v>
      </c>
      <c r="V175" s="994"/>
      <c r="W175" s="472"/>
      <c r="X175" s="251"/>
      <c r="Y175" s="983" t="str">
        <f t="shared" si="67"/>
        <v>562FS9050</v>
      </c>
      <c r="Z175" s="938">
        <v>36210890</v>
      </c>
      <c r="AA175" s="248"/>
      <c r="AB175" s="343">
        <v>0</v>
      </c>
      <c r="AC175" s="343">
        <v>0</v>
      </c>
      <c r="AD175" s="343">
        <v>0</v>
      </c>
      <c r="AE175" s="343">
        <v>0</v>
      </c>
      <c r="AF175" s="343">
        <v>0</v>
      </c>
      <c r="AG175" s="343">
        <v>0</v>
      </c>
      <c r="AH175" s="343">
        <v>0</v>
      </c>
      <c r="AI175" s="343">
        <v>0</v>
      </c>
      <c r="AJ175" s="343"/>
      <c r="AK175" s="343">
        <v>0</v>
      </c>
      <c r="AL175" s="343">
        <v>0</v>
      </c>
      <c r="AM175" s="343">
        <v>0</v>
      </c>
      <c r="AN175" s="248">
        <v>0</v>
      </c>
      <c r="AO175" s="343">
        <v>0</v>
      </c>
      <c r="AP175" s="343">
        <v>0</v>
      </c>
      <c r="AQ175" s="248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56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56</v>
      </c>
      <c r="P176" s="248">
        <f t="shared" si="65"/>
        <v>2800</v>
      </c>
      <c r="Q176" s="248">
        <f t="shared" si="66"/>
        <v>209450</v>
      </c>
      <c r="R176" s="222"/>
      <c r="S176" s="222"/>
      <c r="T176" s="248">
        <f t="shared" si="56"/>
        <v>13963.333333333334</v>
      </c>
      <c r="U176" s="993">
        <f t="shared" si="55"/>
        <v>0.2005251850083552</v>
      </c>
      <c r="V176" s="994"/>
      <c r="W176" s="409"/>
      <c r="X176" s="251"/>
      <c r="Y176" s="983" t="str">
        <f t="shared" si="67"/>
        <v>562PF50</v>
      </c>
      <c r="Z176" s="938" t="s">
        <v>780</v>
      </c>
      <c r="AA176" s="248"/>
      <c r="AB176" s="343">
        <v>1500</v>
      </c>
      <c r="AC176" s="343">
        <v>0</v>
      </c>
      <c r="AD176" s="343">
        <v>14500</v>
      </c>
      <c r="AE176" s="343">
        <v>29000</v>
      </c>
      <c r="AF176" s="343">
        <v>83400</v>
      </c>
      <c r="AG176" s="343">
        <v>70550</v>
      </c>
      <c r="AH176" s="343">
        <v>0</v>
      </c>
      <c r="AI176" s="343">
        <v>8500</v>
      </c>
      <c r="AJ176" s="343"/>
      <c r="AK176" s="343">
        <v>0</v>
      </c>
      <c r="AL176" s="343">
        <v>0</v>
      </c>
      <c r="AM176" s="343">
        <v>0</v>
      </c>
      <c r="AN176" s="248">
        <v>2000</v>
      </c>
      <c r="AO176" s="343">
        <v>0</v>
      </c>
      <c r="AP176" s="343">
        <v>0</v>
      </c>
      <c r="AQ176" s="248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209450</v>
      </c>
      <c r="BG176" s="896">
        <f t="shared" si="53"/>
        <v>7</v>
      </c>
      <c r="BH176" s="896">
        <f t="shared" si="54"/>
        <v>29921.428571428572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3">
        <f t="shared" si="55"/>
        <v>0</v>
      </c>
      <c r="V177" s="994"/>
      <c r="W177" s="363"/>
      <c r="X177" s="251"/>
      <c r="Y177" s="983" t="str">
        <f t="shared" si="67"/>
        <v>562PFS3450</v>
      </c>
      <c r="Z177" s="938">
        <v>36430834</v>
      </c>
      <c r="AA177" s="248"/>
      <c r="AB177" s="343">
        <v>0</v>
      </c>
      <c r="AC177" s="343">
        <v>0</v>
      </c>
      <c r="AD177" s="343">
        <v>0</v>
      </c>
      <c r="AE177" s="343">
        <v>0</v>
      </c>
      <c r="AF177" s="343">
        <v>0</v>
      </c>
      <c r="AG177" s="343">
        <v>0</v>
      </c>
      <c r="AH177" s="343">
        <v>0</v>
      </c>
      <c r="AI177" s="343">
        <v>0</v>
      </c>
      <c r="AJ177" s="343"/>
      <c r="AK177" s="343">
        <v>0</v>
      </c>
      <c r="AL177" s="343">
        <v>0</v>
      </c>
      <c r="AM177" s="343">
        <v>0</v>
      </c>
      <c r="AN177" s="248">
        <v>0</v>
      </c>
      <c r="AO177" s="343">
        <v>0</v>
      </c>
      <c r="AP177" s="343">
        <v>0</v>
      </c>
      <c r="AQ177" s="248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3">
        <f>IF(T178=0,0,P178/T178)</f>
        <v>0</v>
      </c>
      <c r="V178" s="994"/>
      <c r="W178" s="363"/>
      <c r="X178" s="251"/>
      <c r="Y178" s="983" t="str">
        <f t="shared" si="67"/>
        <v>562PFS3750</v>
      </c>
      <c r="Z178" s="938">
        <v>36430837</v>
      </c>
      <c r="AA178" s="248"/>
      <c r="AB178" s="343">
        <v>0</v>
      </c>
      <c r="AC178" s="343">
        <v>0</v>
      </c>
      <c r="AD178" s="343">
        <v>0</v>
      </c>
      <c r="AE178" s="343">
        <v>0</v>
      </c>
      <c r="AF178" s="343">
        <v>0</v>
      </c>
      <c r="AG178" s="343">
        <v>0</v>
      </c>
      <c r="AH178" s="343">
        <v>0</v>
      </c>
      <c r="AI178" s="343">
        <v>0</v>
      </c>
      <c r="AJ178" s="343"/>
      <c r="AK178" s="343">
        <v>0</v>
      </c>
      <c r="AL178" s="343">
        <v>0</v>
      </c>
      <c r="AM178" s="343">
        <v>0</v>
      </c>
      <c r="AN178" s="248">
        <v>0</v>
      </c>
      <c r="AO178" s="343">
        <v>0</v>
      </c>
      <c r="AP178" s="343">
        <v>0</v>
      </c>
      <c r="AQ178" s="248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3">
        <f>IF(T179=0,0,P179/T179)</f>
        <v>0</v>
      </c>
      <c r="V179" s="994"/>
      <c r="W179" s="363"/>
      <c r="X179" s="251"/>
      <c r="Y179" s="983" t="str">
        <f>B179&amp;D179</f>
        <v>562PFS7650</v>
      </c>
      <c r="Z179" s="938">
        <v>36430876</v>
      </c>
      <c r="AA179" s="248"/>
      <c r="AB179" s="343">
        <v>0</v>
      </c>
      <c r="AC179" s="343">
        <v>0</v>
      </c>
      <c r="AD179" s="343">
        <v>0</v>
      </c>
      <c r="AE179" s="343">
        <v>0</v>
      </c>
      <c r="AF179" s="343">
        <v>0</v>
      </c>
      <c r="AG179" s="343">
        <v>0</v>
      </c>
      <c r="AH179" s="343">
        <v>0</v>
      </c>
      <c r="AI179" s="343">
        <v>0</v>
      </c>
      <c r="AJ179" s="343"/>
      <c r="AK179" s="343">
        <v>0</v>
      </c>
      <c r="AL179" s="343">
        <v>0</v>
      </c>
      <c r="AM179" s="343">
        <v>0</v>
      </c>
      <c r="AN179" s="248">
        <v>0</v>
      </c>
      <c r="AO179" s="343">
        <v>0</v>
      </c>
      <c r="AP179" s="343">
        <v>0</v>
      </c>
      <c r="AQ179" s="248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632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0</v>
      </c>
      <c r="J180" s="248"/>
      <c r="K180" s="248"/>
      <c r="L180" s="248">
        <f>SUMIF(data!$D:$D,INTGRATE!$B180&amp;INTGRATE!$D180,data!$K:$K)</f>
        <v>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632</v>
      </c>
      <c r="P180" s="248">
        <f>O180*D180</f>
        <v>31600</v>
      </c>
      <c r="Q180" s="248">
        <f t="shared" si="66"/>
        <v>230850</v>
      </c>
      <c r="R180" s="222"/>
      <c r="S180" s="222"/>
      <c r="T180" s="248">
        <f t="shared" si="56"/>
        <v>15390</v>
      </c>
      <c r="U180" s="993">
        <f>IF(T180=0,0,P180/T180)</f>
        <v>2.0532813515269654</v>
      </c>
      <c r="V180" s="994"/>
      <c r="W180" s="363"/>
      <c r="X180" s="251"/>
      <c r="Y180" s="983" t="str">
        <f t="shared" si="67"/>
        <v>562PFS9050</v>
      </c>
      <c r="Z180" s="938">
        <v>36430890</v>
      </c>
      <c r="AA180" s="248"/>
      <c r="AB180" s="343">
        <v>13450</v>
      </c>
      <c r="AC180" s="343">
        <v>20500</v>
      </c>
      <c r="AD180" s="343">
        <v>26400</v>
      </c>
      <c r="AE180" s="343">
        <v>0</v>
      </c>
      <c r="AF180" s="343">
        <v>2000</v>
      </c>
      <c r="AG180" s="343">
        <v>0</v>
      </c>
      <c r="AH180" s="343">
        <v>0</v>
      </c>
      <c r="AI180" s="343">
        <v>0</v>
      </c>
      <c r="AJ180" s="343"/>
      <c r="AK180" s="343">
        <v>68000</v>
      </c>
      <c r="AL180" s="343">
        <v>43000</v>
      </c>
      <c r="AM180" s="343">
        <v>33200</v>
      </c>
      <c r="AN180" s="248">
        <v>15800</v>
      </c>
      <c r="AO180" s="343">
        <v>8500</v>
      </c>
      <c r="AP180" s="343">
        <v>0</v>
      </c>
      <c r="AQ180" s="248"/>
      <c r="AR180" s="343"/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230850</v>
      </c>
      <c r="BG180" s="896">
        <f t="shared" si="53"/>
        <v>9</v>
      </c>
      <c r="BH180" s="896">
        <f t="shared" si="54"/>
        <v>25650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0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0</v>
      </c>
      <c r="P181" s="248">
        <f t="shared" si="65"/>
        <v>0</v>
      </c>
      <c r="Q181" s="248">
        <f t="shared" si="66"/>
        <v>41150</v>
      </c>
      <c r="R181" s="222"/>
      <c r="S181" s="222"/>
      <c r="T181" s="248">
        <f t="shared" si="56"/>
        <v>2743.3333333333335</v>
      </c>
      <c r="U181" s="993">
        <f t="shared" si="55"/>
        <v>0</v>
      </c>
      <c r="V181" s="994"/>
      <c r="W181" s="409"/>
      <c r="X181" s="251"/>
      <c r="Y181" s="983" t="str">
        <f t="shared" si="67"/>
        <v>566F50</v>
      </c>
      <c r="Z181" s="938" t="s">
        <v>781</v>
      </c>
      <c r="AA181" s="248"/>
      <c r="AB181" s="343">
        <v>2750</v>
      </c>
      <c r="AC181" s="343">
        <v>0</v>
      </c>
      <c r="AD181" s="343">
        <v>3850</v>
      </c>
      <c r="AE181" s="343">
        <v>0</v>
      </c>
      <c r="AF181" s="343">
        <v>10000</v>
      </c>
      <c r="AG181" s="343">
        <v>21450</v>
      </c>
      <c r="AH181" s="343">
        <v>0</v>
      </c>
      <c r="AI181" s="343">
        <v>0</v>
      </c>
      <c r="AJ181" s="343"/>
      <c r="AK181" s="343">
        <v>0</v>
      </c>
      <c r="AL181" s="343">
        <v>0</v>
      </c>
      <c r="AM181" s="343">
        <v>0</v>
      </c>
      <c r="AN181" s="248">
        <v>3100</v>
      </c>
      <c r="AO181" s="343">
        <v>0</v>
      </c>
      <c r="AP181" s="343">
        <v>0</v>
      </c>
      <c r="AQ181" s="248"/>
      <c r="AR181" s="343"/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41150</v>
      </c>
      <c r="BG181" s="896">
        <f t="shared" si="53"/>
        <v>5</v>
      </c>
      <c r="BH181" s="896">
        <f t="shared" si="54"/>
        <v>8230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0</v>
      </c>
      <c r="R182" s="222"/>
      <c r="S182" s="222"/>
      <c r="T182" s="248">
        <f t="shared" si="56"/>
        <v>0</v>
      </c>
      <c r="U182" s="993">
        <f>IF(T182=0,0,P182/T182)</f>
        <v>0</v>
      </c>
      <c r="V182" s="994"/>
      <c r="W182" s="888"/>
      <c r="X182" s="251"/>
      <c r="Y182" s="983" t="str">
        <f t="shared" si="67"/>
        <v>566FS2550</v>
      </c>
      <c r="Z182" s="938">
        <v>36630825</v>
      </c>
      <c r="AA182" s="248"/>
      <c r="AB182" s="343">
        <v>0</v>
      </c>
      <c r="AC182" s="343">
        <v>0</v>
      </c>
      <c r="AD182" s="343">
        <v>0</v>
      </c>
      <c r="AE182" s="343">
        <v>0</v>
      </c>
      <c r="AF182" s="343">
        <v>0</v>
      </c>
      <c r="AG182" s="343">
        <v>0</v>
      </c>
      <c r="AH182" s="343">
        <v>0</v>
      </c>
      <c r="AI182" s="343">
        <v>0</v>
      </c>
      <c r="AJ182" s="343"/>
      <c r="AK182" s="343">
        <v>0</v>
      </c>
      <c r="AL182" s="343">
        <v>0</v>
      </c>
      <c r="AM182" s="343">
        <v>0</v>
      </c>
      <c r="AN182" s="248">
        <v>0</v>
      </c>
      <c r="AO182" s="343">
        <v>0</v>
      </c>
      <c r="AP182" s="343">
        <v>0</v>
      </c>
      <c r="AQ182" s="248"/>
      <c r="AR182" s="343"/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0</v>
      </c>
      <c r="BG182" s="896">
        <f t="shared" si="53"/>
        <v>0</v>
      </c>
      <c r="BH182" s="896">
        <f t="shared" si="54"/>
        <v>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152</v>
      </c>
      <c r="F183" s="100">
        <f>SUMIF(pro!$A:$A,INTGRATE!$Y:$Y,pro!$N:$N)</f>
        <v>0</v>
      </c>
      <c r="G183" s="248"/>
      <c r="H183" s="344">
        <f>SUMIF(CBIN!$A:$A,INTGRATE!$Y:$Y,CBIN!$G:$G)</f>
        <v>0</v>
      </c>
      <c r="I183" s="248">
        <f>SUMIF(data!$D:$D,INTGRATE!$B183&amp;INTGRATE!$D183,data!$J:$J)</f>
        <v>0</v>
      </c>
      <c r="J183" s="248"/>
      <c r="K183" s="248"/>
      <c r="L183" s="248">
        <f>SUMIF(data!$D:$D,INTGRATE!$B183&amp;INTGRATE!$D183,data!$K:$K)</f>
        <v>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152</v>
      </c>
      <c r="P183" s="248">
        <f t="shared" si="65"/>
        <v>7600</v>
      </c>
      <c r="Q183" s="248">
        <f t="shared" si="66"/>
        <v>75300</v>
      </c>
      <c r="R183" s="222"/>
      <c r="S183" s="222"/>
      <c r="T183" s="248">
        <f t="shared" si="56"/>
        <v>5020</v>
      </c>
      <c r="U183" s="993">
        <f t="shared" si="55"/>
        <v>1.5139442231075697</v>
      </c>
      <c r="V183" s="994"/>
      <c r="W183" s="254"/>
      <c r="X183" s="251"/>
      <c r="Y183" s="983" t="str">
        <f t="shared" si="67"/>
        <v>566FS3150</v>
      </c>
      <c r="Z183" s="938">
        <v>36630831</v>
      </c>
      <c r="AA183" s="248"/>
      <c r="AB183" s="343">
        <v>10750</v>
      </c>
      <c r="AC183" s="343">
        <v>5350</v>
      </c>
      <c r="AD183" s="343">
        <v>0</v>
      </c>
      <c r="AE183" s="343">
        <v>0</v>
      </c>
      <c r="AF183" s="343">
        <v>0</v>
      </c>
      <c r="AG183" s="343">
        <v>0</v>
      </c>
      <c r="AH183" s="343">
        <v>0</v>
      </c>
      <c r="AI183" s="343">
        <v>0</v>
      </c>
      <c r="AJ183" s="343"/>
      <c r="AK183" s="343">
        <v>2000</v>
      </c>
      <c r="AL183" s="343">
        <v>9500</v>
      </c>
      <c r="AM183" s="343">
        <v>10000</v>
      </c>
      <c r="AN183" s="248">
        <v>37700</v>
      </c>
      <c r="AO183" s="343">
        <v>0</v>
      </c>
      <c r="AP183" s="343">
        <v>0</v>
      </c>
      <c r="AQ183" s="248"/>
      <c r="AR183" s="343"/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75300</v>
      </c>
      <c r="BG183" s="896">
        <f t="shared" si="53"/>
        <v>6</v>
      </c>
      <c r="BH183" s="896">
        <f t="shared" si="54"/>
        <v>12550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3">
        <f t="shared" si="55"/>
        <v>0</v>
      </c>
      <c r="V184" s="994"/>
      <c r="W184" s="254"/>
      <c r="X184" s="251"/>
      <c r="Y184" s="983" t="str">
        <f t="shared" si="67"/>
        <v>566FS3750</v>
      </c>
      <c r="Z184" s="938">
        <v>36630837</v>
      </c>
      <c r="AA184" s="248"/>
      <c r="AB184" s="343">
        <v>0</v>
      </c>
      <c r="AC184" s="343">
        <v>0</v>
      </c>
      <c r="AD184" s="343">
        <v>0</v>
      </c>
      <c r="AE184" s="343">
        <v>0</v>
      </c>
      <c r="AF184" s="343">
        <v>0</v>
      </c>
      <c r="AG184" s="343">
        <v>0</v>
      </c>
      <c r="AH184" s="343">
        <v>0</v>
      </c>
      <c r="AI184" s="343">
        <v>0</v>
      </c>
      <c r="AJ184" s="343"/>
      <c r="AK184" s="343">
        <v>0</v>
      </c>
      <c r="AL184" s="343">
        <v>0</v>
      </c>
      <c r="AM184" s="343">
        <v>0</v>
      </c>
      <c r="AN184" s="248">
        <v>0</v>
      </c>
      <c r="AO184" s="343">
        <v>0</v>
      </c>
      <c r="AP184" s="343">
        <v>0</v>
      </c>
      <c r="AQ184" s="248"/>
      <c r="AR184" s="343"/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3">
        <f>IF(T185=0,0,P185/T185)</f>
        <v>0</v>
      </c>
      <c r="V185" s="994"/>
      <c r="W185" s="254"/>
      <c r="X185" s="251"/>
      <c r="Y185" s="983" t="str">
        <f>B185&amp;D185</f>
        <v>566FS7250</v>
      </c>
      <c r="Z185" s="938">
        <v>36630872</v>
      </c>
      <c r="AA185" s="248"/>
      <c r="AB185" s="343">
        <v>0</v>
      </c>
      <c r="AC185" s="343">
        <v>0</v>
      </c>
      <c r="AD185" s="343">
        <v>0</v>
      </c>
      <c r="AE185" s="343">
        <v>0</v>
      </c>
      <c r="AF185" s="343">
        <v>0</v>
      </c>
      <c r="AG185" s="343">
        <v>0</v>
      </c>
      <c r="AH185" s="343">
        <v>0</v>
      </c>
      <c r="AI185" s="343">
        <v>0</v>
      </c>
      <c r="AJ185" s="343"/>
      <c r="AK185" s="343">
        <v>0</v>
      </c>
      <c r="AL185" s="343">
        <v>0</v>
      </c>
      <c r="AM185" s="343">
        <v>0</v>
      </c>
      <c r="AN185" s="248">
        <v>0</v>
      </c>
      <c r="AO185" s="343">
        <v>0</v>
      </c>
      <c r="AP185" s="343">
        <v>0</v>
      </c>
      <c r="AQ185" s="248"/>
      <c r="AR185" s="343"/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3">
        <f t="shared" ref="U186:U193" si="78">IF(T186=0,0,P186/T186)</f>
        <v>0</v>
      </c>
      <c r="V186" s="994"/>
      <c r="W186" s="254"/>
      <c r="X186" s="251"/>
      <c r="Y186" s="983" t="str">
        <f>B186&amp;D186</f>
        <v>566FS9050</v>
      </c>
      <c r="Z186" s="938">
        <v>36630890</v>
      </c>
      <c r="AA186" s="248"/>
      <c r="AB186" s="343">
        <v>0</v>
      </c>
      <c r="AC186" s="343">
        <v>0</v>
      </c>
      <c r="AD186" s="343">
        <v>0</v>
      </c>
      <c r="AE186" s="343">
        <v>0</v>
      </c>
      <c r="AF186" s="343">
        <v>0</v>
      </c>
      <c r="AG186" s="343">
        <v>0</v>
      </c>
      <c r="AH186" s="343">
        <v>0</v>
      </c>
      <c r="AI186" s="343">
        <v>0</v>
      </c>
      <c r="AJ186" s="343"/>
      <c r="AK186" s="343">
        <v>0</v>
      </c>
      <c r="AL186" s="343">
        <v>0</v>
      </c>
      <c r="AM186" s="343">
        <v>0</v>
      </c>
      <c r="AN186" s="248">
        <v>0</v>
      </c>
      <c r="AO186" s="343">
        <v>0</v>
      </c>
      <c r="AP186" s="343">
        <v>0</v>
      </c>
      <c r="AQ186" s="248"/>
      <c r="AR186" s="343"/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289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289</v>
      </c>
      <c r="P187" s="248">
        <f t="shared" si="65"/>
        <v>14450</v>
      </c>
      <c r="Q187" s="248">
        <f t="shared" si="74"/>
        <v>127950</v>
      </c>
      <c r="R187" s="222"/>
      <c r="S187" s="222"/>
      <c r="T187" s="248">
        <f t="shared" si="75"/>
        <v>8530</v>
      </c>
      <c r="U187" s="993">
        <f t="shared" si="78"/>
        <v>1.6940211019929661</v>
      </c>
      <c r="V187" s="994"/>
      <c r="W187" s="600"/>
      <c r="X187" s="254"/>
      <c r="Y187" s="983" t="str">
        <f t="shared" si="67"/>
        <v>567SF50</v>
      </c>
      <c r="Z187" s="938" t="s">
        <v>782</v>
      </c>
      <c r="AA187" s="248"/>
      <c r="AB187" s="343">
        <v>18150</v>
      </c>
      <c r="AC187" s="343">
        <v>0</v>
      </c>
      <c r="AD187" s="343">
        <v>22250</v>
      </c>
      <c r="AE187" s="343">
        <v>0</v>
      </c>
      <c r="AF187" s="343">
        <v>36350</v>
      </c>
      <c r="AG187" s="343">
        <v>18700</v>
      </c>
      <c r="AH187" s="343">
        <v>15500</v>
      </c>
      <c r="AI187" s="343">
        <v>0</v>
      </c>
      <c r="AJ187" s="343"/>
      <c r="AK187" s="343">
        <v>9000</v>
      </c>
      <c r="AL187" s="343">
        <v>0</v>
      </c>
      <c r="AM187" s="343">
        <v>0</v>
      </c>
      <c r="AN187" s="248">
        <v>8000</v>
      </c>
      <c r="AO187" s="343">
        <v>0</v>
      </c>
      <c r="AP187" s="343">
        <v>0</v>
      </c>
      <c r="AQ187" s="248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127950</v>
      </c>
      <c r="BG187" s="896">
        <f t="shared" si="76"/>
        <v>7</v>
      </c>
      <c r="BH187" s="896">
        <f t="shared" si="77"/>
        <v>18278.571428571428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1932</v>
      </c>
      <c r="F188" s="100">
        <f>SUMIF(pro!$A:$A,INTGRATE!$Y:$Y,pro!$N:$N)</f>
        <v>0</v>
      </c>
      <c r="G188" s="248"/>
      <c r="H188" s="344">
        <f>SUMIF(CBIN!$A:$A,INTGRATE!$Y:$Y,CBIN!$G:$G)</f>
        <v>0</v>
      </c>
      <c r="I188" s="248">
        <f>SUMIF(data!$D:$D,INTGRATE!$B188&amp;INTGRATE!$D188,data!$J:$J)</f>
        <v>0</v>
      </c>
      <c r="J188" s="248"/>
      <c r="K188" s="248"/>
      <c r="L188" s="248">
        <f>SUMIF(data!$D:$D,INTGRATE!$B188&amp;INTGRATE!$D188,data!$K:$K)</f>
        <v>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1932</v>
      </c>
      <c r="P188" s="248">
        <f>O188*D188</f>
        <v>96600</v>
      </c>
      <c r="Q188" s="248">
        <f t="shared" si="74"/>
        <v>107600</v>
      </c>
      <c r="R188" s="222"/>
      <c r="S188" s="222"/>
      <c r="T188" s="248">
        <f t="shared" si="75"/>
        <v>7173.333333333333</v>
      </c>
      <c r="U188" s="993">
        <f>IF(T188=0,0,P188/T188)</f>
        <v>13.466542750929369</v>
      </c>
      <c r="V188" s="994"/>
      <c r="W188" s="531"/>
      <c r="X188" s="254"/>
      <c r="Y188" s="983" t="str">
        <f t="shared" si="67"/>
        <v>567SFS3150</v>
      </c>
      <c r="Z188" s="938">
        <v>36730831</v>
      </c>
      <c r="AA188" s="248"/>
      <c r="AB188" s="343">
        <v>7750</v>
      </c>
      <c r="AC188" s="343">
        <v>9850</v>
      </c>
      <c r="AD188" s="343">
        <v>19050</v>
      </c>
      <c r="AE188" s="343">
        <v>5000</v>
      </c>
      <c r="AF188" s="343">
        <v>0</v>
      </c>
      <c r="AG188" s="343">
        <v>0</v>
      </c>
      <c r="AH188" s="343">
        <v>0</v>
      </c>
      <c r="AI188" s="343">
        <v>16800</v>
      </c>
      <c r="AJ188" s="343"/>
      <c r="AK188" s="343">
        <v>3650</v>
      </c>
      <c r="AL188" s="343">
        <v>23000</v>
      </c>
      <c r="AM188" s="343">
        <v>5000</v>
      </c>
      <c r="AN188" s="248">
        <v>17500</v>
      </c>
      <c r="AO188" s="343">
        <v>0</v>
      </c>
      <c r="AP188" s="343">
        <v>0</v>
      </c>
      <c r="AQ188" s="248"/>
      <c r="AR188" s="343"/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107600</v>
      </c>
      <c r="BG188" s="896">
        <f t="shared" si="76"/>
        <v>9</v>
      </c>
      <c r="BH188" s="896">
        <f t="shared" si="77"/>
        <v>11955.555555555555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145</v>
      </c>
      <c r="F189" s="100">
        <f>SUMIF(pro!$A:$A,INTGRATE!$Y:$Y,pro!$N:$N)</f>
        <v>0</v>
      </c>
      <c r="G189" s="248"/>
      <c r="H189" s="344"/>
      <c r="I189" s="248">
        <f>SUMIF(data!$D:$D,INTGRATE!$B189&amp;INTGRATE!$D189,data!$J:$J)</f>
        <v>0</v>
      </c>
      <c r="J189" s="248"/>
      <c r="K189" s="248"/>
      <c r="L189" s="248">
        <f>SUMIF(data!$D:$D,INTGRATE!$B189&amp;INTGRATE!$D189,data!$K:$K)</f>
        <v>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145</v>
      </c>
      <c r="P189" s="248">
        <f>O189*D189</f>
        <v>7250</v>
      </c>
      <c r="Q189" s="248">
        <f>SUM(AA189:BE189)</f>
        <v>23350</v>
      </c>
      <c r="R189" s="222"/>
      <c r="S189" s="222"/>
      <c r="T189" s="248">
        <f t="shared" si="75"/>
        <v>1556.6666666666667</v>
      </c>
      <c r="U189" s="993">
        <f>IF(T189=0,0,P189/T189)</f>
        <v>4.6573875802997859</v>
      </c>
      <c r="V189" s="994"/>
      <c r="W189" s="531"/>
      <c r="X189" s="254"/>
      <c r="Y189" s="983" t="str">
        <f>B189&amp;D189</f>
        <v>567SFS2550</v>
      </c>
      <c r="Z189" s="938">
        <v>36730825</v>
      </c>
      <c r="AA189" s="248"/>
      <c r="AB189" s="343">
        <v>6350</v>
      </c>
      <c r="AC189" s="343">
        <v>0</v>
      </c>
      <c r="AD189" s="343">
        <v>0</v>
      </c>
      <c r="AE189" s="343">
        <v>0</v>
      </c>
      <c r="AF189" s="343">
        <v>0</v>
      </c>
      <c r="AG189" s="343">
        <v>0</v>
      </c>
      <c r="AH189" s="343">
        <v>0</v>
      </c>
      <c r="AI189" s="343">
        <v>0</v>
      </c>
      <c r="AJ189" s="343"/>
      <c r="AK189" s="343">
        <v>5000</v>
      </c>
      <c r="AL189" s="343">
        <v>0</v>
      </c>
      <c r="AM189" s="343">
        <v>5000</v>
      </c>
      <c r="AN189" s="248">
        <v>7000</v>
      </c>
      <c r="AO189" s="343">
        <v>0</v>
      </c>
      <c r="AP189" s="343">
        <v>0</v>
      </c>
      <c r="AQ189" s="248"/>
      <c r="AR189" s="343"/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23350</v>
      </c>
      <c r="BG189" s="896">
        <f t="shared" si="76"/>
        <v>4</v>
      </c>
      <c r="BH189" s="896">
        <f t="shared" si="77"/>
        <v>5837.5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3">
        <f t="shared" si="78"/>
        <v>0</v>
      </c>
      <c r="V190" s="994"/>
      <c r="W190" s="531"/>
      <c r="X190" s="254"/>
      <c r="Y190" s="983" t="str">
        <f t="shared" si="67"/>
        <v>567SFS4950</v>
      </c>
      <c r="Z190" s="938">
        <v>36730849</v>
      </c>
      <c r="AA190" s="248"/>
      <c r="AB190" s="343">
        <v>0</v>
      </c>
      <c r="AC190" s="343">
        <v>0</v>
      </c>
      <c r="AD190" s="343">
        <v>0</v>
      </c>
      <c r="AE190" s="343">
        <v>0</v>
      </c>
      <c r="AF190" s="343">
        <v>0</v>
      </c>
      <c r="AG190" s="343">
        <v>0</v>
      </c>
      <c r="AH190" s="343">
        <v>0</v>
      </c>
      <c r="AI190" s="343">
        <v>0</v>
      </c>
      <c r="AJ190" s="343"/>
      <c r="AK190" s="343">
        <v>0</v>
      </c>
      <c r="AL190" s="343">
        <v>0</v>
      </c>
      <c r="AM190" s="343">
        <v>0</v>
      </c>
      <c r="AN190" s="248">
        <v>0</v>
      </c>
      <c r="AO190" s="343">
        <v>0</v>
      </c>
      <c r="AP190" s="343">
        <v>0</v>
      </c>
      <c r="AQ190" s="248"/>
      <c r="AR190" s="343"/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3">
        <f t="shared" si="78"/>
        <v>0</v>
      </c>
      <c r="V191" s="994"/>
      <c r="W191" s="531"/>
      <c r="X191" s="254"/>
      <c r="Y191" s="983" t="str">
        <f t="shared" si="67"/>
        <v>567SFS5050</v>
      </c>
      <c r="Z191" s="938">
        <v>36730850</v>
      </c>
      <c r="AA191" s="248"/>
      <c r="AB191" s="343">
        <v>0</v>
      </c>
      <c r="AC191" s="343">
        <v>0</v>
      </c>
      <c r="AD191" s="343">
        <v>0</v>
      </c>
      <c r="AE191" s="343">
        <v>0</v>
      </c>
      <c r="AF191" s="343">
        <v>0</v>
      </c>
      <c r="AG191" s="343">
        <v>0</v>
      </c>
      <c r="AH191" s="343">
        <v>0</v>
      </c>
      <c r="AI191" s="343">
        <v>0</v>
      </c>
      <c r="AJ191" s="343"/>
      <c r="AK191" s="343">
        <v>0</v>
      </c>
      <c r="AL191" s="343">
        <v>0</v>
      </c>
      <c r="AM191" s="343">
        <v>0</v>
      </c>
      <c r="AN191" s="248">
        <v>0</v>
      </c>
      <c r="AO191" s="343">
        <v>0</v>
      </c>
      <c r="AP191" s="343">
        <v>0</v>
      </c>
      <c r="AQ191" s="248"/>
      <c r="AR191" s="343"/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3">
        <f t="shared" si="78"/>
        <v>0</v>
      </c>
      <c r="V192" s="994"/>
      <c r="W192" s="531"/>
      <c r="X192" s="254"/>
      <c r="Y192" s="983" t="str">
        <f>B192&amp;D192</f>
        <v>567SFS5350</v>
      </c>
      <c r="Z192" s="938">
        <v>36730853</v>
      </c>
      <c r="AA192" s="248"/>
      <c r="AB192" s="343">
        <v>0</v>
      </c>
      <c r="AC192" s="343">
        <v>0</v>
      </c>
      <c r="AD192" s="343">
        <v>0</v>
      </c>
      <c r="AE192" s="343">
        <v>0</v>
      </c>
      <c r="AF192" s="343">
        <v>0</v>
      </c>
      <c r="AG192" s="343">
        <v>0</v>
      </c>
      <c r="AH192" s="343">
        <v>0</v>
      </c>
      <c r="AI192" s="343">
        <v>0</v>
      </c>
      <c r="AJ192" s="343"/>
      <c r="AK192" s="343">
        <v>0</v>
      </c>
      <c r="AL192" s="343">
        <v>0</v>
      </c>
      <c r="AM192" s="343">
        <v>0</v>
      </c>
      <c r="AN192" s="248">
        <v>0</v>
      </c>
      <c r="AO192" s="343">
        <v>0</v>
      </c>
      <c r="AP192" s="343">
        <v>0</v>
      </c>
      <c r="AQ192" s="248"/>
      <c r="AR192" s="343"/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3">
        <f t="shared" si="78"/>
        <v>0</v>
      </c>
      <c r="V193" s="994"/>
      <c r="W193" s="531"/>
      <c r="X193" s="254"/>
      <c r="Y193" s="983" t="str">
        <f>B193&amp;D193</f>
        <v>567SFS9050</v>
      </c>
      <c r="Z193" s="938">
        <v>36730890</v>
      </c>
      <c r="AA193" s="248"/>
      <c r="AB193" s="343">
        <v>0</v>
      </c>
      <c r="AC193" s="343">
        <v>0</v>
      </c>
      <c r="AD193" s="343">
        <v>0</v>
      </c>
      <c r="AE193" s="343">
        <v>0</v>
      </c>
      <c r="AF193" s="343">
        <v>0</v>
      </c>
      <c r="AG193" s="343">
        <v>0</v>
      </c>
      <c r="AH193" s="343">
        <v>0</v>
      </c>
      <c r="AI193" s="343">
        <v>0</v>
      </c>
      <c r="AJ193" s="343"/>
      <c r="AK193" s="343">
        <v>0</v>
      </c>
      <c r="AL193" s="343">
        <v>0</v>
      </c>
      <c r="AM193" s="343">
        <v>0</v>
      </c>
      <c r="AN193" s="248">
        <v>0</v>
      </c>
      <c r="AO193" s="343">
        <v>0</v>
      </c>
      <c r="AP193" s="343">
        <v>0</v>
      </c>
      <c r="AQ193" s="248"/>
      <c r="AR193" s="343"/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3">
        <f>IF(T194=0,0,P194/T194)</f>
        <v>0</v>
      </c>
      <c r="V194" s="994"/>
      <c r="W194" s="531"/>
      <c r="X194" s="254"/>
      <c r="Y194" s="983" t="str">
        <f>B194&amp;D194</f>
        <v>567SFS7650</v>
      </c>
      <c r="Z194" s="938">
        <v>36730876</v>
      </c>
      <c r="AA194" s="248"/>
      <c r="AB194" s="343">
        <v>0</v>
      </c>
      <c r="AC194" s="343">
        <v>0</v>
      </c>
      <c r="AD194" s="343">
        <v>0</v>
      </c>
      <c r="AE194" s="343">
        <v>0</v>
      </c>
      <c r="AF194" s="343">
        <v>0</v>
      </c>
      <c r="AG194" s="343">
        <v>0</v>
      </c>
      <c r="AH194" s="343">
        <v>0</v>
      </c>
      <c r="AI194" s="343">
        <v>0</v>
      </c>
      <c r="AJ194" s="343"/>
      <c r="AK194" s="343">
        <v>0</v>
      </c>
      <c r="AL194" s="343">
        <v>0</v>
      </c>
      <c r="AM194" s="343">
        <v>0</v>
      </c>
      <c r="AN194" s="248">
        <v>0</v>
      </c>
      <c r="AO194" s="343">
        <v>0</v>
      </c>
      <c r="AP194" s="343">
        <v>0</v>
      </c>
      <c r="AQ194" s="248"/>
      <c r="AR194" s="343"/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3">
        <f t="shared" si="55"/>
        <v>0</v>
      </c>
      <c r="V195" s="994"/>
      <c r="W195" s="254"/>
      <c r="X195" s="254"/>
      <c r="Y195" s="983" t="str">
        <f t="shared" si="67"/>
        <v>567SFS3250</v>
      </c>
      <c r="Z195" s="938">
        <v>36730832</v>
      </c>
      <c r="AA195" s="248"/>
      <c r="AB195" s="343">
        <v>0</v>
      </c>
      <c r="AC195" s="343">
        <v>0</v>
      </c>
      <c r="AD195" s="343">
        <v>0</v>
      </c>
      <c r="AE195" s="343">
        <v>0</v>
      </c>
      <c r="AF195" s="343">
        <v>0</v>
      </c>
      <c r="AG195" s="343">
        <v>0</v>
      </c>
      <c r="AH195" s="343">
        <v>0</v>
      </c>
      <c r="AI195" s="343">
        <v>0</v>
      </c>
      <c r="AJ195" s="343"/>
      <c r="AK195" s="343">
        <v>0</v>
      </c>
      <c r="AL195" s="343">
        <v>0</v>
      </c>
      <c r="AM195" s="343">
        <v>0</v>
      </c>
      <c r="AN195" s="248">
        <v>0</v>
      </c>
      <c r="AO195" s="343">
        <v>0</v>
      </c>
      <c r="AP195" s="343">
        <v>0</v>
      </c>
      <c r="AQ195" s="248"/>
      <c r="AR195" s="343"/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3">
        <f t="shared" si="55"/>
        <v>0</v>
      </c>
      <c r="V196" s="994"/>
      <c r="W196" s="254"/>
      <c r="X196" s="254"/>
      <c r="Y196" s="983" t="str">
        <f t="shared" si="67"/>
        <v>550SFS25SILO</v>
      </c>
      <c r="Z196" s="938">
        <v>31210825</v>
      </c>
      <c r="AA196" s="248"/>
      <c r="AB196" s="343">
        <v>0</v>
      </c>
      <c r="AC196" s="343">
        <v>0</v>
      </c>
      <c r="AD196" s="343">
        <v>0</v>
      </c>
      <c r="AE196" s="343">
        <v>0</v>
      </c>
      <c r="AF196" s="343">
        <v>0</v>
      </c>
      <c r="AG196" s="343">
        <v>0</v>
      </c>
      <c r="AH196" s="343">
        <v>0</v>
      </c>
      <c r="AI196" s="343">
        <v>0</v>
      </c>
      <c r="AJ196" s="343"/>
      <c r="AK196" s="343">
        <v>0</v>
      </c>
      <c r="AL196" s="343">
        <v>0</v>
      </c>
      <c r="AM196" s="343">
        <v>0</v>
      </c>
      <c r="AN196" s="248">
        <v>0</v>
      </c>
      <c r="AO196" s="343">
        <v>0</v>
      </c>
      <c r="AP196" s="343">
        <v>0</v>
      </c>
      <c r="AQ196" s="248"/>
      <c r="AR196" s="343"/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0</v>
      </c>
      <c r="R197" s="222"/>
      <c r="S197" s="222"/>
      <c r="T197" s="363">
        <f t="shared" si="75"/>
        <v>0</v>
      </c>
      <c r="U197" s="993">
        <f t="shared" ref="U197:U260" si="80">IF(T197=0,0,P197/T197)</f>
        <v>0</v>
      </c>
      <c r="V197" s="994"/>
      <c r="W197" s="254"/>
      <c r="X197" s="254"/>
      <c r="Y197" s="983" t="str">
        <f t="shared" si="67"/>
        <v>550SFS31SILO</v>
      </c>
      <c r="Z197" s="938">
        <v>31210831</v>
      </c>
      <c r="AA197" s="248"/>
      <c r="AB197" s="343">
        <v>0</v>
      </c>
      <c r="AC197" s="343">
        <v>0</v>
      </c>
      <c r="AD197" s="343">
        <v>0</v>
      </c>
      <c r="AE197" s="343">
        <v>0</v>
      </c>
      <c r="AF197" s="343">
        <v>0</v>
      </c>
      <c r="AG197" s="343">
        <v>0</v>
      </c>
      <c r="AH197" s="343">
        <v>0</v>
      </c>
      <c r="AI197" s="343">
        <v>0</v>
      </c>
      <c r="AJ197" s="343"/>
      <c r="AK197" s="343">
        <v>0</v>
      </c>
      <c r="AL197" s="343">
        <v>0</v>
      </c>
      <c r="AM197" s="343">
        <v>0</v>
      </c>
      <c r="AN197" s="248">
        <v>0</v>
      </c>
      <c r="AO197" s="343">
        <v>0</v>
      </c>
      <c r="AP197" s="343">
        <v>0</v>
      </c>
      <c r="AQ197" s="248"/>
      <c r="AR197" s="343"/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0</v>
      </c>
      <c r="BG197" s="896">
        <f t="shared" si="76"/>
        <v>0</v>
      </c>
      <c r="BH197" s="896">
        <f t="shared" si="77"/>
        <v>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3">
        <f t="shared" si="80"/>
        <v>0</v>
      </c>
      <c r="V198" s="994"/>
      <c r="W198" s="254"/>
      <c r="X198" s="254"/>
      <c r="Y198" s="983" t="str">
        <f t="shared" si="67"/>
        <v>550SFS88SILO</v>
      </c>
      <c r="Z198" s="938">
        <v>31210888</v>
      </c>
      <c r="AA198" s="248"/>
      <c r="AB198" s="343">
        <v>0</v>
      </c>
      <c r="AC198" s="343">
        <v>0</v>
      </c>
      <c r="AD198" s="343">
        <v>0</v>
      </c>
      <c r="AE198" s="343">
        <v>0</v>
      </c>
      <c r="AF198" s="343">
        <v>0</v>
      </c>
      <c r="AG198" s="343">
        <v>0</v>
      </c>
      <c r="AH198" s="343">
        <v>0</v>
      </c>
      <c r="AI198" s="343">
        <v>0</v>
      </c>
      <c r="AJ198" s="343"/>
      <c r="AK198" s="343">
        <v>0</v>
      </c>
      <c r="AL198" s="343">
        <v>0</v>
      </c>
      <c r="AM198" s="343">
        <v>0</v>
      </c>
      <c r="AN198" s="248">
        <v>0</v>
      </c>
      <c r="AO198" s="343">
        <v>0</v>
      </c>
      <c r="AP198" s="343">
        <v>0</v>
      </c>
      <c r="AQ198" s="248"/>
      <c r="AR198" s="343"/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3">
        <f t="shared" si="80"/>
        <v>0</v>
      </c>
      <c r="V199" s="994"/>
      <c r="W199" s="254"/>
      <c r="X199" s="254"/>
      <c r="Y199" s="983" t="str">
        <f>B199&amp;D199</f>
        <v>550SFSILO</v>
      </c>
      <c r="Z199" s="938" t="s">
        <v>773</v>
      </c>
      <c r="AA199" s="248"/>
      <c r="AB199" s="343">
        <v>0</v>
      </c>
      <c r="AC199" s="343">
        <v>0</v>
      </c>
      <c r="AD199" s="343">
        <v>0</v>
      </c>
      <c r="AE199" s="343">
        <v>0</v>
      </c>
      <c r="AF199" s="343">
        <v>0</v>
      </c>
      <c r="AG199" s="343">
        <v>0</v>
      </c>
      <c r="AH199" s="343">
        <v>0</v>
      </c>
      <c r="AI199" s="343">
        <v>0</v>
      </c>
      <c r="AJ199" s="343"/>
      <c r="AK199" s="343">
        <v>0</v>
      </c>
      <c r="AL199" s="343">
        <v>0</v>
      </c>
      <c r="AM199" s="343">
        <v>0</v>
      </c>
      <c r="AN199" s="248">
        <v>0</v>
      </c>
      <c r="AO199" s="343">
        <v>0</v>
      </c>
      <c r="AP199" s="343">
        <v>0</v>
      </c>
      <c r="AQ199" s="248"/>
      <c r="AR199" s="343"/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3">
        <f t="shared" si="80"/>
        <v>0</v>
      </c>
      <c r="V200" s="994"/>
      <c r="W200" s="254"/>
      <c r="X200" s="254"/>
      <c r="Y200" s="983" t="str">
        <f t="shared" si="67"/>
        <v>551FSILO</v>
      </c>
      <c r="Z200" s="942" t="s">
        <v>774</v>
      </c>
      <c r="AA200" s="248"/>
      <c r="AB200" s="343">
        <v>0</v>
      </c>
      <c r="AC200" s="343">
        <v>0</v>
      </c>
      <c r="AD200" s="343">
        <v>0</v>
      </c>
      <c r="AE200" s="343">
        <v>0</v>
      </c>
      <c r="AF200" s="343">
        <v>0</v>
      </c>
      <c r="AG200" s="343">
        <v>0</v>
      </c>
      <c r="AH200" s="343">
        <v>0</v>
      </c>
      <c r="AI200" s="343">
        <v>0</v>
      </c>
      <c r="AJ200" s="343"/>
      <c r="AK200" s="343">
        <v>0</v>
      </c>
      <c r="AL200" s="343">
        <v>0</v>
      </c>
      <c r="AM200" s="343">
        <v>0</v>
      </c>
      <c r="AN200" s="248">
        <v>0</v>
      </c>
      <c r="AO200" s="343">
        <v>0</v>
      </c>
      <c r="AP200" s="343">
        <v>0</v>
      </c>
      <c r="AQ200" s="248"/>
      <c r="AR200" s="343"/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3">
        <f t="shared" si="80"/>
        <v>0</v>
      </c>
      <c r="V201" s="994"/>
      <c r="W201" s="254"/>
      <c r="X201" s="254"/>
      <c r="Y201" s="983" t="str">
        <f t="shared" si="67"/>
        <v>551FBigbag</v>
      </c>
      <c r="Z201" s="942">
        <v>314101</v>
      </c>
      <c r="AA201" s="248"/>
      <c r="AB201" s="343">
        <v>0</v>
      </c>
      <c r="AC201" s="343">
        <v>0</v>
      </c>
      <c r="AD201" s="343">
        <v>0</v>
      </c>
      <c r="AE201" s="343">
        <v>0</v>
      </c>
      <c r="AF201" s="343">
        <v>0</v>
      </c>
      <c r="AG201" s="343">
        <v>0</v>
      </c>
      <c r="AH201" s="343">
        <v>0</v>
      </c>
      <c r="AI201" s="343">
        <v>0</v>
      </c>
      <c r="AJ201" s="343"/>
      <c r="AK201" s="343">
        <v>0</v>
      </c>
      <c r="AL201" s="343">
        <v>0</v>
      </c>
      <c r="AM201" s="343">
        <v>0</v>
      </c>
      <c r="AN201" s="248">
        <v>0</v>
      </c>
      <c r="AO201" s="343">
        <v>0</v>
      </c>
      <c r="AP201" s="343">
        <v>0</v>
      </c>
      <c r="AQ201" s="248"/>
      <c r="AR201" s="343"/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2614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14520</v>
      </c>
      <c r="R202" s="222"/>
      <c r="S202" s="222"/>
      <c r="T202" s="363">
        <f t="shared" si="75"/>
        <v>968</v>
      </c>
      <c r="U202" s="993">
        <f t="shared" si="80"/>
        <v>0</v>
      </c>
      <c r="V202" s="994"/>
      <c r="W202" s="254"/>
      <c r="X202" s="254"/>
      <c r="Y202" s="983" t="str">
        <f t="shared" si="67"/>
        <v>551FS31SILO</v>
      </c>
      <c r="Z202" s="938">
        <v>31410831</v>
      </c>
      <c r="AA202" s="248"/>
      <c r="AB202" s="343">
        <v>0</v>
      </c>
      <c r="AC202" s="343">
        <v>14520</v>
      </c>
      <c r="AD202" s="343">
        <v>0</v>
      </c>
      <c r="AE202" s="343">
        <v>0</v>
      </c>
      <c r="AF202" s="343">
        <v>0</v>
      </c>
      <c r="AG202" s="343">
        <v>0</v>
      </c>
      <c r="AH202" s="343">
        <v>0</v>
      </c>
      <c r="AI202" s="343">
        <v>0</v>
      </c>
      <c r="AJ202" s="343"/>
      <c r="AK202" s="343">
        <v>0</v>
      </c>
      <c r="AL202" s="343">
        <v>0</v>
      </c>
      <c r="AM202" s="343">
        <v>0</v>
      </c>
      <c r="AN202" s="248">
        <v>0</v>
      </c>
      <c r="AO202" s="343">
        <v>0</v>
      </c>
      <c r="AP202" s="343">
        <v>0</v>
      </c>
      <c r="AQ202" s="248"/>
      <c r="AR202" s="343"/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14520</v>
      </c>
      <c r="BG202" s="896">
        <f t="shared" si="76"/>
        <v>1</v>
      </c>
      <c r="BH202" s="896">
        <f t="shared" si="77"/>
        <v>14520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21170</v>
      </c>
      <c r="R203" s="222"/>
      <c r="S203" s="222"/>
      <c r="T203" s="363">
        <f t="shared" si="75"/>
        <v>1411.3333333333333</v>
      </c>
      <c r="U203" s="993">
        <f t="shared" si="80"/>
        <v>0</v>
      </c>
      <c r="V203" s="994"/>
      <c r="W203" s="254"/>
      <c r="X203" s="254"/>
      <c r="Y203" s="983" t="str">
        <f t="shared" si="67"/>
        <v>551FS54SILO</v>
      </c>
      <c r="Z203" s="938">
        <v>31410844</v>
      </c>
      <c r="AA203" s="248"/>
      <c r="AB203" s="343">
        <v>0</v>
      </c>
      <c r="AC203" s="343">
        <v>21170</v>
      </c>
      <c r="AD203" s="343">
        <v>0</v>
      </c>
      <c r="AE203" s="343">
        <v>0</v>
      </c>
      <c r="AF203" s="343">
        <v>0</v>
      </c>
      <c r="AG203" s="343">
        <v>0</v>
      </c>
      <c r="AH203" s="343">
        <v>0</v>
      </c>
      <c r="AI203" s="343">
        <v>0</v>
      </c>
      <c r="AJ203" s="343"/>
      <c r="AK203" s="343">
        <v>0</v>
      </c>
      <c r="AL203" s="343">
        <v>0</v>
      </c>
      <c r="AM203" s="343">
        <v>0</v>
      </c>
      <c r="AN203" s="248">
        <v>0</v>
      </c>
      <c r="AO203" s="343">
        <v>0</v>
      </c>
      <c r="AP203" s="343">
        <v>0</v>
      </c>
      <c r="AQ203" s="248"/>
      <c r="AR203" s="343"/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21170</v>
      </c>
      <c r="BG203" s="896">
        <f t="shared" si="76"/>
        <v>1</v>
      </c>
      <c r="BH203" s="896">
        <f t="shared" si="77"/>
        <v>21170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3">
        <f t="shared" si="80"/>
        <v>0</v>
      </c>
      <c r="V204" s="994"/>
      <c r="W204" s="254"/>
      <c r="X204" s="254"/>
      <c r="Y204" s="983" t="str">
        <f t="shared" si="67"/>
        <v>551FS47SILO</v>
      </c>
      <c r="Z204" s="938">
        <v>31410847</v>
      </c>
      <c r="AA204" s="248"/>
      <c r="AB204" s="343">
        <v>0</v>
      </c>
      <c r="AC204" s="343">
        <v>0</v>
      </c>
      <c r="AD204" s="343">
        <v>0</v>
      </c>
      <c r="AE204" s="343">
        <v>0</v>
      </c>
      <c r="AF204" s="343">
        <v>0</v>
      </c>
      <c r="AG204" s="343">
        <v>0</v>
      </c>
      <c r="AH204" s="343">
        <v>0</v>
      </c>
      <c r="AI204" s="343">
        <v>0</v>
      </c>
      <c r="AJ204" s="343"/>
      <c r="AK204" s="343">
        <v>0</v>
      </c>
      <c r="AL204" s="343">
        <v>0</v>
      </c>
      <c r="AM204" s="343">
        <v>0</v>
      </c>
      <c r="AN204" s="248">
        <v>0</v>
      </c>
      <c r="AO204" s="343">
        <v>0</v>
      </c>
      <c r="AP204" s="343">
        <v>0</v>
      </c>
      <c r="AQ204" s="248"/>
      <c r="AR204" s="343"/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3">
        <f t="shared" si="80"/>
        <v>0</v>
      </c>
      <c r="V205" s="994"/>
      <c r="W205" s="254"/>
      <c r="X205" s="254"/>
      <c r="Y205" s="983" t="str">
        <f t="shared" si="67"/>
        <v>551FS48SILO</v>
      </c>
      <c r="Z205" s="938">
        <v>31410848</v>
      </c>
      <c r="AA205" s="248"/>
      <c r="AB205" s="343">
        <v>0</v>
      </c>
      <c r="AC205" s="343">
        <v>0</v>
      </c>
      <c r="AD205" s="343">
        <v>0</v>
      </c>
      <c r="AE205" s="343">
        <v>0</v>
      </c>
      <c r="AF205" s="343">
        <v>0</v>
      </c>
      <c r="AG205" s="343">
        <v>0</v>
      </c>
      <c r="AH205" s="343">
        <v>0</v>
      </c>
      <c r="AI205" s="343">
        <v>0</v>
      </c>
      <c r="AJ205" s="343"/>
      <c r="AK205" s="343">
        <v>0</v>
      </c>
      <c r="AL205" s="343">
        <v>0</v>
      </c>
      <c r="AM205" s="343">
        <v>0</v>
      </c>
      <c r="AN205" s="248">
        <v>0</v>
      </c>
      <c r="AO205" s="343">
        <v>0</v>
      </c>
      <c r="AP205" s="343">
        <v>0</v>
      </c>
      <c r="AQ205" s="248"/>
      <c r="AR205" s="343"/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3">
        <f t="shared" si="80"/>
        <v>0</v>
      </c>
      <c r="V206" s="994"/>
      <c r="W206" s="254"/>
      <c r="X206" s="254"/>
      <c r="Y206" s="983" t="str">
        <f t="shared" si="67"/>
        <v>551FS52SILO</v>
      </c>
      <c r="Z206" s="938">
        <v>31410852</v>
      </c>
      <c r="AA206" s="248"/>
      <c r="AB206" s="343">
        <v>0</v>
      </c>
      <c r="AC206" s="343">
        <v>0</v>
      </c>
      <c r="AD206" s="343">
        <v>0</v>
      </c>
      <c r="AE206" s="343">
        <v>0</v>
      </c>
      <c r="AF206" s="343">
        <v>0</v>
      </c>
      <c r="AG206" s="343">
        <v>0</v>
      </c>
      <c r="AH206" s="343">
        <v>0</v>
      </c>
      <c r="AI206" s="343">
        <v>0</v>
      </c>
      <c r="AJ206" s="343"/>
      <c r="AK206" s="343">
        <v>0</v>
      </c>
      <c r="AL206" s="343">
        <v>0</v>
      </c>
      <c r="AM206" s="343">
        <v>0</v>
      </c>
      <c r="AN206" s="248">
        <v>0</v>
      </c>
      <c r="AO206" s="343">
        <v>0</v>
      </c>
      <c r="AP206" s="343">
        <v>0</v>
      </c>
      <c r="AQ206" s="248"/>
      <c r="AR206" s="343"/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3">
        <f t="shared" si="80"/>
        <v>0</v>
      </c>
      <c r="V207" s="994"/>
      <c r="W207" s="254"/>
      <c r="X207" s="254"/>
      <c r="Y207" s="983" t="str">
        <f t="shared" si="67"/>
        <v>551GPFSILO</v>
      </c>
      <c r="Z207" s="938" t="s">
        <v>775</v>
      </c>
      <c r="AA207" s="248"/>
      <c r="AB207" s="343">
        <v>0</v>
      </c>
      <c r="AC207" s="343">
        <v>0</v>
      </c>
      <c r="AD207" s="343">
        <v>0</v>
      </c>
      <c r="AE207" s="343">
        <v>0</v>
      </c>
      <c r="AF207" s="343">
        <v>0</v>
      </c>
      <c r="AG207" s="343">
        <v>0</v>
      </c>
      <c r="AH207" s="343">
        <v>0</v>
      </c>
      <c r="AI207" s="343">
        <v>0</v>
      </c>
      <c r="AJ207" s="343"/>
      <c r="AK207" s="343">
        <v>0</v>
      </c>
      <c r="AL207" s="343">
        <v>0</v>
      </c>
      <c r="AM207" s="343">
        <v>0</v>
      </c>
      <c r="AN207" s="248">
        <v>0</v>
      </c>
      <c r="AO207" s="343">
        <v>0</v>
      </c>
      <c r="AP207" s="343">
        <v>0</v>
      </c>
      <c r="AQ207" s="248"/>
      <c r="AR207" s="343"/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3">
        <f t="shared" si="80"/>
        <v>0</v>
      </c>
      <c r="V208" s="994"/>
      <c r="W208" s="254"/>
      <c r="X208" s="254"/>
      <c r="Y208" s="983" t="str">
        <f t="shared" si="67"/>
        <v>551GPFBigbag</v>
      </c>
      <c r="Z208" s="938">
        <v>314111</v>
      </c>
      <c r="AA208" s="248"/>
      <c r="AB208" s="343">
        <v>0</v>
      </c>
      <c r="AC208" s="343">
        <v>0</v>
      </c>
      <c r="AD208" s="343">
        <v>0</v>
      </c>
      <c r="AE208" s="343">
        <v>0</v>
      </c>
      <c r="AF208" s="343">
        <v>0</v>
      </c>
      <c r="AG208" s="343">
        <v>0</v>
      </c>
      <c r="AH208" s="343">
        <v>0</v>
      </c>
      <c r="AI208" s="343">
        <v>0</v>
      </c>
      <c r="AJ208" s="343"/>
      <c r="AK208" s="343">
        <v>0</v>
      </c>
      <c r="AL208" s="343">
        <v>0</v>
      </c>
      <c r="AM208" s="343">
        <v>0</v>
      </c>
      <c r="AN208" s="248">
        <v>0</v>
      </c>
      <c r="AO208" s="343">
        <v>0</v>
      </c>
      <c r="AP208" s="343">
        <v>0</v>
      </c>
      <c r="AQ208" s="248"/>
      <c r="AR208" s="343"/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3">
        <f t="shared" si="80"/>
        <v>0</v>
      </c>
      <c r="V209" s="994"/>
      <c r="W209" s="254"/>
      <c r="X209" s="254"/>
      <c r="Y209" s="983" t="str">
        <f t="shared" si="67"/>
        <v>551GPFS10SILO</v>
      </c>
      <c r="Z209" s="938">
        <v>31411810</v>
      </c>
      <c r="AA209" s="248"/>
      <c r="AB209" s="343">
        <v>0</v>
      </c>
      <c r="AC209" s="343">
        <v>0</v>
      </c>
      <c r="AD209" s="343">
        <v>0</v>
      </c>
      <c r="AE209" s="343">
        <v>0</v>
      </c>
      <c r="AF209" s="343">
        <v>0</v>
      </c>
      <c r="AG209" s="343">
        <v>0</v>
      </c>
      <c r="AH209" s="343">
        <v>0</v>
      </c>
      <c r="AI209" s="343">
        <v>0</v>
      </c>
      <c r="AJ209" s="343"/>
      <c r="AK209" s="343">
        <v>0</v>
      </c>
      <c r="AL209" s="343">
        <v>0</v>
      </c>
      <c r="AM209" s="343">
        <v>0</v>
      </c>
      <c r="AN209" s="248">
        <v>0</v>
      </c>
      <c r="AO209" s="343">
        <v>0</v>
      </c>
      <c r="AP209" s="343">
        <v>0</v>
      </c>
      <c r="AQ209" s="248"/>
      <c r="AR209" s="343"/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3">
        <f t="shared" si="80"/>
        <v>0</v>
      </c>
      <c r="V210" s="994"/>
      <c r="W210" s="254"/>
      <c r="X210" s="254"/>
      <c r="Y210" s="983" t="str">
        <f t="shared" si="67"/>
        <v>551GPFS11SILO</v>
      </c>
      <c r="Z210" s="938">
        <v>31411811</v>
      </c>
      <c r="AA210" s="248"/>
      <c r="AB210" s="343">
        <v>0</v>
      </c>
      <c r="AC210" s="343">
        <v>0</v>
      </c>
      <c r="AD210" s="343">
        <v>0</v>
      </c>
      <c r="AE210" s="343">
        <v>0</v>
      </c>
      <c r="AF210" s="343">
        <v>0</v>
      </c>
      <c r="AG210" s="343">
        <v>0</v>
      </c>
      <c r="AH210" s="343">
        <v>0</v>
      </c>
      <c r="AI210" s="343">
        <v>0</v>
      </c>
      <c r="AJ210" s="343"/>
      <c r="AK210" s="343">
        <v>0</v>
      </c>
      <c r="AL210" s="343">
        <v>0</v>
      </c>
      <c r="AM210" s="343">
        <v>0</v>
      </c>
      <c r="AN210" s="248">
        <v>0</v>
      </c>
      <c r="AO210" s="343">
        <v>0</v>
      </c>
      <c r="AP210" s="343">
        <v>0</v>
      </c>
      <c r="AQ210" s="248"/>
      <c r="AR210" s="343"/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44540</v>
      </c>
      <c r="R211" s="222"/>
      <c r="S211" s="222"/>
      <c r="T211" s="363">
        <f t="shared" si="75"/>
        <v>2969.3333333333335</v>
      </c>
      <c r="U211" s="993">
        <f t="shared" si="80"/>
        <v>0</v>
      </c>
      <c r="V211" s="994"/>
      <c r="W211" s="254"/>
      <c r="X211" s="254"/>
      <c r="Y211" s="983" t="str">
        <f>B211&amp;D211</f>
        <v>551GPFS13SILO</v>
      </c>
      <c r="Z211" s="938">
        <v>31411813</v>
      </c>
      <c r="AA211" s="248"/>
      <c r="AB211" s="343">
        <v>0</v>
      </c>
      <c r="AC211" s="343">
        <v>0</v>
      </c>
      <c r="AD211" s="343">
        <v>0</v>
      </c>
      <c r="AE211" s="343">
        <v>0</v>
      </c>
      <c r="AF211" s="343">
        <v>0</v>
      </c>
      <c r="AG211" s="343">
        <v>0</v>
      </c>
      <c r="AH211" s="343">
        <v>0</v>
      </c>
      <c r="AI211" s="343">
        <v>29620</v>
      </c>
      <c r="AJ211" s="343"/>
      <c r="AK211" s="343">
        <v>0</v>
      </c>
      <c r="AL211" s="343">
        <v>14920</v>
      </c>
      <c r="AM211" s="343">
        <v>0</v>
      </c>
      <c r="AN211" s="248">
        <v>0</v>
      </c>
      <c r="AO211" s="343">
        <v>0</v>
      </c>
      <c r="AP211" s="343">
        <v>0</v>
      </c>
      <c r="AQ211" s="248"/>
      <c r="AR211" s="343"/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44540</v>
      </c>
      <c r="BG211" s="896">
        <f t="shared" si="76"/>
        <v>2</v>
      </c>
      <c r="BH211" s="896">
        <f t="shared" si="77"/>
        <v>22270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25200</v>
      </c>
      <c r="R212" s="222"/>
      <c r="S212" s="222"/>
      <c r="T212" s="363">
        <f t="shared" si="75"/>
        <v>1680</v>
      </c>
      <c r="U212" s="993">
        <f t="shared" si="80"/>
        <v>0</v>
      </c>
      <c r="V212" s="994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/>
      <c r="AB212" s="343">
        <v>3930</v>
      </c>
      <c r="AC212" s="343">
        <v>6050</v>
      </c>
      <c r="AD212" s="343">
        <v>0</v>
      </c>
      <c r="AE212" s="343">
        <v>0</v>
      </c>
      <c r="AF212" s="343">
        <v>15220</v>
      </c>
      <c r="AG212" s="343">
        <v>0</v>
      </c>
      <c r="AH212" s="343">
        <v>0</v>
      </c>
      <c r="AI212" s="343">
        <v>0</v>
      </c>
      <c r="AJ212" s="343"/>
      <c r="AK212" s="343">
        <v>0</v>
      </c>
      <c r="AL212" s="343">
        <v>0</v>
      </c>
      <c r="AM212" s="343">
        <v>0</v>
      </c>
      <c r="AN212" s="248">
        <v>0</v>
      </c>
      <c r="AO212" s="343">
        <v>0</v>
      </c>
      <c r="AP212" s="343">
        <v>0</v>
      </c>
      <c r="AQ212" s="248"/>
      <c r="AR212" s="343"/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25200</v>
      </c>
      <c r="BG212" s="896">
        <f t="shared" si="76"/>
        <v>3</v>
      </c>
      <c r="BH212" s="896">
        <f t="shared" si="77"/>
        <v>8400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3">
        <f t="shared" si="80"/>
        <v>0</v>
      </c>
      <c r="V213" s="994"/>
      <c r="W213" s="254"/>
      <c r="X213" s="254"/>
      <c r="Y213" s="983" t="str">
        <f t="shared" si="81"/>
        <v>551GPFS47SILO</v>
      </c>
      <c r="Z213" s="938">
        <v>31411847</v>
      </c>
      <c r="AA213" s="248"/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/>
      <c r="AK213" s="343">
        <v>0</v>
      </c>
      <c r="AL213" s="343">
        <v>0</v>
      </c>
      <c r="AM213" s="343">
        <v>0</v>
      </c>
      <c r="AN213" s="248">
        <v>0</v>
      </c>
      <c r="AO213" s="343">
        <v>0</v>
      </c>
      <c r="AP213" s="343">
        <v>0</v>
      </c>
      <c r="AQ213" s="248"/>
      <c r="AR213" s="343"/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3">
        <f t="shared" si="80"/>
        <v>0</v>
      </c>
      <c r="V214" s="994"/>
      <c r="W214" s="254"/>
      <c r="X214" s="254"/>
      <c r="Y214" s="983" t="str">
        <f t="shared" si="81"/>
        <v>551GPFS48SILO</v>
      </c>
      <c r="Z214" s="938">
        <v>31411848</v>
      </c>
      <c r="AA214" s="248"/>
      <c r="AB214" s="343">
        <v>0</v>
      </c>
      <c r="AC214" s="343">
        <v>0</v>
      </c>
      <c r="AD214" s="343">
        <v>0</v>
      </c>
      <c r="AE214" s="343">
        <v>0</v>
      </c>
      <c r="AF214" s="343">
        <v>0</v>
      </c>
      <c r="AG214" s="343">
        <v>0</v>
      </c>
      <c r="AH214" s="343">
        <v>0</v>
      </c>
      <c r="AI214" s="343">
        <v>0</v>
      </c>
      <c r="AJ214" s="343"/>
      <c r="AK214" s="343">
        <v>0</v>
      </c>
      <c r="AL214" s="343">
        <v>0</v>
      </c>
      <c r="AM214" s="343">
        <v>0</v>
      </c>
      <c r="AN214" s="248">
        <v>0</v>
      </c>
      <c r="AO214" s="343">
        <v>0</v>
      </c>
      <c r="AP214" s="343">
        <v>0</v>
      </c>
      <c r="AQ214" s="248"/>
      <c r="AR214" s="343"/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3">
        <f t="shared" si="80"/>
        <v>0</v>
      </c>
      <c r="V215" s="994"/>
      <c r="W215" s="254"/>
      <c r="X215" s="254"/>
      <c r="Y215" s="983" t="str">
        <f>B215&amp;D215</f>
        <v>551GPFS52SILO</v>
      </c>
      <c r="Z215" s="938">
        <v>31411852</v>
      </c>
      <c r="AA215" s="248"/>
      <c r="AB215" s="343">
        <v>0</v>
      </c>
      <c r="AC215" s="343">
        <v>0</v>
      </c>
      <c r="AD215" s="343">
        <v>0</v>
      </c>
      <c r="AE215" s="343">
        <v>0</v>
      </c>
      <c r="AF215" s="343">
        <v>0</v>
      </c>
      <c r="AG215" s="343">
        <v>0</v>
      </c>
      <c r="AH215" s="343">
        <v>0</v>
      </c>
      <c r="AI215" s="343">
        <v>0</v>
      </c>
      <c r="AJ215" s="343"/>
      <c r="AK215" s="343">
        <v>0</v>
      </c>
      <c r="AL215" s="343">
        <v>0</v>
      </c>
      <c r="AM215" s="343">
        <v>0</v>
      </c>
      <c r="AN215" s="248">
        <v>0</v>
      </c>
      <c r="AO215" s="343">
        <v>0</v>
      </c>
      <c r="AP215" s="343">
        <v>0</v>
      </c>
      <c r="AQ215" s="248"/>
      <c r="AR215" s="343"/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2611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43390</v>
      </c>
      <c r="R216" s="222"/>
      <c r="S216" s="222"/>
      <c r="T216" s="363">
        <f t="shared" ref="T216:T247" si="83">Q216/$N$293</f>
        <v>2892.6666666666665</v>
      </c>
      <c r="U216" s="993">
        <f t="shared" si="80"/>
        <v>0</v>
      </c>
      <c r="V216" s="994"/>
      <c r="W216" s="254"/>
      <c r="X216" s="254"/>
      <c r="Y216" s="983" t="str">
        <f t="shared" si="81"/>
        <v>551GPFS31SILO</v>
      </c>
      <c r="Z216" s="938">
        <v>31411831</v>
      </c>
      <c r="AA216" s="248"/>
      <c r="AB216" s="343">
        <v>0</v>
      </c>
      <c r="AC216" s="343">
        <v>0</v>
      </c>
      <c r="AD216" s="343">
        <v>0</v>
      </c>
      <c r="AE216" s="343">
        <v>14500</v>
      </c>
      <c r="AF216" s="343">
        <v>0</v>
      </c>
      <c r="AG216" s="343">
        <v>14460</v>
      </c>
      <c r="AH216" s="343">
        <v>0</v>
      </c>
      <c r="AI216" s="343">
        <v>0</v>
      </c>
      <c r="AJ216" s="343"/>
      <c r="AK216" s="343">
        <v>0</v>
      </c>
      <c r="AL216" s="343">
        <v>14430</v>
      </c>
      <c r="AM216" s="343">
        <v>0</v>
      </c>
      <c r="AN216" s="248">
        <v>0</v>
      </c>
      <c r="AO216" s="343">
        <v>0</v>
      </c>
      <c r="AP216" s="343">
        <v>0</v>
      </c>
      <c r="AQ216" s="248"/>
      <c r="AR216" s="343"/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43390</v>
      </c>
      <c r="BG216" s="896">
        <f t="shared" si="76"/>
        <v>3</v>
      </c>
      <c r="BH216" s="896">
        <f t="shared" si="77"/>
        <v>14463.333333333334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1220240</v>
      </c>
      <c r="R217" s="222"/>
      <c r="S217" s="222"/>
      <c r="T217" s="363">
        <f t="shared" si="83"/>
        <v>81349.333333333328</v>
      </c>
      <c r="U217" s="993">
        <f t="shared" si="80"/>
        <v>0</v>
      </c>
      <c r="V217" s="994"/>
      <c r="W217" s="254"/>
      <c r="X217" s="254"/>
      <c r="Y217" s="983" t="str">
        <f t="shared" si="81"/>
        <v>552SFSILO</v>
      </c>
      <c r="Z217" s="938" t="s">
        <v>783</v>
      </c>
      <c r="AA217" s="418"/>
      <c r="AB217" s="343">
        <v>0</v>
      </c>
      <c r="AC217" s="343">
        <v>62650</v>
      </c>
      <c r="AD217" s="343">
        <v>197610</v>
      </c>
      <c r="AE217" s="343">
        <v>133950</v>
      </c>
      <c r="AF217" s="343">
        <v>204320</v>
      </c>
      <c r="AG217" s="343">
        <v>195060</v>
      </c>
      <c r="AH217" s="343">
        <v>250190</v>
      </c>
      <c r="AI217" s="343">
        <v>161170</v>
      </c>
      <c r="AJ217" s="343"/>
      <c r="AK217" s="343">
        <v>15290</v>
      </c>
      <c r="AL217" s="343">
        <v>0</v>
      </c>
      <c r="AM217" s="343">
        <v>0</v>
      </c>
      <c r="AN217" s="248">
        <v>0</v>
      </c>
      <c r="AO217" s="343">
        <v>0</v>
      </c>
      <c r="AP217" s="343">
        <v>0</v>
      </c>
      <c r="AQ217" s="248"/>
      <c r="AR217" s="343"/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1220240</v>
      </c>
      <c r="BG217" s="896">
        <f t="shared" si="76"/>
        <v>8</v>
      </c>
      <c r="BH217" s="896">
        <f t="shared" si="77"/>
        <v>152530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3">
        <f t="shared" si="80"/>
        <v>0</v>
      </c>
      <c r="V218" s="994"/>
      <c r="W218" s="254"/>
      <c r="X218" s="254"/>
      <c r="Y218" s="983" t="str">
        <f t="shared" si="81"/>
        <v>552SFBigbag</v>
      </c>
      <c r="Z218" s="938" t="s">
        <v>783</v>
      </c>
      <c r="AA218" s="418"/>
      <c r="AB218" s="343">
        <v>0</v>
      </c>
      <c r="AC218" s="343">
        <v>0</v>
      </c>
      <c r="AD218" s="343">
        <v>0</v>
      </c>
      <c r="AE218" s="343">
        <v>0</v>
      </c>
      <c r="AF218" s="343">
        <v>0</v>
      </c>
      <c r="AG218" s="343">
        <v>0</v>
      </c>
      <c r="AH218" s="343">
        <v>0</v>
      </c>
      <c r="AI218" s="343">
        <v>0</v>
      </c>
      <c r="AJ218" s="343"/>
      <c r="AK218" s="343">
        <v>0</v>
      </c>
      <c r="AL218" s="343">
        <v>0</v>
      </c>
      <c r="AM218" s="343">
        <v>0</v>
      </c>
      <c r="AN218" s="248">
        <v>0</v>
      </c>
      <c r="AO218" s="343">
        <v>0</v>
      </c>
      <c r="AP218" s="343">
        <v>0</v>
      </c>
      <c r="AQ218" s="248"/>
      <c r="AR218" s="343"/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3">
        <f t="shared" si="80"/>
        <v>0</v>
      </c>
      <c r="V219" s="994"/>
      <c r="W219" s="254"/>
      <c r="X219" s="254"/>
      <c r="Y219" s="983" t="str">
        <f t="shared" si="81"/>
        <v>552SFS31SILO</v>
      </c>
      <c r="Z219" s="938">
        <v>32010831</v>
      </c>
      <c r="AA219" s="248"/>
      <c r="AB219" s="343">
        <v>0</v>
      </c>
      <c r="AC219" s="343">
        <v>0</v>
      </c>
      <c r="AD219" s="343">
        <v>0</v>
      </c>
      <c r="AE219" s="343">
        <v>0</v>
      </c>
      <c r="AF219" s="343">
        <v>0</v>
      </c>
      <c r="AG219" s="343">
        <v>0</v>
      </c>
      <c r="AH219" s="343">
        <v>0</v>
      </c>
      <c r="AI219" s="343">
        <v>0</v>
      </c>
      <c r="AJ219" s="343"/>
      <c r="AK219" s="343">
        <v>0</v>
      </c>
      <c r="AL219" s="343">
        <v>0</v>
      </c>
      <c r="AM219" s="343">
        <v>0</v>
      </c>
      <c r="AN219" s="248">
        <v>0</v>
      </c>
      <c r="AO219" s="343">
        <v>0</v>
      </c>
      <c r="AP219" s="343">
        <v>0</v>
      </c>
      <c r="AQ219" s="248"/>
      <c r="AR219" s="343"/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3">
        <f t="shared" si="80"/>
        <v>0</v>
      </c>
      <c r="V220" s="994"/>
      <c r="W220" s="254"/>
      <c r="X220" s="254"/>
      <c r="Y220" s="983" t="str">
        <f t="shared" si="81"/>
        <v>552SFS37SILO</v>
      </c>
      <c r="Z220" s="938">
        <v>32010837</v>
      </c>
      <c r="AA220" s="248"/>
      <c r="AB220" s="343">
        <v>0</v>
      </c>
      <c r="AC220" s="343">
        <v>0</v>
      </c>
      <c r="AD220" s="343">
        <v>0</v>
      </c>
      <c r="AE220" s="343">
        <v>0</v>
      </c>
      <c r="AF220" s="343">
        <v>0</v>
      </c>
      <c r="AG220" s="343">
        <v>0</v>
      </c>
      <c r="AH220" s="343">
        <v>0</v>
      </c>
      <c r="AI220" s="343">
        <v>0</v>
      </c>
      <c r="AJ220" s="343"/>
      <c r="AK220" s="343">
        <v>0</v>
      </c>
      <c r="AL220" s="343">
        <v>0</v>
      </c>
      <c r="AM220" s="343">
        <v>0</v>
      </c>
      <c r="AN220" s="248">
        <v>0</v>
      </c>
      <c r="AO220" s="343">
        <v>0</v>
      </c>
      <c r="AP220" s="343">
        <v>0</v>
      </c>
      <c r="AQ220" s="248"/>
      <c r="AR220" s="343"/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3">
        <f>IF(T221=0,0,P221/T221)</f>
        <v>0</v>
      </c>
      <c r="V221" s="994"/>
      <c r="W221" s="254"/>
      <c r="X221" s="254"/>
      <c r="Y221" s="983" t="str">
        <f t="shared" si="81"/>
        <v>552SFS73SILO</v>
      </c>
      <c r="Z221" s="938">
        <v>32010873</v>
      </c>
      <c r="AA221" s="248"/>
      <c r="AB221" s="343">
        <v>0</v>
      </c>
      <c r="AC221" s="343">
        <v>0</v>
      </c>
      <c r="AD221" s="343">
        <v>0</v>
      </c>
      <c r="AE221" s="343">
        <v>0</v>
      </c>
      <c r="AF221" s="343">
        <v>0</v>
      </c>
      <c r="AG221" s="343">
        <v>0</v>
      </c>
      <c r="AH221" s="343">
        <v>0</v>
      </c>
      <c r="AI221" s="343">
        <v>0</v>
      </c>
      <c r="AJ221" s="343"/>
      <c r="AK221" s="343">
        <v>0</v>
      </c>
      <c r="AL221" s="343">
        <v>0</v>
      </c>
      <c r="AM221" s="343">
        <v>0</v>
      </c>
      <c r="AN221" s="248">
        <v>0</v>
      </c>
      <c r="AO221" s="343">
        <v>0</v>
      </c>
      <c r="AP221" s="343">
        <v>0</v>
      </c>
      <c r="AQ221" s="248"/>
      <c r="AR221" s="343"/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134420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134420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1814600</v>
      </c>
      <c r="R222" s="222"/>
      <c r="S222" s="222"/>
      <c r="T222" s="363">
        <f t="shared" si="83"/>
        <v>120973.33333333333</v>
      </c>
      <c r="U222" s="993">
        <f t="shared" si="80"/>
        <v>0</v>
      </c>
      <c r="V222" s="994"/>
      <c r="W222" s="254"/>
      <c r="X222" s="254"/>
      <c r="Y222" s="983" t="str">
        <f t="shared" si="81"/>
        <v>552SFS90SILO</v>
      </c>
      <c r="Z222" s="938">
        <v>32010890</v>
      </c>
      <c r="AA222" s="248"/>
      <c r="AB222" s="343">
        <v>247550</v>
      </c>
      <c r="AC222" s="343">
        <v>161190</v>
      </c>
      <c r="AD222" s="343">
        <v>0</v>
      </c>
      <c r="AE222" s="343">
        <v>0</v>
      </c>
      <c r="AF222" s="343">
        <v>0</v>
      </c>
      <c r="AG222" s="343">
        <v>0</v>
      </c>
      <c r="AH222" s="343">
        <v>0</v>
      </c>
      <c r="AI222" s="343">
        <v>0</v>
      </c>
      <c r="AJ222" s="343"/>
      <c r="AK222" s="343">
        <v>256930</v>
      </c>
      <c r="AL222" s="343">
        <v>279530</v>
      </c>
      <c r="AM222" s="343">
        <v>175270</v>
      </c>
      <c r="AN222" s="248">
        <v>268770</v>
      </c>
      <c r="AO222" s="343">
        <v>290940</v>
      </c>
      <c r="AP222" s="343">
        <v>134420</v>
      </c>
      <c r="AQ222" s="248"/>
      <c r="AR222" s="343"/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1814600</v>
      </c>
      <c r="BG222" s="896">
        <f t="shared" si="76"/>
        <v>8</v>
      </c>
      <c r="BH222" s="896">
        <f t="shared" si="77"/>
        <v>226825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28550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28550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595950</v>
      </c>
      <c r="R223" s="222"/>
      <c r="S223" s="222"/>
      <c r="T223" s="363">
        <f t="shared" si="83"/>
        <v>39730</v>
      </c>
      <c r="U223" s="993">
        <f t="shared" si="80"/>
        <v>0</v>
      </c>
      <c r="V223" s="994"/>
      <c r="W223" s="254"/>
      <c r="X223" s="254"/>
      <c r="Y223" s="983" t="str">
        <f t="shared" si="81"/>
        <v>552FSILO</v>
      </c>
      <c r="Z223" s="938">
        <v>321101</v>
      </c>
      <c r="AA223" s="248"/>
      <c r="AB223" s="343">
        <v>0</v>
      </c>
      <c r="AC223" s="343">
        <v>13930</v>
      </c>
      <c r="AD223" s="343">
        <v>82670</v>
      </c>
      <c r="AE223" s="343">
        <v>71560</v>
      </c>
      <c r="AF223" s="343">
        <v>85060</v>
      </c>
      <c r="AG223" s="343">
        <v>121430</v>
      </c>
      <c r="AH223" s="343">
        <v>102660</v>
      </c>
      <c r="AI223" s="343">
        <v>90090</v>
      </c>
      <c r="AJ223" s="343"/>
      <c r="AK223" s="343">
        <v>0</v>
      </c>
      <c r="AL223" s="343">
        <v>0</v>
      </c>
      <c r="AM223" s="343">
        <v>0</v>
      </c>
      <c r="AN223" s="248">
        <v>0</v>
      </c>
      <c r="AO223" s="343">
        <v>0</v>
      </c>
      <c r="AP223" s="343">
        <v>28550</v>
      </c>
      <c r="AQ223" s="248"/>
      <c r="AR223" s="343"/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595950</v>
      </c>
      <c r="BG223" s="896">
        <f t="shared" si="76"/>
        <v>8</v>
      </c>
      <c r="BH223" s="896">
        <f t="shared" si="77"/>
        <v>74493.75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3">
        <f t="shared" si="80"/>
        <v>0</v>
      </c>
      <c r="V224" s="994"/>
      <c r="W224" s="254"/>
      <c r="X224" s="254"/>
      <c r="Y224" s="983" t="str">
        <f t="shared" si="81"/>
        <v>552FBigbag</v>
      </c>
      <c r="Z224" s="938">
        <v>321101</v>
      </c>
      <c r="AA224" s="248"/>
      <c r="AB224" s="343">
        <v>0</v>
      </c>
      <c r="AC224" s="343">
        <v>0</v>
      </c>
      <c r="AD224" s="343">
        <v>0</v>
      </c>
      <c r="AE224" s="343">
        <v>0</v>
      </c>
      <c r="AF224" s="343">
        <v>0</v>
      </c>
      <c r="AG224" s="343">
        <v>0</v>
      </c>
      <c r="AH224" s="343">
        <v>0</v>
      </c>
      <c r="AI224" s="343">
        <v>0</v>
      </c>
      <c r="AJ224" s="343"/>
      <c r="AK224" s="343">
        <v>0</v>
      </c>
      <c r="AL224" s="343">
        <v>0</v>
      </c>
      <c r="AM224" s="343">
        <v>0</v>
      </c>
      <c r="AN224" s="248">
        <v>0</v>
      </c>
      <c r="AO224" s="343">
        <v>0</v>
      </c>
      <c r="AP224" s="343">
        <v>0</v>
      </c>
      <c r="AQ224" s="248"/>
      <c r="AR224" s="343"/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3">
        <f t="shared" si="80"/>
        <v>0</v>
      </c>
      <c r="V225" s="994"/>
      <c r="W225" s="254"/>
      <c r="X225" s="254"/>
      <c r="Y225" s="983" t="str">
        <f t="shared" si="81"/>
        <v>552SXFBigbag</v>
      </c>
      <c r="Z225" s="938">
        <v>321101</v>
      </c>
      <c r="AA225" s="248"/>
      <c r="AB225" s="343">
        <v>0</v>
      </c>
      <c r="AC225" s="343">
        <v>0</v>
      </c>
      <c r="AD225" s="343">
        <v>0</v>
      </c>
      <c r="AE225" s="343">
        <v>0</v>
      </c>
      <c r="AF225" s="343">
        <v>0</v>
      </c>
      <c r="AG225" s="343">
        <v>0</v>
      </c>
      <c r="AH225" s="343">
        <v>0</v>
      </c>
      <c r="AI225" s="343">
        <v>0</v>
      </c>
      <c r="AJ225" s="343"/>
      <c r="AK225" s="343">
        <v>0</v>
      </c>
      <c r="AL225" s="343">
        <v>0</v>
      </c>
      <c r="AM225" s="343">
        <v>0</v>
      </c>
      <c r="AN225" s="248">
        <v>0</v>
      </c>
      <c r="AO225" s="343">
        <v>0</v>
      </c>
      <c r="AP225" s="343">
        <v>0</v>
      </c>
      <c r="AQ225" s="248"/>
      <c r="AR225" s="343"/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3">
        <f t="shared" si="80"/>
        <v>0</v>
      </c>
      <c r="V226" s="994"/>
      <c r="W226" s="254"/>
      <c r="X226" s="254"/>
      <c r="Y226" s="983" t="str">
        <f t="shared" si="81"/>
        <v>552FS10SILO</v>
      </c>
      <c r="Z226" s="938">
        <v>32110810</v>
      </c>
      <c r="AA226" s="248"/>
      <c r="AB226" s="343">
        <v>0</v>
      </c>
      <c r="AC226" s="343">
        <v>0</v>
      </c>
      <c r="AD226" s="343">
        <v>0</v>
      </c>
      <c r="AE226" s="343">
        <v>0</v>
      </c>
      <c r="AF226" s="343">
        <v>0</v>
      </c>
      <c r="AG226" s="343">
        <v>0</v>
      </c>
      <c r="AH226" s="343">
        <v>0</v>
      </c>
      <c r="AI226" s="343">
        <v>0</v>
      </c>
      <c r="AJ226" s="343"/>
      <c r="AK226" s="343">
        <v>0</v>
      </c>
      <c r="AL226" s="343">
        <v>0</v>
      </c>
      <c r="AM226" s="343">
        <v>0</v>
      </c>
      <c r="AN226" s="248">
        <v>0</v>
      </c>
      <c r="AO226" s="343">
        <v>0</v>
      </c>
      <c r="AP226" s="343">
        <v>0</v>
      </c>
      <c r="AQ226" s="248"/>
      <c r="AR226" s="343"/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3">
        <f t="shared" si="80"/>
        <v>0</v>
      </c>
      <c r="V227" s="994"/>
      <c r="W227" s="254"/>
      <c r="X227" s="254"/>
      <c r="Y227" s="983" t="str">
        <f t="shared" si="81"/>
        <v>552FS11SILO</v>
      </c>
      <c r="Z227" s="938">
        <v>32110811</v>
      </c>
      <c r="AA227" s="248"/>
      <c r="AB227" s="343">
        <v>0</v>
      </c>
      <c r="AC227" s="343">
        <v>0</v>
      </c>
      <c r="AD227" s="343">
        <v>0</v>
      </c>
      <c r="AE227" s="343">
        <v>0</v>
      </c>
      <c r="AF227" s="343">
        <v>0</v>
      </c>
      <c r="AG227" s="343">
        <v>0</v>
      </c>
      <c r="AH227" s="343">
        <v>0</v>
      </c>
      <c r="AI227" s="343">
        <v>0</v>
      </c>
      <c r="AJ227" s="343"/>
      <c r="AK227" s="343">
        <v>0</v>
      </c>
      <c r="AL227" s="343">
        <v>0</v>
      </c>
      <c r="AM227" s="343">
        <v>0</v>
      </c>
      <c r="AN227" s="248">
        <v>0</v>
      </c>
      <c r="AO227" s="343">
        <v>0</v>
      </c>
      <c r="AP227" s="343">
        <v>0</v>
      </c>
      <c r="AQ227" s="248"/>
      <c r="AR227" s="343"/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3">
        <f t="shared" si="80"/>
        <v>0</v>
      </c>
      <c r="V228" s="994"/>
      <c r="W228" s="254"/>
      <c r="X228" s="254"/>
      <c r="Y228" s="983" t="str">
        <f>B228&amp;D228</f>
        <v>552FS13SILO</v>
      </c>
      <c r="Z228" s="938">
        <v>32110813</v>
      </c>
      <c r="AA228" s="248"/>
      <c r="AB228" s="343">
        <v>0</v>
      </c>
      <c r="AC228" s="343">
        <v>0</v>
      </c>
      <c r="AD228" s="343">
        <v>0</v>
      </c>
      <c r="AE228" s="343">
        <v>0</v>
      </c>
      <c r="AF228" s="343">
        <v>0</v>
      </c>
      <c r="AG228" s="343">
        <v>0</v>
      </c>
      <c r="AH228" s="343">
        <v>0</v>
      </c>
      <c r="AI228" s="343">
        <v>0</v>
      </c>
      <c r="AJ228" s="343"/>
      <c r="AK228" s="343">
        <v>0</v>
      </c>
      <c r="AL228" s="343">
        <v>0</v>
      </c>
      <c r="AM228" s="343">
        <v>0</v>
      </c>
      <c r="AN228" s="248">
        <v>0</v>
      </c>
      <c r="AO228" s="343">
        <v>0</v>
      </c>
      <c r="AP228" s="343">
        <v>0</v>
      </c>
      <c r="AQ228" s="248"/>
      <c r="AR228" s="343"/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3">
        <f t="shared" si="80"/>
        <v>0</v>
      </c>
      <c r="V229" s="994"/>
      <c r="W229" s="254"/>
      <c r="X229" s="254"/>
      <c r="Y229" s="983" t="str">
        <f>B229&amp;D229</f>
        <v>552FS31SILO</v>
      </c>
      <c r="Z229" s="938">
        <v>32110831</v>
      </c>
      <c r="AA229" s="248"/>
      <c r="AB229" s="343">
        <v>0</v>
      </c>
      <c r="AC229" s="343">
        <v>0</v>
      </c>
      <c r="AD229" s="343">
        <v>0</v>
      </c>
      <c r="AE229" s="343">
        <v>0</v>
      </c>
      <c r="AF229" s="343">
        <v>0</v>
      </c>
      <c r="AG229" s="343">
        <v>0</v>
      </c>
      <c r="AH229" s="343">
        <v>0</v>
      </c>
      <c r="AI229" s="343">
        <v>0</v>
      </c>
      <c r="AJ229" s="343"/>
      <c r="AK229" s="343">
        <v>0</v>
      </c>
      <c r="AL229" s="343">
        <v>0</v>
      </c>
      <c r="AM229" s="343">
        <v>0</v>
      </c>
      <c r="AN229" s="248">
        <v>0</v>
      </c>
      <c r="AO229" s="343">
        <v>0</v>
      </c>
      <c r="AP229" s="343">
        <v>0</v>
      </c>
      <c r="AQ229" s="248"/>
      <c r="AR229" s="343"/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3">
        <f t="shared" si="80"/>
        <v>0</v>
      </c>
      <c r="V230" s="994"/>
      <c r="W230" s="254"/>
      <c r="X230" s="254"/>
      <c r="Y230" s="983" t="str">
        <f t="shared" si="81"/>
        <v>552FS34SILO</v>
      </c>
      <c r="Z230" s="938">
        <v>32110834</v>
      </c>
      <c r="AA230" s="248"/>
      <c r="AB230" s="343">
        <v>0</v>
      </c>
      <c r="AC230" s="343">
        <v>0</v>
      </c>
      <c r="AD230" s="343">
        <v>0</v>
      </c>
      <c r="AE230" s="343">
        <v>0</v>
      </c>
      <c r="AF230" s="343">
        <v>0</v>
      </c>
      <c r="AG230" s="343">
        <v>0</v>
      </c>
      <c r="AH230" s="343">
        <v>0</v>
      </c>
      <c r="AI230" s="343">
        <v>0</v>
      </c>
      <c r="AJ230" s="343"/>
      <c r="AK230" s="343">
        <v>0</v>
      </c>
      <c r="AL230" s="343">
        <v>0</v>
      </c>
      <c r="AM230" s="343">
        <v>0</v>
      </c>
      <c r="AN230" s="248">
        <v>0</v>
      </c>
      <c r="AO230" s="343">
        <v>0</v>
      </c>
      <c r="AP230" s="343">
        <v>0</v>
      </c>
      <c r="AQ230" s="248"/>
      <c r="AR230" s="343"/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3">
        <f t="shared" si="80"/>
        <v>0</v>
      </c>
      <c r="V231" s="994"/>
      <c r="W231" s="254"/>
      <c r="X231" s="254"/>
      <c r="Y231" s="983" t="str">
        <f t="shared" si="81"/>
        <v>552FS37SILO</v>
      </c>
      <c r="Z231" s="938">
        <v>32110837</v>
      </c>
      <c r="AA231" s="248"/>
      <c r="AB231" s="343">
        <v>0</v>
      </c>
      <c r="AC231" s="343">
        <v>0</v>
      </c>
      <c r="AD231" s="343">
        <v>0</v>
      </c>
      <c r="AE231" s="343">
        <v>0</v>
      </c>
      <c r="AF231" s="343">
        <v>0</v>
      </c>
      <c r="AG231" s="343">
        <v>0</v>
      </c>
      <c r="AH231" s="343">
        <v>0</v>
      </c>
      <c r="AI231" s="343">
        <v>0</v>
      </c>
      <c r="AJ231" s="343"/>
      <c r="AK231" s="343">
        <v>0</v>
      </c>
      <c r="AL231" s="343">
        <v>0</v>
      </c>
      <c r="AM231" s="343">
        <v>0</v>
      </c>
      <c r="AN231" s="248">
        <v>0</v>
      </c>
      <c r="AO231" s="343">
        <v>0</v>
      </c>
      <c r="AP231" s="343">
        <v>0</v>
      </c>
      <c r="AQ231" s="248"/>
      <c r="AR231" s="343"/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3">
        <f>IF(T232=0,0,P232/T232)</f>
        <v>0</v>
      </c>
      <c r="V232" s="994"/>
      <c r="W232" s="254"/>
      <c r="X232" s="254"/>
      <c r="Y232" s="983" t="str">
        <f>B232&amp;D232</f>
        <v>552FS73SILO</v>
      </c>
      <c r="Z232" s="938">
        <v>32110873</v>
      </c>
      <c r="AA232" s="248"/>
      <c r="AB232" s="343">
        <v>0</v>
      </c>
      <c r="AC232" s="343">
        <v>0</v>
      </c>
      <c r="AD232" s="343">
        <v>0</v>
      </c>
      <c r="AE232" s="343">
        <v>0</v>
      </c>
      <c r="AF232" s="343">
        <v>0</v>
      </c>
      <c r="AG232" s="343">
        <v>0</v>
      </c>
      <c r="AH232" s="343">
        <v>0</v>
      </c>
      <c r="AI232" s="343">
        <v>0</v>
      </c>
      <c r="AJ232" s="343"/>
      <c r="AK232" s="343">
        <v>0</v>
      </c>
      <c r="AL232" s="343">
        <v>0</v>
      </c>
      <c r="AM232" s="343">
        <v>0</v>
      </c>
      <c r="AN232" s="248">
        <v>0</v>
      </c>
      <c r="AO232" s="343">
        <v>0</v>
      </c>
      <c r="AP232" s="343">
        <v>0</v>
      </c>
      <c r="AQ232" s="248"/>
      <c r="AR232" s="343"/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42920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42920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516500</v>
      </c>
      <c r="R233" s="222"/>
      <c r="S233" s="222"/>
      <c r="T233" s="363">
        <f t="shared" si="83"/>
        <v>34433.333333333336</v>
      </c>
      <c r="U233" s="993">
        <f t="shared" si="80"/>
        <v>0</v>
      </c>
      <c r="V233" s="994"/>
      <c r="W233" s="254"/>
      <c r="X233" s="254"/>
      <c r="Y233" s="983" t="str">
        <f t="shared" si="81"/>
        <v>552FS90SILO</v>
      </c>
      <c r="Z233" s="938">
        <v>32110890</v>
      </c>
      <c r="AA233" s="248"/>
      <c r="AB233" s="343">
        <v>166990</v>
      </c>
      <c r="AC233" s="343">
        <v>72880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/>
      <c r="AK233" s="343">
        <v>58910</v>
      </c>
      <c r="AL233" s="343">
        <v>45230</v>
      </c>
      <c r="AM233" s="343">
        <v>28770</v>
      </c>
      <c r="AN233" s="248">
        <v>44160</v>
      </c>
      <c r="AO233" s="343">
        <v>56640</v>
      </c>
      <c r="AP233" s="343">
        <v>42920</v>
      </c>
      <c r="AQ233" s="248"/>
      <c r="AR233" s="343"/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516500</v>
      </c>
      <c r="BG233" s="896">
        <f t="shared" si="76"/>
        <v>8</v>
      </c>
      <c r="BH233" s="896">
        <f t="shared" si="77"/>
        <v>64562.5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3">
        <f t="shared" si="80"/>
        <v>0</v>
      </c>
      <c r="V234" s="994"/>
      <c r="W234" s="254"/>
      <c r="X234" s="254"/>
      <c r="Y234" s="983" t="str">
        <f t="shared" si="81"/>
        <v>553BFSILO</v>
      </c>
      <c r="Z234" s="938" t="s">
        <v>777</v>
      </c>
      <c r="AA234" s="248"/>
      <c r="AB234" s="343">
        <v>0</v>
      </c>
      <c r="AC234" s="343">
        <v>0</v>
      </c>
      <c r="AD234" s="343">
        <v>0</v>
      </c>
      <c r="AE234" s="343">
        <v>0</v>
      </c>
      <c r="AF234" s="343">
        <v>0</v>
      </c>
      <c r="AG234" s="343">
        <v>0</v>
      </c>
      <c r="AH234" s="343">
        <v>0</v>
      </c>
      <c r="AI234" s="343">
        <v>0</v>
      </c>
      <c r="AJ234" s="343"/>
      <c r="AK234" s="343">
        <v>0</v>
      </c>
      <c r="AL234" s="343">
        <v>0</v>
      </c>
      <c r="AM234" s="343">
        <v>0</v>
      </c>
      <c r="AN234" s="248">
        <v>0</v>
      </c>
      <c r="AO234" s="343">
        <v>0</v>
      </c>
      <c r="AP234" s="343">
        <v>0</v>
      </c>
      <c r="AQ234" s="248"/>
      <c r="AR234" s="343"/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3">
        <f t="shared" si="80"/>
        <v>0</v>
      </c>
      <c r="V235" s="994"/>
      <c r="W235" s="254"/>
      <c r="X235" s="254"/>
      <c r="Y235" s="983" t="str">
        <f t="shared" si="81"/>
        <v>553SFBigbag</v>
      </c>
      <c r="Z235" s="938">
        <v>332101</v>
      </c>
      <c r="AA235" s="248"/>
      <c r="AB235" s="343">
        <v>0</v>
      </c>
      <c r="AC235" s="343">
        <v>0</v>
      </c>
      <c r="AD235" s="343">
        <v>0</v>
      </c>
      <c r="AE235" s="343">
        <v>0</v>
      </c>
      <c r="AF235" s="343">
        <v>0</v>
      </c>
      <c r="AG235" s="343">
        <v>0</v>
      </c>
      <c r="AH235" s="343">
        <v>0</v>
      </c>
      <c r="AI235" s="343">
        <v>0</v>
      </c>
      <c r="AJ235" s="343"/>
      <c r="AK235" s="343">
        <v>0</v>
      </c>
      <c r="AL235" s="343">
        <v>0</v>
      </c>
      <c r="AM235" s="343">
        <v>0</v>
      </c>
      <c r="AN235" s="248">
        <v>0</v>
      </c>
      <c r="AO235" s="343">
        <v>0</v>
      </c>
      <c r="AP235" s="343">
        <v>0</v>
      </c>
      <c r="AQ235" s="248"/>
      <c r="AR235" s="343"/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29460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29460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174630</v>
      </c>
      <c r="R236" s="222"/>
      <c r="S236" s="222"/>
      <c r="T236" s="363">
        <f t="shared" si="83"/>
        <v>11642</v>
      </c>
      <c r="U236" s="993">
        <f t="shared" si="80"/>
        <v>0</v>
      </c>
      <c r="V236" s="994"/>
      <c r="W236" s="254"/>
      <c r="X236" s="254"/>
      <c r="Y236" s="983" t="str">
        <f t="shared" si="81"/>
        <v>553MFSILO</v>
      </c>
      <c r="Z236" s="938" t="s">
        <v>778</v>
      </c>
      <c r="AA236" s="248"/>
      <c r="AB236" s="343">
        <v>11770</v>
      </c>
      <c r="AC236" s="343">
        <v>14370</v>
      </c>
      <c r="AD236" s="343">
        <v>4070</v>
      </c>
      <c r="AE236" s="343">
        <v>0</v>
      </c>
      <c r="AF236" s="343">
        <v>0</v>
      </c>
      <c r="AG236" s="343">
        <v>23800</v>
      </c>
      <c r="AH236" s="343">
        <v>0</v>
      </c>
      <c r="AI236" s="343">
        <v>0</v>
      </c>
      <c r="AJ236" s="343"/>
      <c r="AK236" s="343">
        <v>14690</v>
      </c>
      <c r="AL236" s="343">
        <v>31090</v>
      </c>
      <c r="AM236" s="343">
        <v>0</v>
      </c>
      <c r="AN236" s="248">
        <v>29060</v>
      </c>
      <c r="AO236" s="343">
        <v>16320</v>
      </c>
      <c r="AP236" s="343">
        <v>29460</v>
      </c>
      <c r="AQ236" s="248"/>
      <c r="AR236" s="343"/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174630</v>
      </c>
      <c r="BG236" s="896">
        <f t="shared" si="76"/>
        <v>9</v>
      </c>
      <c r="BH236" s="896">
        <f t="shared" si="77"/>
        <v>19403.333333333332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3">
        <f t="shared" si="80"/>
        <v>0</v>
      </c>
      <c r="V237" s="994"/>
      <c r="W237" s="254"/>
      <c r="X237" s="254"/>
      <c r="Y237" s="983" t="str">
        <f t="shared" si="81"/>
        <v>553MFS34SILO</v>
      </c>
      <c r="Z237" s="938">
        <v>33221834</v>
      </c>
      <c r="AA237" s="248"/>
      <c r="AB237" s="343">
        <v>0</v>
      </c>
      <c r="AC237" s="343">
        <v>0</v>
      </c>
      <c r="AD237" s="343">
        <v>0</v>
      </c>
      <c r="AE237" s="343">
        <v>0</v>
      </c>
      <c r="AF237" s="343">
        <v>0</v>
      </c>
      <c r="AG237" s="343">
        <v>0</v>
      </c>
      <c r="AH237" s="343">
        <v>0</v>
      </c>
      <c r="AI237" s="343">
        <v>0</v>
      </c>
      <c r="AJ237" s="343"/>
      <c r="AK237" s="343">
        <v>0</v>
      </c>
      <c r="AL237" s="343">
        <v>0</v>
      </c>
      <c r="AM237" s="343">
        <v>0</v>
      </c>
      <c r="AN237" s="248">
        <v>0</v>
      </c>
      <c r="AO237" s="343">
        <v>0</v>
      </c>
      <c r="AP237" s="343">
        <v>0</v>
      </c>
      <c r="AQ237" s="248"/>
      <c r="AR237" s="343"/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3">
        <f t="shared" si="80"/>
        <v>0</v>
      </c>
      <c r="V238" s="994"/>
      <c r="W238" s="254"/>
      <c r="X238" s="254"/>
      <c r="Y238" s="983" t="str">
        <f t="shared" si="81"/>
        <v>553MFS73SILO</v>
      </c>
      <c r="Z238" s="938">
        <v>33221873</v>
      </c>
      <c r="AA238" s="248"/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/>
      <c r="AK238" s="343">
        <v>0</v>
      </c>
      <c r="AL238" s="343">
        <v>0</v>
      </c>
      <c r="AM238" s="343">
        <v>0</v>
      </c>
      <c r="AN238" s="248">
        <v>0</v>
      </c>
      <c r="AO238" s="343">
        <v>0</v>
      </c>
      <c r="AP238" s="343">
        <v>0</v>
      </c>
      <c r="AQ238" s="248"/>
      <c r="AR238" s="343"/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3">
        <f t="shared" si="80"/>
        <v>0</v>
      </c>
      <c r="V239" s="994"/>
      <c r="W239" s="254"/>
      <c r="X239" s="254"/>
      <c r="Y239" s="983" t="str">
        <f t="shared" si="81"/>
        <v>553MFS90SILO</v>
      </c>
      <c r="Z239" s="938">
        <v>33221890</v>
      </c>
      <c r="AA239" s="248"/>
      <c r="AB239" s="343">
        <v>0</v>
      </c>
      <c r="AC239" s="343">
        <v>0</v>
      </c>
      <c r="AD239" s="343">
        <v>0</v>
      </c>
      <c r="AE239" s="343">
        <v>0</v>
      </c>
      <c r="AF239" s="343">
        <v>0</v>
      </c>
      <c r="AG239" s="343">
        <v>0</v>
      </c>
      <c r="AH239" s="343">
        <v>0</v>
      </c>
      <c r="AI239" s="343">
        <v>0</v>
      </c>
      <c r="AJ239" s="343"/>
      <c r="AK239" s="343">
        <v>0</v>
      </c>
      <c r="AL239" s="343">
        <v>0</v>
      </c>
      <c r="AM239" s="343">
        <v>0</v>
      </c>
      <c r="AN239" s="248">
        <v>0</v>
      </c>
      <c r="AO239" s="343">
        <v>0</v>
      </c>
      <c r="AP239" s="343">
        <v>0</v>
      </c>
      <c r="AQ239" s="248"/>
      <c r="AR239" s="343"/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3">
        <f t="shared" si="80"/>
        <v>0</v>
      </c>
      <c r="V240" s="994"/>
      <c r="W240" s="254"/>
      <c r="X240" s="254"/>
      <c r="Y240" s="983" t="str">
        <f t="shared" si="81"/>
        <v>553WDFSILO</v>
      </c>
      <c r="Z240" s="938">
        <v>332481</v>
      </c>
      <c r="AA240" s="248"/>
      <c r="AB240" s="343">
        <v>0</v>
      </c>
      <c r="AC240" s="343">
        <v>0</v>
      </c>
      <c r="AD240" s="343">
        <v>0</v>
      </c>
      <c r="AE240" s="343">
        <v>0</v>
      </c>
      <c r="AF240" s="343">
        <v>0</v>
      </c>
      <c r="AG240" s="343">
        <v>0</v>
      </c>
      <c r="AH240" s="343">
        <v>0</v>
      </c>
      <c r="AI240" s="343">
        <v>0</v>
      </c>
      <c r="AJ240" s="343"/>
      <c r="AK240" s="343">
        <v>0</v>
      </c>
      <c r="AL240" s="343">
        <v>0</v>
      </c>
      <c r="AM240" s="343">
        <v>0</v>
      </c>
      <c r="AN240" s="248">
        <v>0</v>
      </c>
      <c r="AO240" s="343">
        <v>0</v>
      </c>
      <c r="AP240" s="343">
        <v>0</v>
      </c>
      <c r="AQ240" s="248"/>
      <c r="AR240" s="343"/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3">
        <f t="shared" si="80"/>
        <v>0</v>
      </c>
      <c r="V241" s="994"/>
      <c r="W241" s="345"/>
      <c r="X241" s="345"/>
      <c r="Y241" s="983" t="str">
        <f t="shared" si="81"/>
        <v>562FSILO</v>
      </c>
      <c r="Z241" s="938" t="s">
        <v>784</v>
      </c>
      <c r="AA241" s="418"/>
      <c r="AB241" s="343">
        <v>0</v>
      </c>
      <c r="AC241" s="343">
        <v>0</v>
      </c>
      <c r="AD241" s="343">
        <v>0</v>
      </c>
      <c r="AE241" s="343">
        <v>0</v>
      </c>
      <c r="AF241" s="343">
        <v>0</v>
      </c>
      <c r="AG241" s="343">
        <v>0</v>
      </c>
      <c r="AH241" s="343">
        <v>0</v>
      </c>
      <c r="AI241" s="343">
        <v>0</v>
      </c>
      <c r="AJ241" s="343"/>
      <c r="AK241" s="343">
        <v>0</v>
      </c>
      <c r="AL241" s="343">
        <v>0</v>
      </c>
      <c r="AM241" s="343">
        <v>0</v>
      </c>
      <c r="AN241" s="248">
        <v>0</v>
      </c>
      <c r="AO241" s="343">
        <v>0</v>
      </c>
      <c r="AP241" s="343">
        <v>0</v>
      </c>
      <c r="AQ241" s="248"/>
      <c r="AR241" s="343"/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3">
        <f t="shared" si="80"/>
        <v>0</v>
      </c>
      <c r="V242" s="994"/>
      <c r="W242" s="345"/>
      <c r="X242" s="345"/>
      <c r="Y242" s="983" t="str">
        <f t="shared" si="81"/>
        <v>562PFSILO</v>
      </c>
      <c r="Z242" s="938" t="s">
        <v>780</v>
      </c>
      <c r="AA242" s="418"/>
      <c r="AB242" s="343">
        <v>0</v>
      </c>
      <c r="AC242" s="343">
        <v>0</v>
      </c>
      <c r="AD242" s="343">
        <v>0</v>
      </c>
      <c r="AE242" s="343">
        <v>0</v>
      </c>
      <c r="AF242" s="343">
        <v>0</v>
      </c>
      <c r="AG242" s="343">
        <v>0</v>
      </c>
      <c r="AH242" s="343">
        <v>0</v>
      </c>
      <c r="AI242" s="343">
        <v>0</v>
      </c>
      <c r="AJ242" s="343"/>
      <c r="AK242" s="343">
        <v>0</v>
      </c>
      <c r="AL242" s="343">
        <v>0</v>
      </c>
      <c r="AM242" s="343">
        <v>0</v>
      </c>
      <c r="AN242" s="248">
        <v>0</v>
      </c>
      <c r="AO242" s="343">
        <v>0</v>
      </c>
      <c r="AP242" s="343">
        <v>0</v>
      </c>
      <c r="AQ242" s="248"/>
      <c r="AR242" s="343"/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16780</v>
      </c>
      <c r="R243" s="222"/>
      <c r="S243" s="222"/>
      <c r="T243" s="363">
        <f t="shared" si="83"/>
        <v>1118.6666666666667</v>
      </c>
      <c r="U243" s="993">
        <f t="shared" si="80"/>
        <v>0</v>
      </c>
      <c r="V243" s="994"/>
      <c r="W243" s="345"/>
      <c r="X243" s="345"/>
      <c r="Y243" s="983" t="str">
        <f t="shared" si="81"/>
        <v>562PFS90SILO</v>
      </c>
      <c r="Z243" s="938">
        <v>36430837</v>
      </c>
      <c r="AA243" s="418"/>
      <c r="AB243" s="343">
        <v>0</v>
      </c>
      <c r="AC243" s="343">
        <v>0</v>
      </c>
      <c r="AD243" s="343">
        <v>0</v>
      </c>
      <c r="AE243" s="343">
        <v>0</v>
      </c>
      <c r="AF243" s="343">
        <v>0</v>
      </c>
      <c r="AG243" s="343">
        <v>0</v>
      </c>
      <c r="AH243" s="343">
        <v>0</v>
      </c>
      <c r="AI243" s="343">
        <v>0</v>
      </c>
      <c r="AJ243" s="343"/>
      <c r="AK243" s="343">
        <v>0</v>
      </c>
      <c r="AL243" s="343">
        <v>0</v>
      </c>
      <c r="AM243" s="343">
        <v>0</v>
      </c>
      <c r="AN243" s="248">
        <v>16780</v>
      </c>
      <c r="AO243" s="343">
        <v>0</v>
      </c>
      <c r="AP243" s="343">
        <v>0</v>
      </c>
      <c r="AQ243" s="248"/>
      <c r="AR243" s="343"/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16780</v>
      </c>
      <c r="BG243" s="896">
        <f t="shared" si="76"/>
        <v>1</v>
      </c>
      <c r="BH243" s="896">
        <f t="shared" si="77"/>
        <v>16780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13710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13710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416840</v>
      </c>
      <c r="R244" s="222"/>
      <c r="S244" s="222"/>
      <c r="T244" s="363">
        <f t="shared" si="83"/>
        <v>27789.333333333332</v>
      </c>
      <c r="U244" s="993">
        <f t="shared" si="80"/>
        <v>0</v>
      </c>
      <c r="V244" s="994"/>
      <c r="W244" s="345"/>
      <c r="X244" s="345"/>
      <c r="Y244" s="983" t="str">
        <f t="shared" si="81"/>
        <v>566FSILO</v>
      </c>
      <c r="Z244" s="938" t="s">
        <v>785</v>
      </c>
      <c r="AA244" s="418"/>
      <c r="AB244" s="343">
        <v>0</v>
      </c>
      <c r="AC244" s="343">
        <v>0</v>
      </c>
      <c r="AD244" s="343">
        <v>113400</v>
      </c>
      <c r="AE244" s="343">
        <v>85770</v>
      </c>
      <c r="AF244" s="343">
        <v>85810</v>
      </c>
      <c r="AG244" s="343">
        <v>43240</v>
      </c>
      <c r="AH244" s="343">
        <v>46080</v>
      </c>
      <c r="AI244" s="343">
        <v>14740</v>
      </c>
      <c r="AJ244" s="343"/>
      <c r="AK244" s="343">
        <v>14090</v>
      </c>
      <c r="AL244" s="343">
        <v>0</v>
      </c>
      <c r="AM244" s="343">
        <v>0</v>
      </c>
      <c r="AN244" s="248">
        <v>0</v>
      </c>
      <c r="AO244" s="343">
        <v>0</v>
      </c>
      <c r="AP244" s="343">
        <v>13710</v>
      </c>
      <c r="AQ244" s="248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416840</v>
      </c>
      <c r="BG244" s="896">
        <f t="shared" si="76"/>
        <v>8</v>
      </c>
      <c r="BH244" s="896">
        <f t="shared" si="77"/>
        <v>52105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3">
        <f t="shared" si="80"/>
        <v>0</v>
      </c>
      <c r="V245" s="994"/>
      <c r="W245" s="345"/>
      <c r="X245" s="345"/>
      <c r="Y245" s="983" t="str">
        <f>B245&amp;D245</f>
        <v>566FBigbag</v>
      </c>
      <c r="Z245" s="938">
        <v>366201</v>
      </c>
      <c r="AA245" s="418"/>
      <c r="AB245" s="343">
        <v>0</v>
      </c>
      <c r="AC245" s="343">
        <v>0</v>
      </c>
      <c r="AD245" s="343">
        <v>0</v>
      </c>
      <c r="AE245" s="343">
        <v>0</v>
      </c>
      <c r="AF245" s="343">
        <v>0</v>
      </c>
      <c r="AG245" s="343">
        <v>0</v>
      </c>
      <c r="AH245" s="343">
        <v>0</v>
      </c>
      <c r="AI245" s="343">
        <v>0</v>
      </c>
      <c r="AJ245" s="343"/>
      <c r="AK245" s="343">
        <v>0</v>
      </c>
      <c r="AL245" s="343">
        <v>0</v>
      </c>
      <c r="AM245" s="343">
        <v>0</v>
      </c>
      <c r="AN245" s="248">
        <v>0</v>
      </c>
      <c r="AO245" s="343">
        <v>0</v>
      </c>
      <c r="AP245" s="343">
        <v>0</v>
      </c>
      <c r="AQ245" s="248"/>
      <c r="AR245" s="343"/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3">
        <f t="shared" si="80"/>
        <v>0</v>
      </c>
      <c r="V246" s="994"/>
      <c r="W246" s="345"/>
      <c r="X246" s="345"/>
      <c r="Y246" s="983" t="str">
        <f t="shared" si="81"/>
        <v>566FS34SILO</v>
      </c>
      <c r="Z246" s="938">
        <v>36630834</v>
      </c>
      <c r="AA246" s="418"/>
      <c r="AB246" s="343">
        <v>0</v>
      </c>
      <c r="AC246" s="343">
        <v>0</v>
      </c>
      <c r="AD246" s="343">
        <v>0</v>
      </c>
      <c r="AE246" s="343">
        <v>0</v>
      </c>
      <c r="AF246" s="343">
        <v>0</v>
      </c>
      <c r="AG246" s="343">
        <v>0</v>
      </c>
      <c r="AH246" s="343">
        <v>0</v>
      </c>
      <c r="AI246" s="343">
        <v>0</v>
      </c>
      <c r="AJ246" s="343"/>
      <c r="AK246" s="343">
        <v>0</v>
      </c>
      <c r="AL246" s="343">
        <v>0</v>
      </c>
      <c r="AM246" s="343">
        <v>0</v>
      </c>
      <c r="AN246" s="248">
        <v>0</v>
      </c>
      <c r="AO246" s="343">
        <v>0</v>
      </c>
      <c r="AP246" s="343">
        <v>0</v>
      </c>
      <c r="AQ246" s="248"/>
      <c r="AR246" s="343"/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0</v>
      </c>
      <c r="R247" s="222"/>
      <c r="S247" s="222"/>
      <c r="T247" s="363">
        <f t="shared" si="83"/>
        <v>0</v>
      </c>
      <c r="U247" s="993">
        <f t="shared" si="80"/>
        <v>0</v>
      </c>
      <c r="V247" s="994"/>
      <c r="W247" s="345"/>
      <c r="X247" s="345"/>
      <c r="Y247" s="983" t="str">
        <f t="shared" si="81"/>
        <v>566FS25SILO</v>
      </c>
      <c r="Z247" s="938">
        <v>36630825</v>
      </c>
      <c r="AA247" s="418"/>
      <c r="AB247" s="343">
        <v>0</v>
      </c>
      <c r="AC247" s="343">
        <v>0</v>
      </c>
      <c r="AD247" s="343">
        <v>0</v>
      </c>
      <c r="AE247" s="343">
        <v>0</v>
      </c>
      <c r="AF247" s="343">
        <v>0</v>
      </c>
      <c r="AG247" s="343">
        <v>0</v>
      </c>
      <c r="AH247" s="343">
        <v>0</v>
      </c>
      <c r="AI247" s="343">
        <v>0</v>
      </c>
      <c r="AJ247" s="343"/>
      <c r="AK247" s="343">
        <v>0</v>
      </c>
      <c r="AL247" s="343">
        <v>0</v>
      </c>
      <c r="AM247" s="343">
        <v>0</v>
      </c>
      <c r="AN247" s="248">
        <v>0</v>
      </c>
      <c r="AO247" s="343">
        <v>0</v>
      </c>
      <c r="AP247" s="343">
        <v>0</v>
      </c>
      <c r="AQ247" s="248"/>
      <c r="AR247" s="343"/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0</v>
      </c>
      <c r="BG247" s="896">
        <f t="shared" si="76"/>
        <v>0</v>
      </c>
      <c r="BH247" s="896">
        <f t="shared" si="77"/>
        <v>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29700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29700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389310</v>
      </c>
      <c r="R248" s="222"/>
      <c r="S248" s="222"/>
      <c r="T248" s="363">
        <f t="shared" ref="T248:T260" si="87">Q248/$N$293</f>
        <v>25954</v>
      </c>
      <c r="U248" s="993">
        <f t="shared" si="80"/>
        <v>0</v>
      </c>
      <c r="V248" s="994"/>
      <c r="W248" s="345"/>
      <c r="X248" s="345"/>
      <c r="Y248" s="983" t="str">
        <f t="shared" si="81"/>
        <v>566FS31SILO</v>
      </c>
      <c r="Z248" s="938">
        <v>36630831</v>
      </c>
      <c r="AA248" s="418"/>
      <c r="AB248" s="343">
        <v>57340</v>
      </c>
      <c r="AC248" s="343">
        <v>0</v>
      </c>
      <c r="AD248" s="343">
        <v>0</v>
      </c>
      <c r="AE248" s="343">
        <v>0</v>
      </c>
      <c r="AF248" s="343">
        <v>0</v>
      </c>
      <c r="AG248" s="343">
        <v>0</v>
      </c>
      <c r="AH248" s="343">
        <v>0</v>
      </c>
      <c r="AI248" s="343">
        <v>0</v>
      </c>
      <c r="AJ248" s="343"/>
      <c r="AK248" s="343">
        <v>86680</v>
      </c>
      <c r="AL248" s="343">
        <v>57910</v>
      </c>
      <c r="AM248" s="343">
        <v>42510</v>
      </c>
      <c r="AN248" s="248">
        <v>84420</v>
      </c>
      <c r="AO248" s="343">
        <v>30750</v>
      </c>
      <c r="AP248" s="343">
        <v>29700</v>
      </c>
      <c r="AQ248" s="248"/>
      <c r="AR248" s="343"/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389310</v>
      </c>
      <c r="BG248" s="896">
        <f t="shared" si="76"/>
        <v>7</v>
      </c>
      <c r="BH248" s="896">
        <f t="shared" si="77"/>
        <v>55615.714285714283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3">
        <f t="shared" si="80"/>
        <v>0</v>
      </c>
      <c r="V249" s="994"/>
      <c r="W249" s="345"/>
      <c r="X249" s="345"/>
      <c r="Y249" s="983" t="str">
        <f>B249&amp;D249</f>
        <v>566FS90SILO</v>
      </c>
      <c r="Z249" s="938">
        <v>36630890</v>
      </c>
      <c r="AA249" s="418"/>
      <c r="AB249" s="343">
        <v>0</v>
      </c>
      <c r="AC249" s="343">
        <v>0</v>
      </c>
      <c r="AD249" s="343">
        <v>0</v>
      </c>
      <c r="AE249" s="343">
        <v>0</v>
      </c>
      <c r="AF249" s="343">
        <v>0</v>
      </c>
      <c r="AG249" s="343">
        <v>0</v>
      </c>
      <c r="AH249" s="343">
        <v>0</v>
      </c>
      <c r="AI249" s="343">
        <v>0</v>
      </c>
      <c r="AJ249" s="343"/>
      <c r="AK249" s="343">
        <v>0</v>
      </c>
      <c r="AL249" s="343">
        <v>0</v>
      </c>
      <c r="AM249" s="343">
        <v>0</v>
      </c>
      <c r="AN249" s="248">
        <v>0</v>
      </c>
      <c r="AO249" s="343">
        <v>0</v>
      </c>
      <c r="AP249" s="343">
        <v>0</v>
      </c>
      <c r="AQ249" s="248"/>
      <c r="AR249" s="343"/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3">
        <f t="shared" si="80"/>
        <v>0</v>
      </c>
      <c r="V250" s="994"/>
      <c r="W250" s="345"/>
      <c r="X250" s="345"/>
      <c r="Y250" s="983" t="str">
        <f t="shared" si="81"/>
        <v>566FS72SILO</v>
      </c>
      <c r="Z250" s="938">
        <v>36630172</v>
      </c>
      <c r="AA250" s="418"/>
      <c r="AB250" s="343">
        <v>0</v>
      </c>
      <c r="AC250" s="343">
        <v>0</v>
      </c>
      <c r="AD250" s="343">
        <v>0</v>
      </c>
      <c r="AE250" s="343">
        <v>0</v>
      </c>
      <c r="AF250" s="343">
        <v>0</v>
      </c>
      <c r="AG250" s="343">
        <v>0</v>
      </c>
      <c r="AH250" s="343">
        <v>0</v>
      </c>
      <c r="AI250" s="343">
        <v>0</v>
      </c>
      <c r="AJ250" s="343"/>
      <c r="AK250" s="343">
        <v>0</v>
      </c>
      <c r="AL250" s="343">
        <v>0</v>
      </c>
      <c r="AM250" s="343">
        <v>0</v>
      </c>
      <c r="AN250" s="248">
        <v>0</v>
      </c>
      <c r="AO250" s="343">
        <v>0</v>
      </c>
      <c r="AP250" s="343">
        <v>0</v>
      </c>
      <c r="AQ250" s="248"/>
      <c r="AR250" s="343"/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475000</v>
      </c>
      <c r="R251" s="222"/>
      <c r="S251" s="222"/>
      <c r="T251" s="363">
        <f t="shared" si="87"/>
        <v>31666.666666666668</v>
      </c>
      <c r="U251" s="993">
        <f t="shared" si="80"/>
        <v>0</v>
      </c>
      <c r="V251" s="994"/>
      <c r="W251" s="345"/>
      <c r="X251" s="345"/>
      <c r="Y251" s="983" t="str">
        <f t="shared" si="81"/>
        <v>567SFSILO</v>
      </c>
      <c r="Z251" s="938" t="s">
        <v>786</v>
      </c>
      <c r="AA251" s="418"/>
      <c r="AB251" s="343">
        <v>0</v>
      </c>
      <c r="AC251" s="343">
        <v>0</v>
      </c>
      <c r="AD251" s="343">
        <v>60960</v>
      </c>
      <c r="AE251" s="343">
        <v>72570</v>
      </c>
      <c r="AF251" s="343">
        <v>88220</v>
      </c>
      <c r="AG251" s="343">
        <v>145140</v>
      </c>
      <c r="AH251" s="343">
        <v>50630</v>
      </c>
      <c r="AI251" s="343">
        <v>57480</v>
      </c>
      <c r="AJ251" s="343"/>
      <c r="AK251" s="343">
        <v>0</v>
      </c>
      <c r="AL251" s="343">
        <v>0</v>
      </c>
      <c r="AM251" s="343">
        <v>0</v>
      </c>
      <c r="AN251" s="248">
        <v>0</v>
      </c>
      <c r="AO251" s="343">
        <v>0</v>
      </c>
      <c r="AP251" s="343">
        <v>0</v>
      </c>
      <c r="AQ251" s="248"/>
      <c r="AR251" s="343"/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475000</v>
      </c>
      <c r="BG251" s="896">
        <f t="shared" si="88"/>
        <v>6</v>
      </c>
      <c r="BH251" s="896">
        <f t="shared" si="89"/>
        <v>79166.666666666672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3">
        <f t="shared" si="80"/>
        <v>0</v>
      </c>
      <c r="V252" s="994"/>
      <c r="W252" s="345"/>
      <c r="X252" s="345"/>
      <c r="Y252" s="983" t="str">
        <f>B252&amp;D252</f>
        <v>567SFBigbag</v>
      </c>
      <c r="Z252" s="938">
        <v>367101</v>
      </c>
      <c r="AA252" s="418"/>
      <c r="AB252" s="343">
        <v>0</v>
      </c>
      <c r="AC252" s="343">
        <v>0</v>
      </c>
      <c r="AD252" s="343">
        <v>0</v>
      </c>
      <c r="AE252" s="343">
        <v>0</v>
      </c>
      <c r="AF252" s="343">
        <v>0</v>
      </c>
      <c r="AG252" s="343">
        <v>0</v>
      </c>
      <c r="AH252" s="343">
        <v>0</v>
      </c>
      <c r="AI252" s="343">
        <v>0</v>
      </c>
      <c r="AJ252" s="343"/>
      <c r="AK252" s="343">
        <v>0</v>
      </c>
      <c r="AL252" s="343">
        <v>0</v>
      </c>
      <c r="AM252" s="343">
        <v>0</v>
      </c>
      <c r="AN252" s="248">
        <v>0</v>
      </c>
      <c r="AO252" s="343">
        <v>0</v>
      </c>
      <c r="AP252" s="343">
        <v>0</v>
      </c>
      <c r="AQ252" s="248"/>
      <c r="AR252" s="343"/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38990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38990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446710</v>
      </c>
      <c r="R253" s="222"/>
      <c r="S253" s="222"/>
      <c r="T253" s="363">
        <f t="shared" si="87"/>
        <v>29780.666666666668</v>
      </c>
      <c r="U253" s="993">
        <f t="shared" si="80"/>
        <v>0</v>
      </c>
      <c r="V253" s="994"/>
      <c r="W253" s="345"/>
      <c r="X253" s="345"/>
      <c r="Y253" s="983" t="str">
        <f>B253&amp;D253</f>
        <v>567SFS31SILO</v>
      </c>
      <c r="Z253" s="938">
        <v>36730831</v>
      </c>
      <c r="AA253" s="418"/>
      <c r="AB253" s="343">
        <v>71500</v>
      </c>
      <c r="AC253" s="343">
        <v>43510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/>
      <c r="AK253" s="343">
        <v>70930</v>
      </c>
      <c r="AL253" s="343">
        <v>31770</v>
      </c>
      <c r="AM253" s="343">
        <v>86990</v>
      </c>
      <c r="AN253" s="248">
        <v>74120</v>
      </c>
      <c r="AO253" s="343">
        <v>28900</v>
      </c>
      <c r="AP253" s="343">
        <v>38990</v>
      </c>
      <c r="AQ253" s="248"/>
      <c r="AR253" s="343"/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446710</v>
      </c>
      <c r="BG253" s="896">
        <f t="shared" si="88"/>
        <v>8</v>
      </c>
      <c r="BH253" s="896">
        <f t="shared" si="89"/>
        <v>55838.75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18350</v>
      </c>
      <c r="G254" s="372"/>
      <c r="H254" s="344"/>
      <c r="I254" s="248"/>
      <c r="J254" s="248"/>
      <c r="K254" s="248"/>
      <c r="L254" s="248">
        <f>SUMIF(data!$D:$D,INTGRATE!$B254&amp;INTGRATE!$D254,data!$K:$K)</f>
        <v>18350</v>
      </c>
      <c r="M254" s="344"/>
      <c r="N254" s="356"/>
      <c r="O254" s="554"/>
      <c r="P254" s="248"/>
      <c r="Q254" s="388">
        <f t="shared" si="86"/>
        <v>132540</v>
      </c>
      <c r="R254" s="222"/>
      <c r="S254" s="222"/>
      <c r="T254" s="363">
        <f t="shared" si="87"/>
        <v>8836</v>
      </c>
      <c r="U254" s="993">
        <f t="shared" si="80"/>
        <v>0</v>
      </c>
      <c r="V254" s="994"/>
      <c r="W254" s="345"/>
      <c r="X254" s="345"/>
      <c r="Y254" s="983" t="str">
        <f>B254&amp;D254</f>
        <v>567SFS25SILO</v>
      </c>
      <c r="Z254" s="938">
        <v>36730825</v>
      </c>
      <c r="AA254" s="418"/>
      <c r="AB254" s="343">
        <v>27470</v>
      </c>
      <c r="AC254" s="343">
        <v>13550</v>
      </c>
      <c r="AD254" s="343">
        <v>0</v>
      </c>
      <c r="AE254" s="343">
        <v>0</v>
      </c>
      <c r="AF254" s="343">
        <v>0</v>
      </c>
      <c r="AG254" s="343">
        <v>0</v>
      </c>
      <c r="AH254" s="343">
        <v>0</v>
      </c>
      <c r="AI254" s="343">
        <v>0</v>
      </c>
      <c r="AJ254" s="343"/>
      <c r="AK254" s="343">
        <v>0</v>
      </c>
      <c r="AL254" s="343">
        <v>29720</v>
      </c>
      <c r="AM254" s="343">
        <v>0</v>
      </c>
      <c r="AN254" s="248">
        <v>29630</v>
      </c>
      <c r="AO254" s="343">
        <v>13820</v>
      </c>
      <c r="AP254" s="343">
        <v>18350</v>
      </c>
      <c r="AQ254" s="248"/>
      <c r="AR254" s="343"/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132540</v>
      </c>
      <c r="BG254" s="896">
        <f t="shared" si="88"/>
        <v>6</v>
      </c>
      <c r="BH254" s="896">
        <f t="shared" si="89"/>
        <v>22090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3">
        <f t="shared" si="80"/>
        <v>0</v>
      </c>
      <c r="V255" s="994"/>
      <c r="W255" s="345"/>
      <c r="X255" s="345"/>
      <c r="Y255" s="983" t="str">
        <f t="shared" si="81"/>
        <v>567SFS49SILO</v>
      </c>
      <c r="Z255" s="938">
        <v>36730849</v>
      </c>
      <c r="AA255" s="418"/>
      <c r="AB255" s="343">
        <v>0</v>
      </c>
      <c r="AC255" s="343">
        <v>0</v>
      </c>
      <c r="AD255" s="343">
        <v>0</v>
      </c>
      <c r="AE255" s="343">
        <v>0</v>
      </c>
      <c r="AF255" s="343">
        <v>0</v>
      </c>
      <c r="AG255" s="343">
        <v>0</v>
      </c>
      <c r="AH255" s="343">
        <v>0</v>
      </c>
      <c r="AI255" s="343">
        <v>0</v>
      </c>
      <c r="AJ255" s="343"/>
      <c r="AK255" s="343">
        <v>0</v>
      </c>
      <c r="AL255" s="343">
        <v>0</v>
      </c>
      <c r="AM255" s="343">
        <v>0</v>
      </c>
      <c r="AN255" s="248">
        <v>0</v>
      </c>
      <c r="AO255" s="343">
        <v>0</v>
      </c>
      <c r="AP255" s="343">
        <v>0</v>
      </c>
      <c r="AQ255" s="248"/>
      <c r="AR255" s="343"/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3">
        <f t="shared" si="80"/>
        <v>0</v>
      </c>
      <c r="V256" s="994"/>
      <c r="W256" s="345"/>
      <c r="X256" s="345"/>
      <c r="Y256" s="983" t="str">
        <f t="shared" si="81"/>
        <v>567SFS50SILO</v>
      </c>
      <c r="Z256" s="938">
        <v>36730850</v>
      </c>
      <c r="AA256" s="418"/>
      <c r="AB256" s="343">
        <v>0</v>
      </c>
      <c r="AC256" s="343">
        <v>0</v>
      </c>
      <c r="AD256" s="343">
        <v>0</v>
      </c>
      <c r="AE256" s="343">
        <v>0</v>
      </c>
      <c r="AF256" s="343">
        <v>0</v>
      </c>
      <c r="AG256" s="343">
        <v>0</v>
      </c>
      <c r="AH256" s="343">
        <v>0</v>
      </c>
      <c r="AI256" s="343">
        <v>0</v>
      </c>
      <c r="AJ256" s="343"/>
      <c r="AK256" s="343">
        <v>0</v>
      </c>
      <c r="AL256" s="343">
        <v>0</v>
      </c>
      <c r="AM256" s="343">
        <v>0</v>
      </c>
      <c r="AN256" s="248">
        <v>0</v>
      </c>
      <c r="AO256" s="343">
        <v>0</v>
      </c>
      <c r="AP256" s="343">
        <v>0</v>
      </c>
      <c r="AQ256" s="248"/>
      <c r="AR256" s="343"/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3">
        <f t="shared" si="80"/>
        <v>0</v>
      </c>
      <c r="V257" s="994"/>
      <c r="W257" s="345"/>
      <c r="X257" s="345"/>
      <c r="Y257" s="983" t="str">
        <f>B257&amp;D257</f>
        <v>567SFS53SILO</v>
      </c>
      <c r="Z257" s="938">
        <v>36730853</v>
      </c>
      <c r="AA257" s="418"/>
      <c r="AB257" s="343">
        <v>0</v>
      </c>
      <c r="AC257" s="343">
        <v>0</v>
      </c>
      <c r="AD257" s="343">
        <v>0</v>
      </c>
      <c r="AE257" s="343">
        <v>0</v>
      </c>
      <c r="AF257" s="343">
        <v>0</v>
      </c>
      <c r="AG257" s="343">
        <v>0</v>
      </c>
      <c r="AH257" s="343">
        <v>0</v>
      </c>
      <c r="AI257" s="343">
        <v>0</v>
      </c>
      <c r="AJ257" s="343"/>
      <c r="AK257" s="343">
        <v>0</v>
      </c>
      <c r="AL257" s="343">
        <v>0</v>
      </c>
      <c r="AM257" s="343">
        <v>0</v>
      </c>
      <c r="AN257" s="248">
        <v>0</v>
      </c>
      <c r="AO257" s="343">
        <v>0</v>
      </c>
      <c r="AP257" s="343">
        <v>0</v>
      </c>
      <c r="AQ257" s="248"/>
      <c r="AR257" s="343"/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3">
        <f t="shared" si="80"/>
        <v>0</v>
      </c>
      <c r="V258" s="994"/>
      <c r="W258" s="345"/>
      <c r="X258" s="345"/>
      <c r="Y258" s="983" t="str">
        <f>B258&amp;D258</f>
        <v>567SFS72SILO</v>
      </c>
      <c r="Z258" s="938">
        <v>36730872</v>
      </c>
      <c r="AA258" s="418"/>
      <c r="AB258" s="343">
        <v>0</v>
      </c>
      <c r="AC258" s="343">
        <v>0</v>
      </c>
      <c r="AD258" s="343">
        <v>0</v>
      </c>
      <c r="AE258" s="343">
        <v>0</v>
      </c>
      <c r="AF258" s="343">
        <v>0</v>
      </c>
      <c r="AG258" s="343">
        <v>0</v>
      </c>
      <c r="AH258" s="343">
        <v>0</v>
      </c>
      <c r="AI258" s="343">
        <v>0</v>
      </c>
      <c r="AJ258" s="343"/>
      <c r="AK258" s="343">
        <v>0</v>
      </c>
      <c r="AL258" s="343">
        <v>0</v>
      </c>
      <c r="AM258" s="343">
        <v>0</v>
      </c>
      <c r="AN258" s="248">
        <v>0</v>
      </c>
      <c r="AO258" s="343">
        <v>0</v>
      </c>
      <c r="AP258" s="343">
        <v>0</v>
      </c>
      <c r="AQ258" s="248"/>
      <c r="AR258" s="343"/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3">
        <f t="shared" si="80"/>
        <v>0</v>
      </c>
      <c r="V259" s="994"/>
      <c r="W259" s="345"/>
      <c r="X259" s="345"/>
      <c r="Y259" s="983" t="str">
        <f>B259&amp;D259</f>
        <v>567SFS90SILO</v>
      </c>
      <c r="Z259" s="938">
        <v>36730890</v>
      </c>
      <c r="AA259" s="418"/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/>
      <c r="AK259" s="343">
        <v>0</v>
      </c>
      <c r="AL259" s="343">
        <v>0</v>
      </c>
      <c r="AM259" s="343">
        <v>0</v>
      </c>
      <c r="AN259" s="248">
        <v>0</v>
      </c>
      <c r="AO259" s="343">
        <v>0</v>
      </c>
      <c r="AP259" s="343">
        <v>0</v>
      </c>
      <c r="AQ259" s="248"/>
      <c r="AR259" s="343"/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3">
        <f t="shared" si="80"/>
        <v>0</v>
      </c>
      <c r="V260" s="994"/>
      <c r="W260" s="345"/>
      <c r="X260" s="345"/>
      <c r="Y260" s="983" t="str">
        <f t="shared" si="81"/>
        <v>567SFS32SILO</v>
      </c>
      <c r="Z260" s="938">
        <v>36730832</v>
      </c>
      <c r="AA260" s="418"/>
      <c r="AB260" s="343">
        <v>0</v>
      </c>
      <c r="AC260" s="343">
        <v>0</v>
      </c>
      <c r="AD260" s="343">
        <v>0</v>
      </c>
      <c r="AE260" s="343"/>
      <c r="AF260" s="343"/>
      <c r="AG260" s="343">
        <v>0</v>
      </c>
      <c r="AH260" s="343">
        <v>0</v>
      </c>
      <c r="AI260" s="343">
        <v>0</v>
      </c>
      <c r="AJ260" s="343"/>
      <c r="AK260" s="343">
        <v>0</v>
      </c>
      <c r="AL260" s="343">
        <v>0</v>
      </c>
      <c r="AM260" s="343"/>
      <c r="AN260" s="343">
        <v>0</v>
      </c>
      <c r="AO260" s="343">
        <v>0</v>
      </c>
      <c r="AP260" s="343">
        <v>0</v>
      </c>
      <c r="AQ260" s="248"/>
      <c r="AR260" s="343"/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0" t="s">
        <v>1739</v>
      </c>
      <c r="B261" s="991"/>
      <c r="C261" s="991"/>
      <c r="D261" s="992"/>
      <c r="E261" s="232">
        <f>E118+E125+E127+E126</f>
        <v>5929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2900</v>
      </c>
      <c r="I261" s="232">
        <f t="shared" si="90"/>
        <v>965</v>
      </c>
      <c r="J261" s="232">
        <f t="shared" si="90"/>
        <v>0</v>
      </c>
      <c r="K261" s="232">
        <f t="shared" si="90"/>
        <v>0</v>
      </c>
      <c r="L261" s="232">
        <f t="shared" si="90"/>
        <v>9650</v>
      </c>
      <c r="M261" s="232">
        <f t="shared" si="90"/>
        <v>0</v>
      </c>
      <c r="N261" s="232">
        <f t="shared" si="90"/>
        <v>0</v>
      </c>
      <c r="O261" s="232">
        <f t="shared" si="90"/>
        <v>7864</v>
      </c>
      <c r="P261" s="232">
        <f t="shared" si="90"/>
        <v>78640</v>
      </c>
      <c r="Q261" s="232">
        <f t="shared" ref="Q261" si="91">Q118+Q125+Q127+Q126</f>
        <v>160750</v>
      </c>
      <c r="R261" s="232"/>
      <c r="S261" s="232"/>
      <c r="T261" s="232">
        <f>T118+T125+T127</f>
        <v>10716.666666666666</v>
      </c>
      <c r="U261" s="1010">
        <f>IF(T261=0,0,P261/T261)</f>
        <v>7.3381026438569208</v>
      </c>
      <c r="V261" s="1011"/>
      <c r="W261" s="1066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0</v>
      </c>
      <c r="BG261" s="896">
        <f t="shared" si="88"/>
        <v>0</v>
      </c>
      <c r="BH261" s="896">
        <f t="shared" si="89"/>
        <v>0</v>
      </c>
    </row>
    <row r="262" spans="1:108" s="235" customFormat="1" ht="15.75" customHeight="1">
      <c r="A262" s="990" t="s">
        <v>1740</v>
      </c>
      <c r="B262" s="991"/>
      <c r="C262" s="991"/>
      <c r="D262" s="992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1277750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85183.333333333328</v>
      </c>
      <c r="U262" s="1010">
        <f>IF(T262=0,0,P262/T262)</f>
        <v>0</v>
      </c>
      <c r="V262" s="1011"/>
      <c r="W262" s="1067"/>
      <c r="X262" s="232">
        <f>+SUM(X119:X125)*25</f>
        <v>0</v>
      </c>
      <c r="Y262" s="977"/>
      <c r="Z262" s="939"/>
      <c r="AA262" s="234">
        <f t="shared" ref="AA262:BE262" si="93">SUM(AA118:AA260)</f>
        <v>0</v>
      </c>
      <c r="AB262" s="234">
        <f t="shared" si="93"/>
        <v>1676700</v>
      </c>
      <c r="AC262" s="234">
        <f t="shared" si="93"/>
        <v>1732470</v>
      </c>
      <c r="AD262" s="234">
        <f t="shared" si="93"/>
        <v>1406560</v>
      </c>
      <c r="AE262" s="234">
        <f t="shared" si="93"/>
        <v>1552200</v>
      </c>
      <c r="AF262" s="234">
        <f t="shared" si="93"/>
        <v>1850380</v>
      </c>
      <c r="AG262" s="234">
        <f t="shared" si="93"/>
        <v>1830030</v>
      </c>
      <c r="AH262" s="234">
        <f t="shared" si="93"/>
        <v>1526460</v>
      </c>
      <c r="AI262" s="234">
        <f t="shared" si="93"/>
        <v>1596500</v>
      </c>
      <c r="AJ262" s="234">
        <f t="shared" si="93"/>
        <v>0</v>
      </c>
      <c r="AK262" s="234">
        <f t="shared" si="93"/>
        <v>1949620</v>
      </c>
      <c r="AL262" s="234">
        <f t="shared" si="93"/>
        <v>1903150</v>
      </c>
      <c r="AM262" s="234">
        <f t="shared" si="93"/>
        <v>1665890</v>
      </c>
      <c r="AN262" s="234">
        <f t="shared" si="93"/>
        <v>1737790</v>
      </c>
      <c r="AO262" s="234">
        <f t="shared" si="93"/>
        <v>1681020</v>
      </c>
      <c r="AP262" s="234">
        <f t="shared" si="93"/>
        <v>1468300</v>
      </c>
      <c r="AQ262" s="234">
        <f t="shared" si="93"/>
        <v>0</v>
      </c>
      <c r="AR262" s="234">
        <f t="shared" si="93"/>
        <v>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23577070</v>
      </c>
      <c r="BG262" s="240"/>
      <c r="BH262" s="240"/>
      <c r="BI262" s="519"/>
    </row>
    <row r="263" spans="1:108" s="235" customFormat="1" ht="15.75" customHeight="1">
      <c r="A263" s="990" t="s">
        <v>1741</v>
      </c>
      <c r="B263" s="991"/>
      <c r="C263" s="991"/>
      <c r="D263" s="992"/>
      <c r="E263" s="232">
        <f>SUM(E128:E195,E121:E123,E119)-E135-E147-E158-E159-E170-E172</f>
        <v>27847</v>
      </c>
      <c r="F263" s="232">
        <f>SUM(F128:F195,F121:F123,F119)-F135-F147-F158-F159-F170-F172</f>
        <v>29088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22451</v>
      </c>
      <c r="J263" s="232">
        <f t="shared" si="94"/>
        <v>0</v>
      </c>
      <c r="K263" s="232">
        <f t="shared" si="94"/>
        <v>0</v>
      </c>
      <c r="L263" s="232">
        <f t="shared" si="94"/>
        <v>1122550</v>
      </c>
      <c r="M263" s="232">
        <f t="shared" si="94"/>
        <v>0</v>
      </c>
      <c r="N263" s="232">
        <f t="shared" si="94"/>
        <v>0</v>
      </c>
      <c r="O263" s="232">
        <f t="shared" si="94"/>
        <v>34484</v>
      </c>
      <c r="P263" s="232">
        <f t="shared" si="94"/>
        <v>1724200</v>
      </c>
      <c r="Q263" s="232">
        <f>+SUM(Q128:Q195)-Q135-Q129-Q158-Q147-Q170+Q123+Q119</f>
        <v>15790650</v>
      </c>
      <c r="R263" s="232">
        <f>+SUM(R128:R195)-R135-R129-R158-R147-R170+R123+R119</f>
        <v>1802840</v>
      </c>
      <c r="S263" s="232">
        <f>+SUM(S128:S195)-S135-S129-S158-S147-S170+S123+S119</f>
        <v>23577070</v>
      </c>
      <c r="T263" s="232">
        <f>+SUM(T128:T195)-T135-T129-T158-T147-T170+T123+T119</f>
        <v>1052710</v>
      </c>
      <c r="U263" s="1010">
        <f>IF(T263=0,0,P263/T263)</f>
        <v>1.6378679788355768</v>
      </c>
      <c r="V263" s="1011"/>
      <c r="W263" s="1067"/>
      <c r="X263" s="232">
        <f>+SUM(X128:X195)*50</f>
        <v>0</v>
      </c>
      <c r="Y263" s="977"/>
      <c r="Z263" s="939"/>
      <c r="AA263" s="214">
        <f>+AA262+AA103+BRAN!X151+BRAN!X195+BRAN!X278+BRAN!X302+BRAN!X333</f>
        <v>0</v>
      </c>
      <c r="AB263" s="214">
        <f>+AB262+AB103+BRAN!Y151+BRAN!Y195+BRAN!Y278+BRAN!Y302+BRAN!Y333</f>
        <v>2455620</v>
      </c>
      <c r="AC263" s="214">
        <f>+AC262+AC103+BRAN!Z151+BRAN!Z195+BRAN!Z278+BRAN!Z302+BRAN!Z333</f>
        <v>2025450</v>
      </c>
      <c r="AD263" s="214">
        <f>+AD262+AD103+BRAN!AA151+BRAN!AA195+BRAN!AA278+BRAN!AA302+BRAN!AA333</f>
        <v>2123320</v>
      </c>
      <c r="AE263" s="214">
        <f>+AE262+AE103+BRAN!AB151+BRAN!AB195+BRAN!AB278+BRAN!AB302+BRAN!AB333</f>
        <v>2200995</v>
      </c>
      <c r="AF263" s="214">
        <f>+AF262+AF103+BRAN!AC151+BRAN!AC195+BRAN!AC278+BRAN!AC302+BRAN!AC333</f>
        <v>2452255</v>
      </c>
      <c r="AG263" s="214">
        <f>+AG262+AG103+BRAN!AD151+BRAN!AD195+BRAN!AD278+BRAN!AD302+BRAN!AD333</f>
        <v>2269305</v>
      </c>
      <c r="AH263" s="214">
        <f>+AH262+AH103+BRAN!AE151+BRAN!AE195+BRAN!AE278+BRAN!AE302+BRAN!AE333</f>
        <v>2199000</v>
      </c>
      <c r="AI263" s="214">
        <f>+AI262+AI103+BRAN!AF151+BRAN!AF195+BRAN!AF278+BRAN!AF302+BRAN!AF333</f>
        <v>2007895</v>
      </c>
      <c r="AJ263" s="214">
        <f>+AJ262+AJ103+BRAN!AG151+BRAN!AG195+BRAN!AG278+BRAN!AG302+BRAN!AG333</f>
        <v>0</v>
      </c>
      <c r="AK263" s="214">
        <f>+AK262+AK103+BRAN!AH151+BRAN!AH195+BRAN!AH278+BRAN!AH302+BRAN!AH333</f>
        <v>2781895</v>
      </c>
      <c r="AL263" s="214">
        <f>+AL262+AL103+BRAN!AI151+BRAN!AI195+BRAN!AI278+BRAN!AI302+BRAN!AI333</f>
        <v>2648035</v>
      </c>
      <c r="AM263" s="214">
        <f>+AM262+AM103+BRAN!AJ151+BRAN!AJ195+BRAN!AJ278+BRAN!AJ302+BRAN!AJ333</f>
        <v>2542025</v>
      </c>
      <c r="AN263" s="214">
        <f>+AN262+AN103+BRAN!AK151+BRAN!AK195+BRAN!AK278+BRAN!AK302+BRAN!AK333</f>
        <v>2177805</v>
      </c>
      <c r="AO263" s="214">
        <f>+AO262+AO103+BRAN!AL151+BRAN!AL195+BRAN!AL278+BRAN!AL302+BRAN!AL333</f>
        <v>2052050</v>
      </c>
      <c r="AP263" s="214">
        <f>+AP262+AP103+BRAN!AM151+BRAN!AM195+BRAN!AM278+BRAN!AM302+BRAN!AM333</f>
        <v>2067050</v>
      </c>
      <c r="AQ263" s="214">
        <f>+AQ262+AQ103+BRAN!AN151+BRAN!AN195+BRAN!AN278+BRAN!AN302+BRAN!AN333</f>
        <v>0</v>
      </c>
      <c r="AR263" s="214">
        <f>+AR262+AR103+BRAN!AO151+BRAN!AO195+BRAN!AO278+BRAN!AO302+BRAN!AO333</f>
        <v>0</v>
      </c>
      <c r="AS263" s="214">
        <f>+AS262+AS103+BRAN!AP151+BRAN!AP195+BRAN!AP278+BRAN!AP302+BRAN!AP333</f>
        <v>0</v>
      </c>
      <c r="AT263" s="214">
        <f>+AT262+AT103+BRAN!AQ151+BRAN!AQ195+BRAN!AQ278+BRAN!AQ302+BRAN!AQ333</f>
        <v>0</v>
      </c>
      <c r="AU263" s="214">
        <f>+AU262+AU103+BRAN!AR151+BRAN!AR195+BRAN!AR278+BRAN!AR302+BRAN!AR333</f>
        <v>0</v>
      </c>
      <c r="AV263" s="214">
        <f>+AV262+AV103+BRAN!AS151+BRAN!AS195+BRAN!AS278+BRAN!AS302+BRAN!AS333</f>
        <v>0</v>
      </c>
      <c r="AW263" s="214">
        <f>+AW262+AW103+BRAN!AT151+BRAN!AT195+BRAN!AT278+BRAN!AT302+BRAN!AT333</f>
        <v>0</v>
      </c>
      <c r="AX263" s="214">
        <f>+AX262+AX103+BRAN!AU151+BRAN!AU195+BRAN!AU278+BRAN!AU302+BRAN!AU333</f>
        <v>0</v>
      </c>
      <c r="AY263" s="214">
        <f>+AY262+AY103+BRAN!AV151+BRAN!AV195+BRAN!AV278+BRAN!AV302+BRAN!AV333</f>
        <v>0</v>
      </c>
      <c r="AZ263" s="214">
        <f>+AZ262+AZ103+BRAN!AW151+BRAN!AW195+BRAN!AW278+BRAN!AW302+BRAN!AW333</f>
        <v>0</v>
      </c>
      <c r="BA263" s="214">
        <f>+BA262+BA103+BRAN!AX151+BRAN!AX195+BRAN!AX278+BRAN!AX302+BRAN!AX333</f>
        <v>0</v>
      </c>
      <c r="BB263" s="214">
        <f>+BB262+BB103+BRAN!AY151+BRAN!AY195+BRAN!AY278+BRAN!AY302+BRAN!AY333</f>
        <v>0</v>
      </c>
      <c r="BC263" s="214">
        <f>+BC262+BC103+BRAN!AZ151+BRAN!AZ195+BRAN!AZ278+BRAN!AZ302+BRAN!AZ333</f>
        <v>0</v>
      </c>
      <c r="BD263" s="214">
        <f>+BD262+BD103+BRAN!BA151+BRAN!BA195+BRAN!BA278+BRAN!BA302+BRAN!BA333</f>
        <v>0</v>
      </c>
      <c r="BE263" s="214">
        <f>+BE262+BE103+BRAN!BB151+BRAN!BB195+BRAN!BB278+BRAN!BB302+BRAN!BB333</f>
        <v>0</v>
      </c>
      <c r="BF263" s="214">
        <f>SUM(AA263:BE263)</f>
        <v>32002700</v>
      </c>
      <c r="BG263" s="214"/>
      <c r="BH263" s="214"/>
      <c r="BI263" s="209">
        <f>+BF262+BF103</f>
        <v>25095960</v>
      </c>
    </row>
    <row r="264" spans="1:108" s="235" customFormat="1" ht="15.75" customHeight="1">
      <c r="A264" s="990" t="s">
        <v>1766</v>
      </c>
      <c r="B264" s="991"/>
      <c r="C264" s="991"/>
      <c r="D264" s="992"/>
      <c r="E264" s="255"/>
      <c r="F264" s="255">
        <f>SUM(F196:F260)</f>
        <v>336100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336100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6347920</v>
      </c>
      <c r="R264" s="255">
        <f t="shared" si="95"/>
        <v>0</v>
      </c>
      <c r="S264" s="255">
        <f t="shared" si="95"/>
        <v>0</v>
      </c>
      <c r="T264" s="255">
        <f t="shared" si="95"/>
        <v>423194.66666666669</v>
      </c>
      <c r="U264" s="1010"/>
      <c r="V264" s="1011"/>
      <c r="W264" s="1067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+BF262+BF103+BRAN!BC334</f>
        <v>32002700</v>
      </c>
      <c r="BG264" s="519"/>
      <c r="BH264" s="519"/>
    </row>
    <row r="265" spans="1:108" s="893" customFormat="1" ht="15.75" customHeight="1">
      <c r="A265" s="987" t="s">
        <v>1742</v>
      </c>
      <c r="B265" s="988"/>
      <c r="C265" s="988"/>
      <c r="D265" s="989"/>
      <c r="E265" s="238">
        <f>SUM(E118:E195)</f>
        <v>33776</v>
      </c>
      <c r="F265" s="238">
        <f t="shared" ref="F265:O265" si="96">SUM(F261:F264)</f>
        <v>365188</v>
      </c>
      <c r="G265" s="238">
        <f t="shared" si="96"/>
        <v>0</v>
      </c>
      <c r="H265" s="238">
        <f t="shared" si="96"/>
        <v>2900</v>
      </c>
      <c r="I265" s="238">
        <f t="shared" si="96"/>
        <v>23416</v>
      </c>
      <c r="J265" s="238">
        <f t="shared" si="96"/>
        <v>0</v>
      </c>
      <c r="K265" s="238">
        <f t="shared" si="96"/>
        <v>0</v>
      </c>
      <c r="L265" s="238">
        <f>+L266-L264</f>
        <v>1132200</v>
      </c>
      <c r="M265" s="238">
        <f>SUM(M261:M264)</f>
        <v>0</v>
      </c>
      <c r="N265" s="238">
        <f t="shared" si="96"/>
        <v>0</v>
      </c>
      <c r="O265" s="238">
        <f t="shared" si="96"/>
        <v>42348</v>
      </c>
      <c r="P265" s="238">
        <f>SUM(P261:P264)</f>
        <v>1802840</v>
      </c>
      <c r="Q265" s="1052">
        <f>SUM(Q261:Q264)</f>
        <v>23577070</v>
      </c>
      <c r="R265" s="236">
        <f>SUM(R119:R260)</f>
        <v>1802840</v>
      </c>
      <c r="S265" s="236"/>
      <c r="T265" s="1052">
        <f>Q265/$N$293</f>
        <v>1571804.6666666667</v>
      </c>
      <c r="U265" s="1008" t="s">
        <v>1761</v>
      </c>
      <c r="V265" s="1009"/>
      <c r="W265" s="1067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0" t="s">
        <v>1743</v>
      </c>
      <c r="B266" s="991"/>
      <c r="C266" s="991"/>
      <c r="D266" s="992"/>
      <c r="E266" s="231">
        <f>+E261*10+E262*25+E263*50</f>
        <v>1451640</v>
      </c>
      <c r="F266" s="231">
        <f t="shared" ref="F266:O266" si="97">+F261*10+F262*25+F263*50</f>
        <v>1454400</v>
      </c>
      <c r="G266" s="231">
        <f>+G261*10+G262*25+G263*50</f>
        <v>0</v>
      </c>
      <c r="H266" s="231">
        <f>+H261*10+H262*25+H263*50</f>
        <v>29000</v>
      </c>
      <c r="I266" s="231">
        <f>+I261*10+I262*25+I263*50</f>
        <v>1132200</v>
      </c>
      <c r="J266" s="231">
        <f t="shared" si="97"/>
        <v>0</v>
      </c>
      <c r="K266" s="231">
        <f t="shared" si="97"/>
        <v>0</v>
      </c>
      <c r="L266" s="231">
        <f>SUM(L118:L260)</f>
        <v>1468300</v>
      </c>
      <c r="M266" s="231">
        <f>+M261*10+M262*25+M263*50</f>
        <v>0</v>
      </c>
      <c r="N266" s="231">
        <f t="shared" si="97"/>
        <v>0</v>
      </c>
      <c r="O266" s="231">
        <f t="shared" si="97"/>
        <v>1802840</v>
      </c>
      <c r="P266" s="231">
        <f>SUM(P261:P264)</f>
        <v>1802840</v>
      </c>
      <c r="Q266" s="1053"/>
      <c r="R266" s="242"/>
      <c r="S266" s="242"/>
      <c r="T266" s="1053"/>
      <c r="U266" s="1008"/>
      <c r="V266" s="1009"/>
      <c r="W266" s="1068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077" t="s">
        <v>2470</v>
      </c>
      <c r="B267" s="1078"/>
      <c r="C267" s="1069" t="s">
        <v>1753</v>
      </c>
      <c r="D267" s="1070"/>
      <c r="E267" s="238">
        <f>+E265+E107</f>
        <v>38671</v>
      </c>
      <c r="F267" s="238"/>
      <c r="G267" s="238"/>
      <c r="H267" s="238">
        <f>SUM(H107,H265)</f>
        <v>2904</v>
      </c>
      <c r="I267" s="238">
        <f>SUM(I107,I265)</f>
        <v>24454</v>
      </c>
      <c r="J267" s="238">
        <f>SUM(J107,J265)</f>
        <v>0</v>
      </c>
      <c r="K267" s="238">
        <f>SUM(K107,K265)</f>
        <v>0</v>
      </c>
      <c r="L267" s="238">
        <f>SUM(L107,L265)</f>
        <v>1132200</v>
      </c>
      <c r="M267" s="238"/>
      <c r="N267" s="238">
        <f>SUM(N107,N265)</f>
        <v>0</v>
      </c>
      <c r="O267" s="557">
        <f>+SUM(O261:O264)+SUM(O103:O106)</f>
        <v>46920</v>
      </c>
      <c r="P267" s="238">
        <f>SUM(P107,P265)</f>
        <v>2031440</v>
      </c>
      <c r="Q267" s="1057" t="s">
        <v>1691</v>
      </c>
      <c r="R267" s="1058"/>
      <c r="S267" s="1058"/>
      <c r="T267" s="1058"/>
      <c r="U267" s="1058"/>
      <c r="V267" s="1058"/>
      <c r="W267" s="1059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79"/>
      <c r="B268" s="1080"/>
      <c r="C268" s="997" t="s">
        <v>101</v>
      </c>
      <c r="D268" s="998"/>
      <c r="E268" s="221">
        <f>+E266+E108</f>
        <v>1696390</v>
      </c>
      <c r="F268" s="221">
        <f>+F266+F108</f>
        <v>1504730</v>
      </c>
      <c r="G268" s="221">
        <f>+G266+G108</f>
        <v>0</v>
      </c>
      <c r="H268" s="221">
        <f>SUM(H108,H266)</f>
        <v>29200</v>
      </c>
      <c r="I268" s="221">
        <f>SUM(I108,I266)</f>
        <v>1198880</v>
      </c>
      <c r="J268" s="370"/>
      <c r="K268" s="370"/>
      <c r="L268" s="221">
        <f>SUM(L108,L266)</f>
        <v>1534980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2031440</v>
      </c>
      <c r="P268" s="670">
        <f>+P266+P108</f>
        <v>2031440</v>
      </c>
      <c r="Q268" s="1060"/>
      <c r="R268" s="1061"/>
      <c r="S268" s="1061"/>
      <c r="T268" s="1061"/>
      <c r="U268" s="1061"/>
      <c r="V268" s="1061"/>
      <c r="W268" s="1062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1" t="s">
        <v>1745</v>
      </c>
      <c r="B269" s="1072"/>
      <c r="C269" s="995" t="s">
        <v>1746</v>
      </c>
      <c r="D269" s="996"/>
      <c r="E269" s="221">
        <f>SUM(BRAN!E153,BRAN!E195,BRAN!E278,BRAN!E302,BRAN!E333)</f>
        <v>88</v>
      </c>
      <c r="F269" s="221">
        <f>SUM(BRAN!F153,BRAN!F195,BRAN!F278,BRAN!F302,BRAN!F333)</f>
        <v>0</v>
      </c>
      <c r="G269" s="221">
        <f>SUM(BRAN!G153,BRAN!G195,BRAN!G278,BRAN!G302,BRAN!G333)</f>
        <v>0</v>
      </c>
      <c r="H269" s="221">
        <f>SUM(BRAN!H153,BRAN!H195,BRAN!H278,BRAN!H302,BRAN!H333)</f>
        <v>0</v>
      </c>
      <c r="I269" s="221">
        <f>SUM(BRAN!I153,BRAN!I195,BRAN!I278,BRAN!I302,BRAN!I333)</f>
        <v>52</v>
      </c>
      <c r="J269" s="221"/>
      <c r="K269" s="221"/>
      <c r="L269" s="221">
        <f>SUM(BRAN!J153,BRAN!J195,BRAN!J278,BRAN!J302,BRAN!J333)</f>
        <v>1300</v>
      </c>
      <c r="M269" s="221">
        <f>SUM(BRAN!K153,BRAN!K195,BRAN!K278,BRAN!K302,BRAN!K333)</f>
        <v>0</v>
      </c>
      <c r="N269" s="221">
        <f>SUM(BRAN!L153,BRAN!L195,BRAN!L278,BRAN!L302,BRAN!L333)</f>
        <v>0</v>
      </c>
      <c r="O269" s="669">
        <f>SUM(BRAN!M153,BRAN!M195,BRAN!M278,BRAN!M302,BRAN!M333)</f>
        <v>36</v>
      </c>
      <c r="P269" s="669">
        <f>+O269*25</f>
        <v>900</v>
      </c>
      <c r="Q269" s="1060"/>
      <c r="R269" s="1061"/>
      <c r="S269" s="1061"/>
      <c r="T269" s="1061"/>
      <c r="U269" s="1061"/>
      <c r="V269" s="1061"/>
      <c r="W269" s="1062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3"/>
      <c r="B270" s="1074"/>
      <c r="C270" s="995" t="s">
        <v>1748</v>
      </c>
      <c r="D270" s="996"/>
      <c r="E270" s="221">
        <f>+E261+BRAN!E152</f>
        <v>5938</v>
      </c>
      <c r="F270" s="221">
        <f>+F261</f>
        <v>0</v>
      </c>
      <c r="G270" s="221">
        <f>+G261</f>
        <v>0</v>
      </c>
      <c r="H270" s="221">
        <f>+H261+BRAN!H152</f>
        <v>3390</v>
      </c>
      <c r="I270" s="221">
        <f>+I261+BRAN!I152</f>
        <v>1375</v>
      </c>
      <c r="J270" s="221"/>
      <c r="K270" s="221"/>
      <c r="L270" s="221">
        <f>+I270*10</f>
        <v>13750</v>
      </c>
      <c r="M270" s="221">
        <f>+M261+BRAN!K152</f>
        <v>0</v>
      </c>
      <c r="N270" s="221">
        <f>+N261+BRAN!L152</f>
        <v>0</v>
      </c>
      <c r="O270" s="669">
        <f>+E270+F270+G270+H270-I270-M270-N270</f>
        <v>7953</v>
      </c>
      <c r="P270" s="670">
        <f>+O270*10</f>
        <v>79530</v>
      </c>
      <c r="Q270" s="1060"/>
      <c r="R270" s="1061"/>
      <c r="S270" s="1061"/>
      <c r="T270" s="1061"/>
      <c r="U270" s="1061"/>
      <c r="V270" s="1061"/>
      <c r="W270" s="1062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5"/>
      <c r="B271" s="1076"/>
      <c r="C271" s="995" t="s">
        <v>1749</v>
      </c>
      <c r="D271" s="996"/>
      <c r="E271" s="220">
        <f>SUM(BRAN!E154,BRAN!E196,BRAN!E279,BRAN!E303,BRAN!E334)+SUM(INTGRATE!E103,INTGRATE!E262)</f>
        <v>65164</v>
      </c>
      <c r="F271" s="220">
        <f>SUM(BRAN!F154,BRAN!F196,BRAN!F279,BRAN!F303,BRAN!F334)+SUM(INTGRATE!F103,INTGRATE!F262)</f>
        <v>12922</v>
      </c>
      <c r="G271" s="220">
        <f>SUM(BRAN!G154,BRAN!G196,BRAN!G279,BRAN!G303,BRAN!G334)+SUM(INTGRATE!G103,INTGRATE!G262)</f>
        <v>0</v>
      </c>
      <c r="H271" s="220">
        <f>SUM(BRAN!H154,BRAN!H196,BRAN!H279,BRAN!H303,BRAN!H334)+SUM(INTGRATE!H103,INTGRATE!H262)</f>
        <v>1</v>
      </c>
      <c r="I271" s="220">
        <f>SUM(BRAN!I154,BRAN!I196,BRAN!I279,BRAN!I303,BRAN!I334)+SUM(INTGRATE!I103,INTGRATE!I262)+I158</f>
        <v>17660</v>
      </c>
      <c r="J271" s="220"/>
      <c r="K271" s="220"/>
      <c r="L271" s="220">
        <f>SUM(BRAN!J154,BRAN!J196,BRAN!J279,BRAN!J303,BRAN!J334)+SUM(INTGRATE!L103,INTGRATE!L262)+L158</f>
        <v>441500</v>
      </c>
      <c r="M271" s="562">
        <f>SUM(BRAN!K154,BRAN!K196,BRAN!K279,BRAN!K303,BRAN!K334)+SUM(INTGRATE!M103,INTGRATE!M262)</f>
        <v>0</v>
      </c>
      <c r="N271" s="562">
        <f>SUM(BRAN!L154,BRAN!L196,BRAN!L279,BRAN!L303,BRAN!L334)+SUM(INTGRATE!N103,INTGRATE!N262)</f>
        <v>9</v>
      </c>
      <c r="O271" s="671">
        <f>+O262+O103+BRAN!M154+BRAN!M196+BRAN!M279+BRAN!M334+BRAN!M303</f>
        <v>60418</v>
      </c>
      <c r="P271" s="672">
        <f>+O271*25</f>
        <v>1510450</v>
      </c>
      <c r="Q271" s="1060"/>
      <c r="R271" s="1061"/>
      <c r="S271" s="1061"/>
      <c r="T271" s="1061"/>
      <c r="U271" s="1061"/>
      <c r="V271" s="1061"/>
      <c r="W271" s="1062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2" t="s">
        <v>1744</v>
      </c>
      <c r="B272" s="1123"/>
      <c r="C272" s="995" t="s">
        <v>1750</v>
      </c>
      <c r="D272" s="996"/>
      <c r="E272" s="220">
        <f>SUM(BRAN!E155,BRAN!E197,BRAN!E280,BRAN!E304,BRAN!E335)+E104</f>
        <v>0</v>
      </c>
      <c r="F272" s="220">
        <f>SUM(BRAN!F155,BRAN!F197,BRAN!F280,BRAN!F304,BRAN!F335)+F104</f>
        <v>401</v>
      </c>
      <c r="G272" s="220">
        <f>SUM(BRAN!G155,BRAN!G197,BRAN!G280,BRAN!G304,BRAN!G335)+G104</f>
        <v>0</v>
      </c>
      <c r="H272" s="220">
        <f>SUM(BRAN!H155,BRAN!H197,BRAN!H280,BRAN!H304)+H104</f>
        <v>0</v>
      </c>
      <c r="I272" s="220">
        <f>SUM(BRAN!I155,BRAN!I197,BRAN!I280,BRAN!I304,BRAN!I335)+I104</f>
        <v>0</v>
      </c>
      <c r="J272" s="220">
        <f>SUM(BRAN!J155,BRAN!J197,BRAN!J280,BRAN!J304,BRAN!J335)+J104</f>
        <v>0</v>
      </c>
      <c r="K272" s="220">
        <f>SUM(BRAN!K155,BRAN!K197,BRAN!K280,BRAN!K304,BRAN!K335)+K104</f>
        <v>0</v>
      </c>
      <c r="L272" s="220">
        <f>+I272*40</f>
        <v>0</v>
      </c>
      <c r="M272" s="220">
        <f>+M104+BRAN!K197+BRAN!K155+BRAN!K280+BRAN!K304+BRAN!K335</f>
        <v>0</v>
      </c>
      <c r="N272" s="220">
        <f>+N104+BRAN!L197+BRAN!L155</f>
        <v>0</v>
      </c>
      <c r="O272" s="220">
        <f>+BRAN!M155+BRAN!M197+BRAN!M280+BRAN!M304+BRAN!M335</f>
        <v>401</v>
      </c>
      <c r="P272" s="220">
        <f>+O272*40</f>
        <v>16040</v>
      </c>
      <c r="Q272" s="1060"/>
      <c r="R272" s="1061"/>
      <c r="S272" s="1061"/>
      <c r="T272" s="1061"/>
      <c r="U272" s="1061"/>
      <c r="V272" s="1061"/>
      <c r="W272" s="1062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4"/>
      <c r="B273" s="1125"/>
      <c r="C273" s="995" t="s">
        <v>1751</v>
      </c>
      <c r="D273" s="996"/>
      <c r="E273" s="220">
        <f>SUM(E105,E263)</f>
        <v>32742</v>
      </c>
      <c r="F273" s="220">
        <f>SUM(F105,F263)</f>
        <v>29799</v>
      </c>
      <c r="G273" s="220">
        <f>SUM(G105,G263)</f>
        <v>0</v>
      </c>
      <c r="H273" s="220">
        <f>SUM(H105,H106,H263,H264)</f>
        <v>4</v>
      </c>
      <c r="I273" s="220">
        <f>SUM(I105,I263)-I158</f>
        <v>23489</v>
      </c>
      <c r="J273" s="220">
        <f>SUM(J105,J263)-J158</f>
        <v>0</v>
      </c>
      <c r="K273" s="220">
        <f>SUM(K105,K263)-K158</f>
        <v>0</v>
      </c>
      <c r="L273" s="220">
        <f>SUM(L105,L263)-L158</f>
        <v>1174450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39056</v>
      </c>
      <c r="P273" s="672">
        <f>+O273*50</f>
        <v>1952800</v>
      </c>
      <c r="Q273" s="1060"/>
      <c r="R273" s="1061"/>
      <c r="S273" s="1061"/>
      <c r="T273" s="1061"/>
      <c r="U273" s="1061"/>
      <c r="V273" s="1061"/>
      <c r="W273" s="1062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6"/>
      <c r="B274" s="1127"/>
      <c r="C274" s="997" t="s">
        <v>1752</v>
      </c>
      <c r="D274" s="998"/>
      <c r="E274" s="220">
        <f>+E269*25+E270*10+E271*25+E272*40+E273*50</f>
        <v>3327780</v>
      </c>
      <c r="F274" s="322">
        <f>+F271*25+F269*25+F270*10+F272*40+F273*50+F264+F106+BRAN!F156+BRAN!F282+BRAN!F336+BRAN!F306</f>
        <v>2265090</v>
      </c>
      <c r="G274" s="322">
        <f>SUM(BRAN!G158,BRAN!G199,BRAN!G283,BRAN!G307,BRAN!G338)+SUM(G266,G108)</f>
        <v>0</v>
      </c>
      <c r="H274" s="322">
        <f>SUM(BRAN!H158,BRAN!H199,BRAN!H283,BRAN!H307,BRAN!H338)+SUM(H266,H108)</f>
        <v>34125</v>
      </c>
      <c r="I274" s="322">
        <f>+L274</f>
        <v>2067050</v>
      </c>
      <c r="J274" s="322"/>
      <c r="K274" s="322"/>
      <c r="L274" s="412">
        <f>+L266+L108+BRAN!J338+BRAN!J307+BRAN!J283+BRAN!J199+BRAN!J158</f>
        <v>2067050</v>
      </c>
      <c r="M274" s="412">
        <f>+M269*25+M270*10+M271*25+M272*40+M273*50</f>
        <v>0</v>
      </c>
      <c r="N274" s="624">
        <f>+N273*50+N272*40+N271*25+N270*10+N269*25</f>
        <v>225</v>
      </c>
      <c r="O274" s="667">
        <f>+P274</f>
        <v>3559720</v>
      </c>
      <c r="P274" s="667">
        <f>SUM(P269:P273)</f>
        <v>3559720</v>
      </c>
      <c r="Q274" s="1063"/>
      <c r="R274" s="1064"/>
      <c r="S274" s="1064"/>
      <c r="T274" s="1064"/>
      <c r="U274" s="1064"/>
      <c r="V274" s="1064"/>
      <c r="W274" s="1065"/>
      <c r="X274" s="466">
        <f>+X265+X108+BRAN!U158+BRAN!U199+BRAN!U283+BRAN!U307+BRAN!U338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3559720</v>
      </c>
      <c r="P275" s="675">
        <f>+E274+F274+H274-I274-M274-N274</f>
        <v>3559720</v>
      </c>
      <c r="Q275" s="256">
        <f>SUM(Q119:Q260)</f>
        <v>23416320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4"/>
      <c r="U276" s="1004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09">
        <f>P274+REMIX!O24+X274</f>
        <v>3559720</v>
      </c>
      <c r="R281" s="1210"/>
      <c r="S281" s="1210"/>
      <c r="T281" s="1210"/>
      <c r="U281" s="1211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0" t="s">
        <v>1755</v>
      </c>
      <c r="P282" s="1031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0" t="s">
        <v>1756</v>
      </c>
      <c r="P283" s="1031"/>
      <c r="Q283" s="265">
        <f>SUM(R128)+BRAN!P14+BRAN!P168+BRAN!P208</f>
        <v>202270</v>
      </c>
      <c r="R283" s="233"/>
      <c r="S283" s="233"/>
      <c r="T283" s="265">
        <f>Q283/Q281*100</f>
        <v>5.6821884867349119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0" t="s">
        <v>1757</v>
      </c>
      <c r="P284" s="1031"/>
      <c r="Q284" s="265">
        <f>+Q281-Q282-Q283</f>
        <v>3357450</v>
      </c>
      <c r="R284" s="233"/>
      <c r="S284" s="233"/>
      <c r="T284" s="265">
        <f>Q284/Q281*100</f>
        <v>94.317811513265099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6" t="s">
        <v>1758</v>
      </c>
      <c r="P285" s="1118"/>
      <c r="Q285" s="1206">
        <v>573437</v>
      </c>
      <c r="R285" s="1207"/>
      <c r="S285" s="1207"/>
      <c r="T285" s="1207"/>
      <c r="U285" s="1208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6" t="s">
        <v>1776</v>
      </c>
      <c r="P286" s="1117"/>
      <c r="Q286" s="1206"/>
      <c r="R286" s="1207"/>
      <c r="S286" s="1207"/>
      <c r="T286" s="1207"/>
      <c r="U286" s="1208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5" t="s">
        <v>1759</v>
      </c>
      <c r="P287" s="1006"/>
      <c r="Q287" s="1005">
        <f>+Q281+Q285+Q286</f>
        <v>4133157</v>
      </c>
      <c r="R287" s="1006"/>
      <c r="S287" s="1006"/>
      <c r="T287" s="1006"/>
      <c r="U287" s="100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1" t="s">
        <v>1777</v>
      </c>
      <c r="P288" s="1082"/>
      <c r="Q288" s="1083"/>
      <c r="R288" s="269"/>
      <c r="S288" s="270"/>
      <c r="T288" s="1216">
        <f>Q281/O311</f>
        <v>1.6684779721710978</v>
      </c>
      <c r="U288" s="1217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28" t="s">
        <v>1778</v>
      </c>
      <c r="P289" s="1029"/>
      <c r="Q289" s="271">
        <f>+BRAN!N158+BRAN!N199+BRAN!N283+BRAN!N307+BRAN!N338</f>
        <v>1528280</v>
      </c>
      <c r="R289" s="272"/>
      <c r="S289" s="272"/>
      <c r="T289" s="567">
        <f>+Q289/Q287*100</f>
        <v>36.976093576895337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6" t="s">
        <v>1779</v>
      </c>
      <c r="P290" s="1027"/>
      <c r="Q290" s="271">
        <f>+Q281-Q289</f>
        <v>2031440</v>
      </c>
      <c r="R290" s="269"/>
      <c r="S290" s="269"/>
      <c r="T290" s="568">
        <f>+Q290/$Q$287*100</f>
        <v>49.14983873102328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3" t="s">
        <v>1780</v>
      </c>
      <c r="P291" s="1024"/>
      <c r="Q291" s="775">
        <v>445000</v>
      </c>
      <c r="R291" s="515"/>
      <c r="S291" s="515"/>
      <c r="T291" s="568">
        <f>+Q291/$Q$287*100</f>
        <v>10.766588348809398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199"/>
      <c r="P292" s="1199"/>
      <c r="Q292" s="1199"/>
      <c r="T292" s="245"/>
      <c r="U292" s="214"/>
      <c r="V292" s="214"/>
    </row>
    <row r="293" spans="1:26" ht="17.25" customHeight="1" thickBot="1">
      <c r="A293" s="1056" t="s">
        <v>1697</v>
      </c>
      <c r="B293" s="1056"/>
      <c r="C293" s="295">
        <v>15</v>
      </c>
      <c r="D293" s="1055" t="s">
        <v>1698</v>
      </c>
      <c r="E293" s="1055"/>
      <c r="F293" s="1055"/>
      <c r="G293" s="1055"/>
      <c r="H293" s="1055"/>
      <c r="I293" s="1100"/>
      <c r="J293" s="1100"/>
      <c r="L293" s="1056" t="s">
        <v>1711</v>
      </c>
      <c r="M293" s="1056"/>
      <c r="N293" s="296">
        <v>15</v>
      </c>
      <c r="O293" s="1215" t="s">
        <v>1712</v>
      </c>
      <c r="P293" s="1215"/>
      <c r="Q293" s="1215"/>
      <c r="R293" s="1215"/>
      <c r="S293" s="1215"/>
      <c r="T293" s="1215"/>
      <c r="U293" s="1215"/>
      <c r="V293" s="210"/>
    </row>
    <row r="294" spans="1:26" ht="21.75" customHeight="1">
      <c r="A294" s="1130" t="s">
        <v>1696</v>
      </c>
      <c r="B294" s="1119" t="s">
        <v>2680</v>
      </c>
      <c r="C294" s="1120"/>
      <c r="D294" s="1120"/>
      <c r="E294" s="1120"/>
      <c r="F294" s="1120"/>
      <c r="G294" s="1120"/>
      <c r="H294" s="1121"/>
      <c r="I294" s="1108"/>
      <c r="J294" s="1108"/>
      <c r="K294" s="279"/>
      <c r="L294" s="1190" t="s">
        <v>1696</v>
      </c>
      <c r="M294" s="1191"/>
      <c r="N294" s="1091" t="s">
        <v>2679</v>
      </c>
      <c r="O294" s="1092"/>
      <c r="P294" s="1092"/>
      <c r="Q294" s="1092"/>
      <c r="R294" s="1092"/>
      <c r="S294" s="1092"/>
      <c r="T294" s="1092"/>
      <c r="U294" s="1093"/>
      <c r="V294" s="333"/>
      <c r="W294" s="332"/>
      <c r="X294" s="267"/>
      <c r="Y294" s="882"/>
      <c r="Z294" s="945"/>
    </row>
    <row r="295" spans="1:26" ht="25.5" customHeight="1">
      <c r="A295" s="1131"/>
      <c r="B295" s="789" t="s">
        <v>1704</v>
      </c>
      <c r="C295" s="789" t="s">
        <v>901</v>
      </c>
      <c r="D295" s="1109" t="s">
        <v>62</v>
      </c>
      <c r="E295" s="1110"/>
      <c r="F295" s="1109" t="s">
        <v>63</v>
      </c>
      <c r="G295" s="1132"/>
      <c r="H295" s="1133"/>
      <c r="I295" s="1100"/>
      <c r="J295" s="1100"/>
      <c r="K295" s="275"/>
      <c r="L295" s="1192"/>
      <c r="M295" s="1193"/>
      <c r="N295" s="789" t="s">
        <v>901</v>
      </c>
      <c r="O295" s="790" t="s">
        <v>48</v>
      </c>
      <c r="P295" s="1084" t="s">
        <v>902</v>
      </c>
      <c r="Q295" s="1194"/>
      <c r="R295" s="791"/>
      <c r="S295" s="791"/>
      <c r="T295" s="1084" t="s">
        <v>41</v>
      </c>
      <c r="U295" s="1085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BRAN!F153*25+8425</f>
        <v>8425</v>
      </c>
      <c r="C296" s="839">
        <f>+BRAN!F156+658950</f>
        <v>718250</v>
      </c>
      <c r="D296" s="1128">
        <f>BRAN!F154*25+BRAN!F155*40+4746050</f>
        <v>4994250</v>
      </c>
      <c r="E296" s="1129"/>
      <c r="F296" s="1102"/>
      <c r="G296" s="1103"/>
      <c r="H296" s="1104"/>
      <c r="I296" s="1107"/>
      <c r="J296" s="1108"/>
      <c r="K296" s="276"/>
      <c r="L296" s="792" t="s">
        <v>1705</v>
      </c>
      <c r="M296" s="793"/>
      <c r="N296" s="794">
        <f>+C296</f>
        <v>718250</v>
      </c>
      <c r="O296" s="795">
        <f>BRAN!O151+BRAN!O153</f>
        <v>7525</v>
      </c>
      <c r="P296" s="1111">
        <f>+BRAN!BC151-INTGRATE!O296-N296</f>
        <v>4485590</v>
      </c>
      <c r="Q296" s="1112"/>
      <c r="R296" s="796"/>
      <c r="S296" s="796"/>
      <c r="T296" s="1094"/>
      <c r="U296" s="1094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9.4698343092129988</v>
      </c>
      <c r="D297" s="1105">
        <f>D296/D308*100</f>
        <v>77.893791189895211</v>
      </c>
      <c r="E297" s="1106"/>
      <c r="F297" s="1086"/>
      <c r="G297" s="1097"/>
      <c r="H297" s="1098"/>
      <c r="I297" s="1099"/>
      <c r="J297" s="1100"/>
      <c r="K297" s="278"/>
      <c r="L297" s="797" t="s">
        <v>26</v>
      </c>
      <c r="M297" s="798"/>
      <c r="N297" s="799">
        <f>+N296/N308</f>
        <v>9.4698343092129988E-2</v>
      </c>
      <c r="O297" s="800">
        <f>O296/O308*100</f>
        <v>100</v>
      </c>
      <c r="P297" s="1101">
        <f>P296/P308*100</f>
        <v>61.083576807090481</v>
      </c>
      <c r="Q297" s="1095"/>
      <c r="R297" s="801"/>
      <c r="S297" s="801"/>
      <c r="T297" s="1020"/>
      <c r="U297" s="102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BRAN!F195*25</f>
        <v>0</v>
      </c>
      <c r="C298" s="842"/>
      <c r="D298" s="1088">
        <f>BRAN!F196*25+BRAN!F197*40+336100</f>
        <v>349825</v>
      </c>
      <c r="E298" s="1096"/>
      <c r="F298" s="1088"/>
      <c r="G298" s="1089"/>
      <c r="H298" s="1090"/>
      <c r="I298" s="724"/>
      <c r="J298" s="724"/>
      <c r="K298" s="723"/>
      <c r="L298" s="797" t="s">
        <v>1706</v>
      </c>
      <c r="M298" s="798"/>
      <c r="N298" s="802">
        <f>BRAN!O195</f>
        <v>0</v>
      </c>
      <c r="O298" s="803">
        <f>BRAN!O195</f>
        <v>0</v>
      </c>
      <c r="P298" s="1021">
        <f>BRAN!O196+BRAN!O197</f>
        <v>319550</v>
      </c>
      <c r="Q298" s="1022"/>
      <c r="R298" s="801"/>
      <c r="S298" s="801"/>
      <c r="T298" s="1214"/>
      <c r="U298" s="1214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6">
        <f>D298/D308*100</f>
        <v>5.4561136312769865</v>
      </c>
      <c r="E299" s="1087"/>
      <c r="F299" s="1086"/>
      <c r="G299" s="1097"/>
      <c r="H299" s="109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1">
        <f>P298/P308*100</f>
        <v>4.3515472811170355</v>
      </c>
      <c r="Q299" s="1095"/>
      <c r="R299" s="801"/>
      <c r="S299" s="801"/>
      <c r="T299" s="1020"/>
      <c r="U299" s="102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BRAN!F278*25</f>
        <v>0</v>
      </c>
      <c r="C300" s="842">
        <f>+BRAN!F282+314630</f>
        <v>340500</v>
      </c>
      <c r="D300" s="1088">
        <f>BRAN!F279*25+BRAN!F280*40+760000</f>
        <v>837165</v>
      </c>
      <c r="E300" s="1096"/>
      <c r="F300" s="1088"/>
      <c r="G300" s="1089"/>
      <c r="H300" s="1090"/>
      <c r="I300" s="569"/>
      <c r="J300" s="279"/>
      <c r="K300" s="279"/>
      <c r="L300" s="797" t="s">
        <v>1707</v>
      </c>
      <c r="M300" s="798"/>
      <c r="N300" s="802">
        <f>C300</f>
        <v>340500</v>
      </c>
      <c r="O300" s="803">
        <f>BRAN!O278</f>
        <v>0</v>
      </c>
      <c r="P300" s="1021">
        <f>+BRAN!O279-N300</f>
        <v>809725</v>
      </c>
      <c r="Q300" s="1022"/>
      <c r="R300" s="801"/>
      <c r="S300" s="801"/>
      <c r="T300" s="1214"/>
      <c r="U300" s="1214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4.4893540999471302</v>
      </c>
      <c r="D301" s="1086">
        <f>D300/D308*100</f>
        <v>13.057006698000425</v>
      </c>
      <c r="E301" s="1087"/>
      <c r="F301" s="1086"/>
      <c r="G301" s="1097"/>
      <c r="H301" s="1098"/>
      <c r="I301" s="569"/>
      <c r="J301" s="213"/>
      <c r="K301" s="213"/>
      <c r="L301" s="797" t="s">
        <v>26</v>
      </c>
      <c r="M301" s="798"/>
      <c r="N301" s="799">
        <f>+N300/N308</f>
        <v>4.48935409994713E-2</v>
      </c>
      <c r="O301" s="800">
        <v>0</v>
      </c>
      <c r="P301" s="1101">
        <f>P300/P308*100</f>
        <v>11.026620629643222</v>
      </c>
      <c r="Q301" s="1095"/>
      <c r="R301" s="801"/>
      <c r="S301" s="801"/>
      <c r="T301" s="1020"/>
      <c r="U301" s="102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BRAN!F302*25</f>
        <v>0</v>
      </c>
      <c r="C302" s="842">
        <f>+BRAN!F306</f>
        <v>0</v>
      </c>
      <c r="D302" s="1088">
        <f>BRAN!F303*25+BRAN!F304*40</f>
        <v>0</v>
      </c>
      <c r="E302" s="1096"/>
      <c r="F302" s="1088"/>
      <c r="G302" s="1089"/>
      <c r="H302" s="1090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BRAN!O302</f>
        <v>0</v>
      </c>
      <c r="P302" s="1021">
        <f>+BRAN!O303+BRAN!O304</f>
        <v>0</v>
      </c>
      <c r="Q302" s="1022"/>
      <c r="R302" s="801"/>
      <c r="S302" s="801"/>
      <c r="T302" s="1022"/>
      <c r="U302" s="1022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6">
        <f>D302/D308*100</f>
        <v>0</v>
      </c>
      <c r="E303" s="1087"/>
      <c r="F303" s="1086"/>
      <c r="G303" s="1097"/>
      <c r="H303" s="109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1">
        <f>P302/P308*100</f>
        <v>0</v>
      </c>
      <c r="Q303" s="1095"/>
      <c r="R303" s="801"/>
      <c r="S303" s="801"/>
      <c r="T303" s="1095"/>
      <c r="U303" s="1095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BRAN!F333*25</f>
        <v>0</v>
      </c>
      <c r="C304" s="842">
        <f>+BRAN!J336</f>
        <v>0</v>
      </c>
      <c r="D304" s="1088">
        <f>BRAN!F334*25+BRAN!F335*40+230375</f>
        <v>230375</v>
      </c>
      <c r="E304" s="1096"/>
      <c r="F304" s="1088"/>
      <c r="G304" s="1089"/>
      <c r="H304" s="1090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BRAN!O333</f>
        <v>0</v>
      </c>
      <c r="P304" s="1021">
        <f>+BRAN!O334+BRAN!O335</f>
        <v>225600</v>
      </c>
      <c r="Q304" s="1022"/>
      <c r="R304" s="801"/>
      <c r="S304" s="801"/>
      <c r="T304" s="1022"/>
      <c r="U304" s="1022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6">
        <f>D304/D308*100</f>
        <v>3.5930884808273738</v>
      </c>
      <c r="E305" s="1087"/>
      <c r="F305" s="1086"/>
      <c r="G305" s="1097"/>
      <c r="H305" s="109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1">
        <f>P304/P308*100</f>
        <v>3.0721610596776818</v>
      </c>
      <c r="Q305" s="1095"/>
      <c r="R305" s="801"/>
      <c r="S305" s="801"/>
      <c r="T305" s="1095"/>
      <c r="U305" s="1095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+F264+F106+6174980</f>
        <v>6525860</v>
      </c>
      <c r="D306" s="1088">
        <f>F103*25+F262*25</f>
        <v>0</v>
      </c>
      <c r="E306" s="1096"/>
      <c r="F306" s="1134">
        <f>F105*50+F263*50+F104*40+16089350</f>
        <v>17579300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6525860</v>
      </c>
      <c r="O306" s="803">
        <v>0</v>
      </c>
      <c r="P306" s="1021">
        <f>Q262+Q103+Q261+Q104</f>
        <v>1502900</v>
      </c>
      <c r="Q306" s="1022"/>
      <c r="R306" s="801"/>
      <c r="S306" s="801"/>
      <c r="T306" s="1022">
        <f>Q263+Q105</f>
        <v>17067200</v>
      </c>
      <c r="U306" s="1022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86.040811590839866</v>
      </c>
      <c r="D307" s="1152">
        <f>+D306/D308*100</f>
        <v>0</v>
      </c>
      <c r="E307" s="1153"/>
      <c r="F307" s="1152">
        <f>+F306/F308*100</f>
        <v>100</v>
      </c>
      <c r="G307" s="1187"/>
      <c r="H307" s="1188"/>
      <c r="I307" s="569"/>
      <c r="J307" s="279"/>
      <c r="K307" s="435"/>
      <c r="L307" s="805" t="s">
        <v>26</v>
      </c>
      <c r="M307" s="806"/>
      <c r="N307" s="807">
        <f>+N306/N308</f>
        <v>0.86040811590839872</v>
      </c>
      <c r="O307" s="800"/>
      <c r="P307" s="1154">
        <f>P306/P308*100</f>
        <v>20.466094222471579</v>
      </c>
      <c r="Q307" s="1155"/>
      <c r="R307" s="808"/>
      <c r="S307" s="808"/>
      <c r="T307" s="1155">
        <f>T306/T308*100</f>
        <v>100</v>
      </c>
      <c r="U307" s="1155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8425</v>
      </c>
      <c r="C308" s="850">
        <f>+C296+C298+C300+C302+C304+C306</f>
        <v>7584610</v>
      </c>
      <c r="D308" s="1164">
        <f>SUM(D296,D298,D300,D302,D304,D306)</f>
        <v>6411615</v>
      </c>
      <c r="E308" s="1165"/>
      <c r="F308" s="1164">
        <f>+F306</f>
        <v>17579300</v>
      </c>
      <c r="G308" s="1166"/>
      <c r="H308" s="1167"/>
      <c r="I308" s="570"/>
      <c r="J308" s="570"/>
      <c r="K308" s="570"/>
      <c r="L308" s="1145" t="s">
        <v>1703</v>
      </c>
      <c r="M308" s="1146"/>
      <c r="N308" s="809">
        <f>SUM(N296,N298,N300,N302,N304,N306)</f>
        <v>7584610</v>
      </c>
      <c r="O308" s="810">
        <f>SUM(O296,O298,O300,O302,O304,O306)</f>
        <v>7525</v>
      </c>
      <c r="P308" s="1171">
        <f>SUM(P296,P298,P300,P302,P304,P306)</f>
        <v>7343365</v>
      </c>
      <c r="Q308" s="1172"/>
      <c r="R308" s="811"/>
      <c r="S308" s="811"/>
      <c r="T308" s="1172">
        <f>SUM(T306)</f>
        <v>17067200</v>
      </c>
      <c r="U308" s="117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68">
        <f>+C308/D310*100</f>
        <v>24.014127428646511</v>
      </c>
      <c r="C309" s="1189"/>
      <c r="D309" s="1168">
        <f>D308/D310*100</f>
        <v>20.300231604976577</v>
      </c>
      <c r="E309" s="1189"/>
      <c r="F309" s="1168">
        <f>F308/D310*100</f>
        <v>55.65896602546546</v>
      </c>
      <c r="G309" s="1169"/>
      <c r="H309" s="1170"/>
      <c r="I309" s="571"/>
      <c r="J309" s="434"/>
      <c r="K309" s="434"/>
      <c r="L309" s="812" t="s">
        <v>1699</v>
      </c>
      <c r="M309" s="813"/>
      <c r="N309" s="814">
        <f>N308/O310*100</f>
        <v>23.699906570383124</v>
      </c>
      <c r="O309" s="815">
        <f>+O308/O310*100</f>
        <v>2.3513641036537542E-2</v>
      </c>
      <c r="P309" s="1143">
        <f>P308/O310*100</f>
        <v>22.946079549538005</v>
      </c>
      <c r="Q309" s="1144"/>
      <c r="R309" s="811"/>
      <c r="S309" s="811"/>
      <c r="T309" s="1144">
        <f>T308/O310*100</f>
        <v>53.330500239042337</v>
      </c>
      <c r="U309" s="1144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1" t="s">
        <v>1702</v>
      </c>
      <c r="B310" s="1162"/>
      <c r="C310" s="1163"/>
      <c r="D310" s="1181">
        <f>SUM(B308:F308)</f>
        <v>31583950</v>
      </c>
      <c r="E310" s="1182"/>
      <c r="F310" s="1182"/>
      <c r="G310" s="1182"/>
      <c r="H310" s="1183"/>
      <c r="I310" s="301"/>
      <c r="J310" s="301"/>
      <c r="K310" s="301"/>
      <c r="L310" s="1113" t="s">
        <v>1702</v>
      </c>
      <c r="M310" s="1114"/>
      <c r="N310" s="1115"/>
      <c r="O310" s="1015">
        <f>+N308+O308+P308+T308</f>
        <v>32002700</v>
      </c>
      <c r="P310" s="1015"/>
      <c r="Q310" s="1015"/>
      <c r="R310" s="1015"/>
      <c r="S310" s="1015"/>
      <c r="T310" s="1015"/>
      <c r="U310" s="1016"/>
      <c r="V310" s="816"/>
      <c r="W310" s="282"/>
      <c r="X310" s="218"/>
      <c r="Y310" s="977"/>
      <c r="Z310" s="939"/>
    </row>
    <row r="311" spans="1:34" s="281" customFormat="1" ht="19.5" customHeight="1" thickBot="1">
      <c r="A311" s="1178" t="s">
        <v>1701</v>
      </c>
      <c r="B311" s="1179"/>
      <c r="C311" s="1180"/>
      <c r="D311" s="1184">
        <f>D310/C293</f>
        <v>2105596.6666666665</v>
      </c>
      <c r="E311" s="1185"/>
      <c r="F311" s="1185"/>
      <c r="G311" s="1185"/>
      <c r="H311" s="1186"/>
      <c r="I311" s="280"/>
      <c r="J311" s="425"/>
      <c r="K311" s="425"/>
      <c r="L311" s="1137" t="s">
        <v>1710</v>
      </c>
      <c r="M311" s="1138"/>
      <c r="N311" s="1139"/>
      <c r="O311" s="1012">
        <f>O310/N293</f>
        <v>2133513.3333333335</v>
      </c>
      <c r="P311" s="1013"/>
      <c r="Q311" s="1013"/>
      <c r="R311" s="1013"/>
      <c r="S311" s="1013"/>
      <c r="T311" s="1013"/>
      <c r="U311" s="1014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6" t="s">
        <v>1713</v>
      </c>
      <c r="B313" s="1142" t="s">
        <v>1714</v>
      </c>
      <c r="C313" s="1142"/>
      <c r="D313" s="1142"/>
      <c r="E313" s="1149" t="s">
        <v>1718</v>
      </c>
      <c r="F313" s="1149"/>
      <c r="G313" s="1140" t="s">
        <v>1721</v>
      </c>
      <c r="H313" s="1150" t="s">
        <v>1722</v>
      </c>
      <c r="I313" s="1147" t="s">
        <v>1723</v>
      </c>
      <c r="J313" s="426"/>
      <c r="K313" s="426"/>
      <c r="M313" s="1140" t="s">
        <v>1721</v>
      </c>
      <c r="N313" s="1156" t="s">
        <v>1713</v>
      </c>
      <c r="O313" s="1142" t="s">
        <v>1714</v>
      </c>
      <c r="P313" s="1142"/>
      <c r="Q313" s="1142"/>
      <c r="R313" s="1203" t="s">
        <v>1718</v>
      </c>
      <c r="S313" s="1204"/>
      <c r="T313" s="1204"/>
      <c r="U313" s="1204"/>
      <c r="V313" s="1205"/>
      <c r="W313" s="1212" t="s">
        <v>1722</v>
      </c>
      <c r="X313" s="1201" t="s">
        <v>1826</v>
      </c>
      <c r="Y313" s="1019" t="s">
        <v>1724</v>
      </c>
      <c r="Z313" s="1017" t="s">
        <v>1827</v>
      </c>
      <c r="AA313" s="1032" t="s">
        <v>1725</v>
      </c>
      <c r="AB313" s="1001" t="s">
        <v>1726</v>
      </c>
      <c r="AC313" s="1002"/>
      <c r="AD313" s="1002"/>
      <c r="AE313" s="1003"/>
      <c r="AF313" s="935"/>
      <c r="AG313" s="935"/>
      <c r="AH313" s="935"/>
    </row>
    <row r="314" spans="1:34" s="267" customFormat="1" ht="27.75" customHeight="1">
      <c r="A314" s="1157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1"/>
      <c r="I314" s="1148"/>
      <c r="J314" s="426"/>
      <c r="K314" s="426"/>
      <c r="L314" s="882"/>
      <c r="M314" s="1141"/>
      <c r="N314" s="1157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3"/>
      <c r="X314" s="1202"/>
      <c r="Y314" s="1019"/>
      <c r="Z314" s="1018"/>
      <c r="AA314" s="1033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13530</v>
      </c>
      <c r="AH314" s="967"/>
    </row>
    <row r="315" spans="1:34" s="210" customFormat="1" ht="15" customHeight="1">
      <c r="A315" s="313">
        <f>SUM(BRAN!N21,BRAN!N40:N41,BRAN!N145:N150,BRAN!N167:N168,BRAN!N189:N191,BRAN!N194)+BRAN!N235+BRAN!N236+BRAN!N237+BRAN!N238+BRAN!M246+BRAN!N331+BRAN!N328+BRAN!N329+BRAN!N330</f>
        <v>121150</v>
      </c>
      <c r="B315" s="285">
        <f>+SUM(P118:P145)+SUM(BRAN!N296,BRAN!N252:N256,BRAN!N178,BRAN!N89:N109,BRAN!N36:N38,BRAN!N16,BRAN!N18:N20)+SUM(X136:X145)*50+BRAN!N262+BRAN!N181+BRAN!N183+BRAN!N123+BRAN!N118</f>
        <v>1017730</v>
      </c>
      <c r="C315" s="285">
        <f>SUM(P146:P173)+SUM(BRAN!N23:N24,BRAN!N39,BRAN!N110:N132,BRAN!N179:N185,BRAN!N257:N266,BRAN!N297:N299,BRAN!N325:N327)-BRAN!N123-BRAN!N118-BRAN!N181-BRAN!N183-BRAN!N262</f>
        <v>1206325</v>
      </c>
      <c r="D315" s="285">
        <f>SUM(P174:P195)+SUM(BRAN!N300:N301,BRAN!N267:N275,BRAN!N186:N188,BRAN!N133:N144,BRAN!N25)+SUM(X174:X195)*50+BRAN!N13</f>
        <v>389550</v>
      </c>
      <c r="E315" s="285">
        <f>SUM(P10:P45,P62:P68)+SUM(BRAN!N42:N60,BRAN!N169,BRAN!N318,BRAN!N17)+SUM(BRAN!U42:U61)*25+BRAN!N170+BRAN!N219+BRAN!N230+BRAN!N225+BRAN!N223</f>
        <v>406125</v>
      </c>
      <c r="F315" s="285">
        <f>SUM(P46:P55)+SUM(BRAN!N208:N218,BRAN!N64:N75,BRAN!N30:N35)+BRAN!N316+BRAN!N319+BRAN!N295</f>
        <v>185275</v>
      </c>
      <c r="G315" s="285">
        <f>+SUM(BRAN!N192:N193)+BRAN!N332</f>
        <v>9275</v>
      </c>
      <c r="H315" s="285">
        <f>SUM(BRAN!N26:N29,BRAN!N234)+BRAN!N62</f>
        <v>58875</v>
      </c>
      <c r="I315" s="718">
        <f>SUM(BRAN!N76:N88,BRAN!N171:N177,BRAN!N247:N251,BRAN!N276:N277,BRAN!N321:N322)+SUM(P69:P73,P55:P61)</f>
        <v>117225</v>
      </c>
      <c r="J315" s="240"/>
      <c r="K315" s="240"/>
      <c r="L315" s="931">
        <f>SUM(A315:I315)</f>
        <v>3511530</v>
      </c>
      <c r="M315" s="284">
        <f>+BRAN!BF26</f>
        <v>12600</v>
      </c>
      <c r="N315" s="284">
        <f>+BRAN!BF25</f>
        <v>529820</v>
      </c>
      <c r="O315" s="566">
        <f>BRAN!BF15+BI135</f>
        <v>4924310</v>
      </c>
      <c r="P315" s="285">
        <f>+BI136+BRAN!BF16</f>
        <v>19177810</v>
      </c>
      <c r="Q315" s="285">
        <f>BI145+BRAN!BF17</f>
        <v>3566880</v>
      </c>
      <c r="R315" s="285"/>
      <c r="S315" s="285"/>
      <c r="T315" s="285">
        <f>BRAN!BF21+BRAN!BF18+BI10</f>
        <v>1932690</v>
      </c>
      <c r="U315" s="285">
        <f>+BRAN!BF20+BI11</f>
        <v>454550</v>
      </c>
      <c r="V315" s="836">
        <f>+BI12</f>
        <v>0</v>
      </c>
      <c r="W315" s="285">
        <f>+BRAN!BF24</f>
        <v>190745</v>
      </c>
      <c r="X315" s="503">
        <f>BK20+BRAN!BI22</f>
        <v>1199765</v>
      </c>
      <c r="Y315" s="946">
        <f>SUM(S119)+SUM(BRAN!Q13)</f>
        <v>0</v>
      </c>
      <c r="Z315" s="946">
        <f>+BRAN!BF29</f>
        <v>0</v>
      </c>
      <c r="AA315" s="453">
        <f>+BRAN!Q208+BRAN!Q14+BRAN!Q168+BRAN!Q326</f>
        <v>485105</v>
      </c>
      <c r="AB315" s="424">
        <f>+BRAN!Q321+BRAN!Q297+BRAN!Q218+BRAN!Q219+BRAN!Q169+BRAN!Q170+BRAN!Q19+BRAN!Q15+INTGRATE!S128+INTGRATE!S13</f>
        <v>1533110</v>
      </c>
      <c r="AC315" s="424">
        <f>S131+BRAN!Q325+BRAN!Q298+BRAN!Q234+BRAN!Q171+BRAN!Q17</f>
        <v>3472730</v>
      </c>
      <c r="AD315" s="424">
        <f>BRAN!Q18+BRAN!Q327+BRAN!Q235+BRAN!Q300+S16</f>
        <v>843225</v>
      </c>
      <c r="AE315" s="424">
        <f>S144+S19+BRAN!Q16+BRAN!Q172+BRAN!Q247+BRAN!Q299+BRAN!Q322</f>
        <v>25668530</v>
      </c>
      <c r="AF315" s="675">
        <f>SUM(M315:X315)</f>
        <v>31989170</v>
      </c>
      <c r="AG315" s="968">
        <f>SUM(Y315:AE315)</f>
        <v>32002700</v>
      </c>
      <c r="AH315" s="968">
        <f>AG315-AF315</f>
        <v>13530</v>
      </c>
    </row>
    <row r="316" spans="1:34" s="830" customFormat="1" ht="15" customHeight="1" thickBot="1">
      <c r="A316" s="827">
        <f>A315/$L$315</f>
        <v>3.4500630779176027E-2</v>
      </c>
      <c r="B316" s="827">
        <f t="shared" ref="B316:I316" si="98">B315/$L$315</f>
        <v>0.28982523287569806</v>
      </c>
      <c r="C316" s="827">
        <f t="shared" si="98"/>
        <v>0.343532591206682</v>
      </c>
      <c r="D316" s="827">
        <f t="shared" si="98"/>
        <v>0.11093454989705342</v>
      </c>
      <c r="E316" s="827">
        <f t="shared" si="98"/>
        <v>0.11565471461157957</v>
      </c>
      <c r="F316" s="827">
        <f t="shared" si="98"/>
        <v>5.2761901507320172E-2</v>
      </c>
      <c r="G316" s="827">
        <f t="shared" si="98"/>
        <v>2.6412988070727006E-3</v>
      </c>
      <c r="H316" s="827">
        <f t="shared" si="98"/>
        <v>1.6766195931687898E-2</v>
      </c>
      <c r="I316" s="827">
        <f t="shared" si="98"/>
        <v>3.3382884383730167E-2</v>
      </c>
      <c r="J316" s="828"/>
      <c r="K316" s="828"/>
      <c r="L316" s="883"/>
      <c r="M316" s="827">
        <f>M315/$O$310</f>
        <v>3.9371678014667514E-4</v>
      </c>
      <c r="N316" s="827">
        <f t="shared" ref="N316:X316" si="99">N315/$O$310</f>
        <v>1.6555478131532651E-2</v>
      </c>
      <c r="O316" s="827">
        <f t="shared" si="99"/>
        <v>0.15387170457492649</v>
      </c>
      <c r="P316" s="827">
        <f t="shared" si="99"/>
        <v>0.59925600027497683</v>
      </c>
      <c r="Q316" s="827">
        <f t="shared" si="99"/>
        <v>0.11145559593409306</v>
      </c>
      <c r="R316" s="827">
        <f t="shared" si="99"/>
        <v>0</v>
      </c>
      <c r="S316" s="827">
        <f t="shared" si="99"/>
        <v>0</v>
      </c>
      <c r="T316" s="827">
        <f t="shared" si="99"/>
        <v>6.0391466969974411E-2</v>
      </c>
      <c r="U316" s="827">
        <f t="shared" si="99"/>
        <v>1.4203489080608823E-2</v>
      </c>
      <c r="V316" s="827">
        <f t="shared" si="99"/>
        <v>0</v>
      </c>
      <c r="W316" s="827">
        <f t="shared" si="99"/>
        <v>5.9602783515140907E-3</v>
      </c>
      <c r="X316" s="871">
        <f t="shared" si="99"/>
        <v>3.7489493074021878E-2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1.5158252272464512E-2</v>
      </c>
      <c r="AB316" s="829">
        <f t="shared" si="100"/>
        <v>4.7905645461164215E-2</v>
      </c>
      <c r="AC316" s="829">
        <f t="shared" si="100"/>
        <v>0.1085136566602193</v>
      </c>
      <c r="AD316" s="829">
        <f t="shared" si="100"/>
        <v>2.6348558090411121E-2</v>
      </c>
      <c r="AE316" s="829">
        <f t="shared" si="100"/>
        <v>0.80207388751574082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4"/>
      <c r="M317" s="1004"/>
      <c r="N317" s="1004"/>
      <c r="O317" s="1004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1928990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F108+F266+BRAN!F158+BRAN!F199+BRAN!F283+BRAN!F307+BRAN!F338</f>
        <v>1928990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H30" sqref="H30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5">
        <f>[2]BRAN!N3</f>
        <v>41756</v>
      </c>
      <c r="P3" s="1275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0" t="s">
        <v>97</v>
      </c>
      <c r="B7" s="1280"/>
      <c r="C7" s="1280"/>
      <c r="D7" s="1280"/>
      <c r="E7" s="1280"/>
      <c r="F7" s="1280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0" t="s">
        <v>98</v>
      </c>
      <c r="B8" s="1280"/>
      <c r="C8" s="1280"/>
      <c r="D8" s="1280"/>
      <c r="E8" s="1280"/>
      <c r="F8" s="1280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0" t="s">
        <v>99</v>
      </c>
      <c r="B9" s="1280"/>
      <c r="C9" s="1280"/>
      <c r="D9" s="1280"/>
      <c r="E9" s="1280"/>
      <c r="F9" s="1280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58">
        <f>+BRAN!O3</f>
        <v>46158</v>
      </c>
      <c r="Q9" s="1158"/>
      <c r="R9" s="115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6" t="s">
        <v>1806</v>
      </c>
      <c r="B13" s="1276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76"/>
      <c r="Q13" s="1276"/>
      <c r="R13" s="1276"/>
    </row>
    <row r="14" spans="1:19" ht="17.25" customHeight="1">
      <c r="A14" s="1277" t="s">
        <v>1807</v>
      </c>
      <c r="B14" s="1277"/>
      <c r="C14" s="1277"/>
      <c r="D14" s="1277"/>
      <c r="E14" s="1277"/>
      <c r="F14" s="1277"/>
      <c r="G14" s="1277"/>
      <c r="H14" s="1277"/>
      <c r="I14" s="1277"/>
      <c r="J14" s="1277"/>
      <c r="K14" s="1277"/>
      <c r="L14" s="1277"/>
      <c r="M14" s="1277"/>
      <c r="N14" s="1277"/>
      <c r="O14" s="1277"/>
      <c r="P14" s="1277"/>
      <c r="Q14" s="1277"/>
      <c r="R14" s="1277"/>
    </row>
    <row r="15" spans="1:19" ht="13.7" customHeight="1">
      <c r="A15" s="303"/>
      <c r="B15" s="1278"/>
      <c r="C15" s="1278"/>
      <c r="D15" s="1278"/>
      <c r="E15" s="1278"/>
      <c r="F15" s="1278"/>
      <c r="G15" s="1279"/>
      <c r="H15" s="1279"/>
      <c r="I15" s="1279"/>
      <c r="J15" s="1279"/>
      <c r="K15" s="1279"/>
      <c r="L15" s="1279"/>
      <c r="M15" s="1279"/>
      <c r="N15" s="1279"/>
      <c r="O15" s="1279"/>
      <c r="P15" s="1278"/>
      <c r="Q15" s="1278"/>
      <c r="R15" s="1278"/>
    </row>
    <row r="16" spans="1:19" s="28" customFormat="1" ht="30.75" customHeight="1">
      <c r="A16" s="1270" t="s">
        <v>1700</v>
      </c>
      <c r="B16" s="1258" t="s">
        <v>1676</v>
      </c>
      <c r="C16" s="1258" t="s">
        <v>1677</v>
      </c>
      <c r="D16" s="1255" t="s">
        <v>1769</v>
      </c>
      <c r="E16" s="855" t="s">
        <v>0</v>
      </c>
      <c r="F16" s="1273" t="s">
        <v>1792</v>
      </c>
      <c r="G16" s="1268" t="s">
        <v>1794</v>
      </c>
      <c r="H16" s="1269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6" t="s">
        <v>1801</v>
      </c>
      <c r="R16" s="1264" t="s">
        <v>2</v>
      </c>
    </row>
    <row r="17" spans="1:254" s="28" customFormat="1" ht="30.75" customHeight="1">
      <c r="A17" s="1271"/>
      <c r="B17" s="1259"/>
      <c r="C17" s="1259"/>
      <c r="D17" s="1256" t="s">
        <v>3</v>
      </c>
      <c r="E17" s="856" t="s">
        <v>1679</v>
      </c>
      <c r="F17" s="1274"/>
      <c r="G17" s="1261" t="s">
        <v>1795</v>
      </c>
      <c r="H17" s="1262"/>
      <c r="I17" s="859" t="s">
        <v>1793</v>
      </c>
      <c r="J17" s="859"/>
      <c r="K17" s="859"/>
      <c r="L17" s="859"/>
      <c r="M17" s="860" t="s">
        <v>5</v>
      </c>
      <c r="N17" s="1261" t="s">
        <v>1798</v>
      </c>
      <c r="O17" s="1262"/>
      <c r="P17" s="863" t="s">
        <v>1799</v>
      </c>
      <c r="Q17" s="1267"/>
      <c r="R17" s="1265"/>
    </row>
    <row r="18" spans="1:254" s="28" customFormat="1" ht="30.75" customHeight="1">
      <c r="A18" s="1272"/>
      <c r="B18" s="1260"/>
      <c r="C18" s="1260"/>
      <c r="D18" s="1257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1912</v>
      </c>
      <c r="C19" s="590" t="s">
        <v>1550</v>
      </c>
      <c r="D19" s="525">
        <v>25</v>
      </c>
      <c r="E19" s="525"/>
      <c r="F19" s="934" t="s">
        <v>2676</v>
      </c>
      <c r="G19" s="525"/>
      <c r="H19" s="525">
        <f>+G19*D19</f>
        <v>0</v>
      </c>
      <c r="I19" s="525"/>
      <c r="J19" s="525">
        <f t="shared" ref="J19:J22" si="0">+I19*D19</f>
        <v>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15550</v>
      </c>
      <c r="Q19" s="574" t="s">
        <v>2678</v>
      </c>
      <c r="R19" s="591" t="s">
        <v>2677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>
        <v>15550</v>
      </c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>
        <v>0</v>
      </c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>
        <v>0</v>
      </c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>
        <v>0</v>
      </c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63" t="s">
        <v>1804</v>
      </c>
      <c r="B23" s="1263"/>
      <c r="C23" s="1263"/>
      <c r="D23" s="1263"/>
      <c r="E23" s="307">
        <f>SUM(E19:E21)</f>
        <v>0</v>
      </c>
      <c r="F23" s="307"/>
      <c r="G23" s="307"/>
      <c r="H23" s="307"/>
      <c r="I23" s="307">
        <f>SUM(I19:I22)</f>
        <v>0</v>
      </c>
      <c r="J23" s="307">
        <f>SUM(J19:J22)</f>
        <v>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15550</v>
      </c>
      <c r="Q23" s="308"/>
      <c r="R23" s="308"/>
      <c r="S23" s="118"/>
      <c r="T23" s="1252">
        <f t="shared" ref="T23:AX23" si="4">SUM(T19:T21)</f>
        <v>0</v>
      </c>
      <c r="U23" s="1252">
        <f t="shared" si="4"/>
        <v>0</v>
      </c>
      <c r="V23" s="1252">
        <f t="shared" si="4"/>
        <v>0</v>
      </c>
      <c r="W23" s="1252">
        <f t="shared" si="4"/>
        <v>0</v>
      </c>
      <c r="X23" s="1252">
        <f t="shared" si="4"/>
        <v>0</v>
      </c>
      <c r="Y23" s="1252">
        <f t="shared" si="4"/>
        <v>0</v>
      </c>
      <c r="Z23" s="1252">
        <f t="shared" si="4"/>
        <v>0</v>
      </c>
      <c r="AA23" s="1252">
        <f t="shared" si="4"/>
        <v>0</v>
      </c>
      <c r="AB23" s="1252">
        <f t="shared" si="4"/>
        <v>0</v>
      </c>
      <c r="AC23" s="1252">
        <f t="shared" si="4"/>
        <v>0</v>
      </c>
      <c r="AD23" s="1252">
        <f t="shared" si="4"/>
        <v>0</v>
      </c>
      <c r="AE23" s="1252">
        <f t="shared" si="4"/>
        <v>0</v>
      </c>
      <c r="AF23" s="1252">
        <f t="shared" si="4"/>
        <v>0</v>
      </c>
      <c r="AG23" s="1252">
        <f t="shared" si="4"/>
        <v>15550</v>
      </c>
      <c r="AH23" s="1252">
        <f t="shared" si="4"/>
        <v>0</v>
      </c>
      <c r="AI23" s="1252">
        <f t="shared" si="4"/>
        <v>0</v>
      </c>
      <c r="AJ23" s="1252">
        <f t="shared" si="4"/>
        <v>0</v>
      </c>
      <c r="AK23" s="1252">
        <f t="shared" si="4"/>
        <v>0</v>
      </c>
      <c r="AL23" s="1252">
        <f t="shared" si="4"/>
        <v>0</v>
      </c>
      <c r="AM23" s="1252">
        <f t="shared" si="4"/>
        <v>0</v>
      </c>
      <c r="AN23" s="1252">
        <f t="shared" si="4"/>
        <v>0</v>
      </c>
      <c r="AO23" s="1252">
        <f t="shared" si="4"/>
        <v>0</v>
      </c>
      <c r="AP23" s="1252">
        <f t="shared" si="4"/>
        <v>0</v>
      </c>
      <c r="AQ23" s="1252">
        <f t="shared" si="4"/>
        <v>0</v>
      </c>
      <c r="AR23" s="1252">
        <f t="shared" si="4"/>
        <v>0</v>
      </c>
      <c r="AS23" s="1252">
        <f t="shared" si="4"/>
        <v>0</v>
      </c>
      <c r="AT23" s="1252">
        <f t="shared" si="4"/>
        <v>0</v>
      </c>
      <c r="AU23" s="1252">
        <f t="shared" si="4"/>
        <v>0</v>
      </c>
      <c r="AV23" s="1252">
        <f t="shared" si="4"/>
        <v>0</v>
      </c>
      <c r="AW23" s="1252">
        <f t="shared" si="4"/>
        <v>0</v>
      </c>
      <c r="AX23" s="1252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54" t="s">
        <v>1805</v>
      </c>
      <c r="B24" s="1254"/>
      <c r="C24" s="1254"/>
      <c r="D24" s="1254"/>
      <c r="E24" s="366">
        <f>+E23*D19</f>
        <v>0</v>
      </c>
      <c r="F24" s="366"/>
      <c r="G24" s="366"/>
      <c r="H24" s="366"/>
      <c r="I24" s="366">
        <f>+I23</f>
        <v>0</v>
      </c>
      <c r="J24" s="366">
        <f>+J23</f>
        <v>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15550</v>
      </c>
      <c r="Q24" s="366"/>
      <c r="R24" s="366"/>
      <c r="S24" s="19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1253"/>
      <c r="AO24" s="1253"/>
      <c r="AP24" s="1253"/>
      <c r="AQ24" s="1253"/>
      <c r="AR24" s="1253"/>
      <c r="AS24" s="1253"/>
      <c r="AT24" s="1253"/>
      <c r="AU24" s="1253"/>
      <c r="AV24" s="1253"/>
      <c r="AW24" s="1253"/>
      <c r="AX24" s="1253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2494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2483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2477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2485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2493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2155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2492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2491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1977</v>
      </c>
      <c r="C734" s="439" t="s">
        <v>1977</v>
      </c>
      <c r="D734" s="438" t="s">
        <v>1978</v>
      </c>
      <c r="E734" s="447" t="s">
        <v>1967</v>
      </c>
      <c r="F734" s="17">
        <v>40</v>
      </c>
    </row>
    <row r="735" spans="2:6">
      <c r="B735" s="439" t="s">
        <v>1981</v>
      </c>
      <c r="C735" s="439">
        <v>21135250000125</v>
      </c>
      <c r="D735" s="438" t="s">
        <v>1979</v>
      </c>
      <c r="E735" s="448" t="s">
        <v>1980</v>
      </c>
      <c r="F735" s="17">
        <v>25</v>
      </c>
    </row>
    <row r="736" spans="2:6">
      <c r="B736" s="439" t="s">
        <v>2457</v>
      </c>
      <c r="C736" s="439">
        <v>21135240116100</v>
      </c>
      <c r="D736" s="438" t="s">
        <v>2456</v>
      </c>
      <c r="E736" s="447" t="s">
        <v>2458</v>
      </c>
      <c r="F736" s="17" t="s">
        <v>901</v>
      </c>
    </row>
    <row r="737" spans="2:6">
      <c r="B737" s="439" t="s">
        <v>2460</v>
      </c>
      <c r="C737" s="439">
        <v>21115221661100</v>
      </c>
      <c r="D737" s="438" t="s">
        <v>2459</v>
      </c>
      <c r="E737" s="448" t="s">
        <v>2461</v>
      </c>
      <c r="F737" s="17" t="s">
        <v>901</v>
      </c>
    </row>
    <row r="738" spans="2:6">
      <c r="B738" s="439" t="s">
        <v>2464</v>
      </c>
      <c r="C738" s="439">
        <v>21165510000125</v>
      </c>
      <c r="D738" s="438" t="s">
        <v>2463</v>
      </c>
      <c r="E738" s="447">
        <v>6951</v>
      </c>
      <c r="F738" s="17">
        <v>25</v>
      </c>
    </row>
    <row r="739" spans="2:6">
      <c r="B739" s="439" t="s">
        <v>2467</v>
      </c>
      <c r="C739" s="439">
        <v>21135491600125</v>
      </c>
      <c r="D739" s="438" t="s">
        <v>2466</v>
      </c>
      <c r="E739" s="447" t="s">
        <v>2465</v>
      </c>
      <c r="F739" s="17">
        <v>25</v>
      </c>
    </row>
    <row r="740" spans="2:6">
      <c r="B740" s="439" t="s">
        <v>2468</v>
      </c>
      <c r="C740" s="439">
        <v>21115510099250</v>
      </c>
      <c r="D740" s="438" t="s">
        <v>1269</v>
      </c>
      <c r="E740" s="448" t="s">
        <v>2469</v>
      </c>
      <c r="F740" s="17">
        <v>50</v>
      </c>
    </row>
    <row r="741" spans="2:6">
      <c r="B741" s="439" t="s">
        <v>2472</v>
      </c>
      <c r="C741" s="439">
        <v>21115517599250</v>
      </c>
      <c r="D741" s="438" t="s">
        <v>975</v>
      </c>
      <c r="E741" s="448" t="s">
        <v>2471</v>
      </c>
      <c r="F741" s="17">
        <v>50</v>
      </c>
    </row>
    <row r="742" spans="2:6">
      <c r="B742" s="439" t="s">
        <v>2473</v>
      </c>
      <c r="C742" s="439" t="s">
        <v>2473</v>
      </c>
      <c r="D742" s="438" t="s">
        <v>2474</v>
      </c>
      <c r="E742" s="448" t="s">
        <v>2310</v>
      </c>
      <c r="F742" s="17">
        <v>50</v>
      </c>
    </row>
    <row r="743" spans="2:6">
      <c r="B743" s="439" t="s">
        <v>2476</v>
      </c>
      <c r="C743" s="439">
        <v>21115521300100</v>
      </c>
      <c r="D743" s="438" t="s">
        <v>2475</v>
      </c>
      <c r="E743" s="448" t="s">
        <v>123</v>
      </c>
      <c r="F743" s="16" t="s">
        <v>81</v>
      </c>
    </row>
    <row r="744" spans="2:6">
      <c r="B744" s="439" t="s">
        <v>2490</v>
      </c>
      <c r="C744" s="439">
        <v>21135662400125</v>
      </c>
      <c r="D744" s="438" t="s">
        <v>2489</v>
      </c>
      <c r="E744" s="448" t="s">
        <v>1519</v>
      </c>
      <c r="F744" s="17">
        <v>25</v>
      </c>
    </row>
    <row r="745" spans="2:6">
      <c r="B745" s="439" t="s">
        <v>2610</v>
      </c>
      <c r="C745" s="439">
        <v>21115517599250</v>
      </c>
      <c r="D745" s="438" t="s">
        <v>975</v>
      </c>
      <c r="E745" s="448" t="s">
        <v>2611</v>
      </c>
      <c r="F745" s="17">
        <v>50</v>
      </c>
    </row>
    <row r="746" spans="2:6">
      <c r="B746" s="439" t="s">
        <v>2612</v>
      </c>
      <c r="C746" s="439">
        <v>21115510099250</v>
      </c>
      <c r="D746" s="438" t="s">
        <v>1269</v>
      </c>
      <c r="E746" s="448" t="s">
        <v>2614</v>
      </c>
      <c r="F746" s="17">
        <v>50</v>
      </c>
    </row>
    <row r="747" spans="2:6">
      <c r="B747" s="439" t="s">
        <v>2613</v>
      </c>
      <c r="C747" s="439">
        <v>21115521999250</v>
      </c>
      <c r="D747" s="438" t="s">
        <v>942</v>
      </c>
      <c r="E747" s="448" t="s">
        <v>2608</v>
      </c>
      <c r="F747" s="17">
        <v>50</v>
      </c>
    </row>
    <row r="748" spans="2:6">
      <c r="B748" s="439" t="s">
        <v>2617</v>
      </c>
      <c r="C748" s="439">
        <v>21165512400125</v>
      </c>
      <c r="D748" s="438" t="s">
        <v>2615</v>
      </c>
      <c r="E748" s="448" t="s">
        <v>2616</v>
      </c>
      <c r="F748" s="17">
        <v>25</v>
      </c>
    </row>
    <row r="749" spans="2:6">
      <c r="B749" s="439" t="s">
        <v>2621</v>
      </c>
      <c r="C749" s="439">
        <v>21135117216125</v>
      </c>
      <c r="D749" s="438" t="s">
        <v>2620</v>
      </c>
      <c r="E749" s="448" t="s">
        <v>2618</v>
      </c>
      <c r="F749" s="17">
        <v>25</v>
      </c>
    </row>
    <row r="750" spans="2:6">
      <c r="B750" s="439" t="s">
        <v>2622</v>
      </c>
      <c r="C750" s="439">
        <v>21115510099300</v>
      </c>
      <c r="D750" s="438" t="s">
        <v>1297</v>
      </c>
      <c r="E750" s="448" t="s">
        <v>2614</v>
      </c>
      <c r="F750" s="16" t="s">
        <v>81</v>
      </c>
    </row>
    <row r="751" spans="2:6">
      <c r="B751" s="439" t="s">
        <v>2626</v>
      </c>
      <c r="C751" s="439">
        <v>21115502416100</v>
      </c>
      <c r="D751" s="438" t="s">
        <v>2624</v>
      </c>
      <c r="E751" s="448" t="s">
        <v>2627</v>
      </c>
      <c r="F751" s="16" t="s">
        <v>81</v>
      </c>
    </row>
    <row r="752" spans="2:6">
      <c r="B752" s="439" t="s">
        <v>2628</v>
      </c>
      <c r="C752" s="439">
        <v>21115620099250</v>
      </c>
      <c r="D752" s="438" t="s">
        <v>2625</v>
      </c>
      <c r="E752" s="448" t="s">
        <v>2623</v>
      </c>
      <c r="F752" s="17">
        <v>50</v>
      </c>
    </row>
    <row r="753" spans="2:6">
      <c r="B753" s="439" t="s">
        <v>2630</v>
      </c>
      <c r="C753" s="439">
        <v>21115501600210</v>
      </c>
      <c r="D753" s="438" t="s">
        <v>2629</v>
      </c>
      <c r="E753" s="448" t="s">
        <v>2494</v>
      </c>
      <c r="F753" s="17">
        <v>10</v>
      </c>
    </row>
    <row r="754" spans="2:6">
      <c r="B754" s="439" t="s">
        <v>2634</v>
      </c>
      <c r="C754" s="439">
        <v>21115517599300</v>
      </c>
      <c r="D754" s="438" t="s">
        <v>974</v>
      </c>
      <c r="E754" s="448" t="s">
        <v>2611</v>
      </c>
      <c r="F754" s="16" t="s">
        <v>81</v>
      </c>
    </row>
    <row r="755" spans="2:6">
      <c r="B755" s="439" t="s">
        <v>2631</v>
      </c>
      <c r="C755" s="439" t="s">
        <v>2631</v>
      </c>
      <c r="D755" s="438" t="s">
        <v>2632</v>
      </c>
      <c r="E755" s="448" t="s">
        <v>2633</v>
      </c>
      <c r="F755" s="17">
        <v>40</v>
      </c>
    </row>
    <row r="756" spans="2:6">
      <c r="B756" s="439" t="s">
        <v>2635</v>
      </c>
      <c r="C756" s="439" t="s">
        <v>2635</v>
      </c>
      <c r="D756" s="438" t="s">
        <v>2636</v>
      </c>
      <c r="E756" s="448" t="s">
        <v>2640</v>
      </c>
      <c r="F756" s="16" t="s">
        <v>81</v>
      </c>
    </row>
    <row r="757" spans="2:6">
      <c r="B757" s="439" t="s">
        <v>2641</v>
      </c>
      <c r="C757" s="439">
        <v>21115507800100</v>
      </c>
      <c r="D757" s="438" t="s">
        <v>2637</v>
      </c>
      <c r="E757" s="448" t="s">
        <v>1649</v>
      </c>
      <c r="F757" s="16" t="s">
        <v>901</v>
      </c>
    </row>
    <row r="758" spans="2:6">
      <c r="B758" s="439" t="s">
        <v>2642</v>
      </c>
      <c r="C758" s="439">
        <v>21115517524125</v>
      </c>
      <c r="D758" s="438" t="s">
        <v>2638</v>
      </c>
      <c r="E758" s="448" t="s">
        <v>2639</v>
      </c>
      <c r="F758" s="17">
        <v>25</v>
      </c>
    </row>
    <row r="759" spans="2:6">
      <c r="B759" s="439" t="s">
        <v>2645</v>
      </c>
      <c r="C759" s="439">
        <v>21115501600110</v>
      </c>
      <c r="D759" s="438" t="s">
        <v>2644</v>
      </c>
      <c r="E759" s="448" t="s">
        <v>2493</v>
      </c>
      <c r="F759" s="17">
        <v>10</v>
      </c>
    </row>
    <row r="760" spans="2:6">
      <c r="B760" s="439" t="s">
        <v>2646</v>
      </c>
      <c r="C760" s="439" t="s">
        <v>2646</v>
      </c>
      <c r="D760" s="438" t="s">
        <v>2647</v>
      </c>
      <c r="E760" s="448" t="s">
        <v>2648</v>
      </c>
      <c r="F760" s="16" t="s">
        <v>901</v>
      </c>
    </row>
    <row r="761" spans="2:6">
      <c r="B761" s="439" t="s">
        <v>2650</v>
      </c>
      <c r="C761" s="439" t="s">
        <v>2650</v>
      </c>
      <c r="D761" s="438" t="s">
        <v>2649</v>
      </c>
      <c r="E761" s="448" t="s">
        <v>1651</v>
      </c>
      <c r="F761" s="16" t="s">
        <v>901</v>
      </c>
    </row>
    <row r="762" spans="2:6">
      <c r="B762" s="439" t="s">
        <v>2651</v>
      </c>
      <c r="C762" s="439" t="s">
        <v>2651</v>
      </c>
      <c r="D762" s="438" t="s">
        <v>2652</v>
      </c>
      <c r="E762" s="448" t="s">
        <v>2655</v>
      </c>
      <c r="F762" s="16" t="s">
        <v>81</v>
      </c>
    </row>
    <row r="763" spans="2:6">
      <c r="B763" s="439" t="s">
        <v>2656</v>
      </c>
      <c r="C763" s="439" t="s">
        <v>2656</v>
      </c>
      <c r="D763" s="438" t="s">
        <v>2657</v>
      </c>
      <c r="E763" s="447" t="s">
        <v>2654</v>
      </c>
      <c r="F763" s="17">
        <v>40</v>
      </c>
    </row>
    <row r="764" spans="2:6">
      <c r="B764" s="439" t="s">
        <v>2658</v>
      </c>
      <c r="C764" s="439" t="s">
        <v>2658</v>
      </c>
      <c r="D764" s="438" t="s">
        <v>2659</v>
      </c>
      <c r="E764" s="447" t="s">
        <v>2653</v>
      </c>
      <c r="F764" s="17">
        <v>40</v>
      </c>
    </row>
    <row r="765" spans="2:6">
      <c r="B765" s="439" t="s">
        <v>2661</v>
      </c>
      <c r="C765" s="439" t="s">
        <v>2661</v>
      </c>
      <c r="D765" s="438" t="s">
        <v>2662</v>
      </c>
      <c r="E765" s="448" t="s">
        <v>2660</v>
      </c>
      <c r="F765" s="17">
        <v>40</v>
      </c>
    </row>
    <row r="766" spans="2:6">
      <c r="B766" s="439" t="s">
        <v>2665</v>
      </c>
      <c r="C766" s="439">
        <v>21113021600125</v>
      </c>
      <c r="D766" s="438" t="s">
        <v>2664</v>
      </c>
      <c r="E766" s="448" t="s">
        <v>2663</v>
      </c>
      <c r="F766" s="17">
        <v>25</v>
      </c>
    </row>
    <row r="767" spans="2:6">
      <c r="B767" s="439" t="s">
        <v>2671</v>
      </c>
      <c r="C767" s="439">
        <v>21115528400250</v>
      </c>
      <c r="D767" s="438" t="s">
        <v>2670</v>
      </c>
      <c r="E767" s="448" t="s">
        <v>2666</v>
      </c>
      <c r="F767" s="17">
        <v>50</v>
      </c>
    </row>
    <row r="768" spans="2:6">
      <c r="B768" s="439" t="s">
        <v>2673</v>
      </c>
      <c r="C768" s="439">
        <v>21115110200100</v>
      </c>
      <c r="D768" s="438" t="s">
        <v>2672</v>
      </c>
      <c r="E768" s="448" t="s">
        <v>95</v>
      </c>
      <c r="F768" s="16" t="s">
        <v>81</v>
      </c>
    </row>
  </sheetData>
  <autoFilter ref="B1:F744" xr:uid="{439791B8-BB43-4D18-B43F-2A1BF5B5F2A6}"/>
  <phoneticPr fontId="8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1" sqref="F1:L100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1950</v>
      </c>
      <c r="C1" s="655">
        <f t="shared" ref="C1:C32" si="0">IF(F1="","",B1-K1)</f>
        <v>0</v>
      </c>
      <c r="D1" s="656" t="str">
        <f>IFERROR(VLOOKUP(E1,Map!$B:$F,4,0),"")&amp;IFERROR(VLOOKUP(E1,Map!$B:$F,5,0),"")</f>
        <v>511L25</v>
      </c>
      <c r="E1" s="657" t="str">
        <f>IF(MID(F1,10,2)="99",F1&amp;H1,LEFT(F1,14))</f>
        <v>21115111200125</v>
      </c>
      <c r="F1" s="497">
        <v>21115111200125</v>
      </c>
      <c r="G1" t="s">
        <v>2681</v>
      </c>
      <c r="H1" t="s">
        <v>9</v>
      </c>
      <c r="I1">
        <v>25</v>
      </c>
      <c r="J1" s="511">
        <v>78</v>
      </c>
      <c r="K1" s="511">
        <v>1950</v>
      </c>
      <c r="L1" s="14">
        <v>22132500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12950</v>
      </c>
      <c r="C2" s="655">
        <f t="shared" si="0"/>
        <v>0</v>
      </c>
      <c r="D2" s="656" t="str">
        <f>IFERROR(VLOOKUP(E2,Map!$B:$F,4,0),"")&amp;IFERROR(VLOOKUP(E2,Map!$B:$F,5,0),"")</f>
        <v>30125</v>
      </c>
      <c r="E2" s="657" t="str">
        <f t="shared" ref="E2:E32" si="1">IF(MID(F2,10,2)="99",F2&amp;H2,LEFT(F2,14))</f>
        <v>21113010000125</v>
      </c>
      <c r="F2" s="497">
        <v>21113010000125</v>
      </c>
      <c r="G2" t="s">
        <v>2682</v>
      </c>
      <c r="H2" t="s">
        <v>9</v>
      </c>
      <c r="I2">
        <v>25</v>
      </c>
      <c r="J2" s="511">
        <v>518</v>
      </c>
      <c r="K2" s="511">
        <v>12950</v>
      </c>
      <c r="L2" s="14">
        <v>155141000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3925</v>
      </c>
      <c r="C3" s="655">
        <f t="shared" si="0"/>
        <v>0</v>
      </c>
      <c r="D3" s="656" t="str">
        <f>IFERROR(VLOOKUP(E3,Map!$B:$F,4,0),"")&amp;IFERROR(VLOOKUP(E3,Map!$B:$F,5,0),"")</f>
        <v>510M25</v>
      </c>
      <c r="E3" s="657" t="str">
        <f t="shared" si="1"/>
        <v>21115101300125</v>
      </c>
      <c r="F3" s="497">
        <v>21115101300125</v>
      </c>
      <c r="G3" t="s">
        <v>2683</v>
      </c>
      <c r="H3" t="s">
        <v>9</v>
      </c>
      <c r="I3">
        <v>25</v>
      </c>
      <c r="J3" s="511">
        <v>157</v>
      </c>
      <c r="K3" s="511">
        <v>3925</v>
      </c>
      <c r="L3" s="14">
        <v>47531750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9650</v>
      </c>
      <c r="C4" s="655">
        <f t="shared" si="0"/>
        <v>0</v>
      </c>
      <c r="D4" s="656" t="str">
        <f>IFERROR(VLOOKUP(E4,Map!$B:$F,4,0),"")&amp;IFERROR(VLOOKUP(E4,Map!$B:$F,5,0),"")</f>
        <v>550PF10</v>
      </c>
      <c r="E4" s="657" t="str">
        <f t="shared" si="1"/>
        <v>21115501600210</v>
      </c>
      <c r="F4" s="497">
        <v>21115501600210</v>
      </c>
      <c r="G4" t="s">
        <v>2684</v>
      </c>
      <c r="H4" t="s">
        <v>9</v>
      </c>
      <c r="I4">
        <v>10</v>
      </c>
      <c r="J4" s="511">
        <v>965</v>
      </c>
      <c r="K4" s="511">
        <v>9650</v>
      </c>
      <c r="L4" s="14">
        <v>256786500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38990</v>
      </c>
      <c r="C5" s="655">
        <f t="shared" si="0"/>
        <v>0</v>
      </c>
      <c r="D5" s="656" t="str">
        <f>IFERROR(VLOOKUP(E5,Map!$B:$F,4,0),"")&amp;IFERROR(VLOOKUP(E5,Map!$B:$F,5,0),"")</f>
        <v>567SFS31Silo</v>
      </c>
      <c r="E5" s="657" t="str">
        <f t="shared" si="1"/>
        <v>21115671999300S31</v>
      </c>
      <c r="F5" s="497">
        <v>21115671999300</v>
      </c>
      <c r="G5" t="s">
        <v>939</v>
      </c>
      <c r="H5" t="s">
        <v>2685</v>
      </c>
      <c r="I5">
        <v>0</v>
      </c>
      <c r="J5" s="511">
        <v>0</v>
      </c>
      <c r="K5" s="511">
        <v>38990</v>
      </c>
      <c r="L5" s="14">
        <v>396138400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16020</v>
      </c>
      <c r="C6" s="655">
        <f t="shared" si="0"/>
        <v>0</v>
      </c>
      <c r="D6" s="656" t="str">
        <f>IFERROR(VLOOKUP(E6,Map!$B:$F,4,0),"")&amp;IFERROR(VLOOKUP(E6,Map!$B:$F,5,0),"")</f>
        <v>BS07TAsilo</v>
      </c>
      <c r="E6" s="657" t="str">
        <f t="shared" si="1"/>
        <v>211338107TA100</v>
      </c>
      <c r="F6" s="497" t="s">
        <v>2646</v>
      </c>
      <c r="G6" t="s">
        <v>2647</v>
      </c>
      <c r="H6" t="s">
        <v>9</v>
      </c>
      <c r="I6">
        <v>0</v>
      </c>
      <c r="J6" s="511">
        <v>0</v>
      </c>
      <c r="K6" s="511">
        <v>16020</v>
      </c>
      <c r="L6" s="14">
        <v>162699120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47000</v>
      </c>
      <c r="C7" s="655">
        <f t="shared" si="0"/>
        <v>0</v>
      </c>
      <c r="D7" s="656" t="str">
        <f>IFERROR(VLOOKUP(E7,Map!$B:$F,4,0),"")&amp;IFERROR(VLOOKUP(E7,Map!$B:$F,5,0),"")</f>
        <v>551GPFS1350</v>
      </c>
      <c r="E7" s="657" t="str">
        <f t="shared" si="1"/>
        <v>21115517599250S13</v>
      </c>
      <c r="F7" s="497">
        <v>21115517599250</v>
      </c>
      <c r="G7" t="s">
        <v>975</v>
      </c>
      <c r="H7" t="s">
        <v>2686</v>
      </c>
      <c r="I7">
        <v>50</v>
      </c>
      <c r="J7" s="511">
        <v>940</v>
      </c>
      <c r="K7" s="511">
        <v>47000</v>
      </c>
      <c r="L7" s="14">
        <v>496320000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18450</v>
      </c>
      <c r="C8" s="655">
        <f t="shared" si="0"/>
        <v>0</v>
      </c>
      <c r="D8" s="656" t="str">
        <f>IFERROR(VLOOKUP(E8,Map!$B:$F,4,0),"")&amp;IFERROR(VLOOKUP(E8,Map!$B:$F,5,0),"")</f>
        <v>552SSilo</v>
      </c>
      <c r="E8" s="657" t="str">
        <f t="shared" si="1"/>
        <v>21115521900100</v>
      </c>
      <c r="F8" s="497">
        <v>21115521900100</v>
      </c>
      <c r="G8" t="s">
        <v>1120</v>
      </c>
      <c r="H8" t="s">
        <v>9</v>
      </c>
      <c r="I8">
        <v>0</v>
      </c>
      <c r="J8" s="511">
        <v>0</v>
      </c>
      <c r="K8" s="511">
        <v>18450</v>
      </c>
      <c r="L8" s="14">
        <v>230625000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1050</v>
      </c>
      <c r="C9" s="655">
        <f t="shared" si="0"/>
        <v>0</v>
      </c>
      <c r="D9" s="656" t="str">
        <f>IFERROR(VLOOKUP(E9,Map!$B:$F,4,0),"")&amp;IFERROR(VLOOKUP(E9,Map!$B:$F,5,0),"")</f>
        <v>550Pro25</v>
      </c>
      <c r="E9" s="657" t="str">
        <f t="shared" si="1"/>
        <v>21115501600125</v>
      </c>
      <c r="F9" s="497">
        <v>21115501600125</v>
      </c>
      <c r="G9" t="s">
        <v>1454</v>
      </c>
      <c r="H9" t="s">
        <v>9</v>
      </c>
      <c r="I9">
        <v>25</v>
      </c>
      <c r="J9" s="511">
        <v>42</v>
      </c>
      <c r="K9" s="511">
        <v>1050</v>
      </c>
      <c r="L9" s="14">
        <v>24213000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12000</v>
      </c>
      <c r="C10" s="655">
        <f t="shared" si="0"/>
        <v>0</v>
      </c>
      <c r="D10" s="656" t="str">
        <f>IFERROR(VLOOKUP(E10,Map!$B:$F,4,0),"")&amp;IFERROR(VLOOKUP(E10,Map!$B:$F,5,0),"")</f>
        <v>549F50</v>
      </c>
      <c r="E10" s="657" t="str">
        <f t="shared" si="1"/>
        <v>21115490000250</v>
      </c>
      <c r="F10" s="497">
        <v>21115490000250</v>
      </c>
      <c r="G10" t="s">
        <v>2687</v>
      </c>
      <c r="H10" t="s">
        <v>9</v>
      </c>
      <c r="I10">
        <v>50</v>
      </c>
      <c r="J10" s="511">
        <v>240</v>
      </c>
      <c r="K10" s="511">
        <v>12000</v>
      </c>
      <c r="L10" s="14">
        <v>111000000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9850</v>
      </c>
      <c r="C11" s="655">
        <f t="shared" si="0"/>
        <v>0</v>
      </c>
      <c r="D11" s="656" t="str">
        <f>IFERROR(VLOOKUP(E11,Map!$B:$F,4,0),"")&amp;IFERROR(VLOOKUP(E11,Map!$B:$F,5,0),"")</f>
        <v>BS09TASILO</v>
      </c>
      <c r="E11" s="657" t="str">
        <f t="shared" si="1"/>
        <v>211338509TA100</v>
      </c>
      <c r="F11" s="497" t="s">
        <v>2635</v>
      </c>
      <c r="G11" t="s">
        <v>2636</v>
      </c>
      <c r="H11" t="s">
        <v>9</v>
      </c>
      <c r="I11">
        <v>0</v>
      </c>
      <c r="J11" s="511">
        <v>0</v>
      </c>
      <c r="K11" s="511">
        <v>9850</v>
      </c>
      <c r="L11" s="14">
        <v>64064400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7500</v>
      </c>
      <c r="C12" s="655">
        <f t="shared" si="0"/>
        <v>0</v>
      </c>
      <c r="D12" s="656" t="str">
        <f>IFERROR(VLOOKUP(E12,Map!$B:$F,4,0),"")&amp;IFERROR(VLOOKUP(E12,Map!$B:$F,5,0),"")</f>
        <v>511AS25</v>
      </c>
      <c r="E12" s="657" t="str">
        <f t="shared" si="1"/>
        <v>21115110119125</v>
      </c>
      <c r="F12" s="497">
        <v>21115110119125</v>
      </c>
      <c r="G12" t="s">
        <v>1895</v>
      </c>
      <c r="H12" t="s">
        <v>9</v>
      </c>
      <c r="I12">
        <v>25</v>
      </c>
      <c r="J12" s="511">
        <v>300</v>
      </c>
      <c r="K12" s="511">
        <v>7500</v>
      </c>
      <c r="L12" s="14">
        <v>95250000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2875</v>
      </c>
      <c r="C13" s="655">
        <f t="shared" si="0"/>
        <v>0</v>
      </c>
      <c r="D13" s="656" t="str">
        <f>IFERROR(VLOOKUP(E13,Map!$B:$F,4,0),"")&amp;IFERROR(VLOOKUP(E13,Map!$B:$F,5,0),"")</f>
        <v>54825</v>
      </c>
      <c r="E13" s="657" t="str">
        <f t="shared" si="1"/>
        <v>21115480000125</v>
      </c>
      <c r="F13" s="497">
        <v>21115480000125</v>
      </c>
      <c r="G13" t="s">
        <v>2688</v>
      </c>
      <c r="H13" t="s">
        <v>9</v>
      </c>
      <c r="I13">
        <v>25</v>
      </c>
      <c r="J13" s="511">
        <v>115</v>
      </c>
      <c r="K13" s="511">
        <v>2875</v>
      </c>
      <c r="L13" s="14">
        <v>33695000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39625</v>
      </c>
      <c r="C14" s="655">
        <f t="shared" si="0"/>
        <v>0</v>
      </c>
      <c r="D14" s="656" t="str">
        <f>IFERROR(VLOOKUP(E14,Map!$B:$F,4,0),"")&amp;IFERROR(VLOOKUP(E14,Map!$B:$F,5,0),"")</f>
        <v>552S25</v>
      </c>
      <c r="E14" s="657" t="str">
        <f t="shared" si="1"/>
        <v>21115521900125</v>
      </c>
      <c r="F14" s="497">
        <v>21115521900125</v>
      </c>
      <c r="G14" t="s">
        <v>2689</v>
      </c>
      <c r="H14" t="s">
        <v>9</v>
      </c>
      <c r="I14">
        <v>25</v>
      </c>
      <c r="J14" s="511">
        <v>1585</v>
      </c>
      <c r="K14" s="511">
        <v>39625</v>
      </c>
      <c r="L14" s="14">
        <v>503237500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14010</v>
      </c>
      <c r="C15" s="655">
        <f t="shared" si="0"/>
        <v>0</v>
      </c>
      <c r="D15" s="656" t="str">
        <f>IFERROR(VLOOKUP(E15,Map!$B:$F,4,0),"")&amp;IFERROR(VLOOKUP(E15,Map!$B:$F,5,0),"")</f>
        <v>551GPSilo</v>
      </c>
      <c r="E15" s="657" t="str">
        <f t="shared" si="1"/>
        <v>21115517500100</v>
      </c>
      <c r="F15" s="497">
        <v>21115517500100</v>
      </c>
      <c r="G15" t="s">
        <v>1117</v>
      </c>
      <c r="H15" t="s">
        <v>9</v>
      </c>
      <c r="I15">
        <v>0</v>
      </c>
      <c r="J15" s="511">
        <v>0</v>
      </c>
      <c r="K15" s="511">
        <v>14010</v>
      </c>
      <c r="L15" s="14">
        <v>218556000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8350</v>
      </c>
      <c r="C16" s="655">
        <f t="shared" si="0"/>
        <v>0</v>
      </c>
      <c r="D16" s="656" t="str">
        <f>IFERROR(VLOOKUP(E16,Map!$B:$F,4,0),"")&amp;IFERROR(VLOOKUP(E16,Map!$B:$F,5,0),"")</f>
        <v>567S25</v>
      </c>
      <c r="E16" s="657" t="str">
        <f t="shared" si="1"/>
        <v>21115671900125</v>
      </c>
      <c r="F16" s="497">
        <v>21115671900125</v>
      </c>
      <c r="G16" t="s">
        <v>2690</v>
      </c>
      <c r="H16" t="s">
        <v>9</v>
      </c>
      <c r="I16">
        <v>25</v>
      </c>
      <c r="J16" s="511">
        <v>334</v>
      </c>
      <c r="K16" s="511">
        <v>8350</v>
      </c>
      <c r="L16" s="14">
        <v>106629500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14425</v>
      </c>
      <c r="C17" s="655">
        <f t="shared" si="0"/>
        <v>0</v>
      </c>
      <c r="D17" s="656" t="str">
        <f>IFERROR(VLOOKUP(E17,Map!$B:$F,4,0),"")&amp;IFERROR(VLOOKUP(E17,Map!$B:$F,5,0),"")</f>
        <v>55325</v>
      </c>
      <c r="E17" s="657" t="str">
        <f t="shared" si="1"/>
        <v>21115530000125</v>
      </c>
      <c r="F17" s="497">
        <v>21115530000125</v>
      </c>
      <c r="G17" t="s">
        <v>2691</v>
      </c>
      <c r="H17" t="s">
        <v>9</v>
      </c>
      <c r="I17">
        <v>25</v>
      </c>
      <c r="J17" s="511">
        <v>577</v>
      </c>
      <c r="K17" s="511">
        <v>14425</v>
      </c>
      <c r="L17" s="14">
        <v>154924500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8350</v>
      </c>
      <c r="C18" s="655">
        <f t="shared" si="0"/>
        <v>0</v>
      </c>
      <c r="D18" s="656" t="str">
        <f>IFERROR(VLOOKUP(E18,Map!$B:$F,4,0),"")&amp;IFERROR(VLOOKUP(E18,Map!$B:$F,5,0),"")</f>
        <v>55125</v>
      </c>
      <c r="E18" s="657" t="str">
        <f t="shared" si="1"/>
        <v>21115510000125</v>
      </c>
      <c r="F18" s="497">
        <v>21115510000125</v>
      </c>
      <c r="G18" t="s">
        <v>2692</v>
      </c>
      <c r="H18" t="s">
        <v>9</v>
      </c>
      <c r="I18">
        <v>25</v>
      </c>
      <c r="J18" s="511">
        <v>334</v>
      </c>
      <c r="K18" s="511">
        <v>8350</v>
      </c>
      <c r="L18" s="14">
        <v>142117000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1250</v>
      </c>
      <c r="C19" s="655">
        <f t="shared" si="0"/>
        <v>0</v>
      </c>
      <c r="D19" s="656" t="str">
        <f>IFERROR(VLOOKUP(E19,Map!$B:$F,4,0),"")&amp;IFERROR(VLOOKUP(E19,Map!$B:$F,5,0),"")</f>
        <v>967S25</v>
      </c>
      <c r="E19" s="657" t="str">
        <f t="shared" si="1"/>
        <v>21125671900125</v>
      </c>
      <c r="F19" s="497">
        <v>21125671900125</v>
      </c>
      <c r="G19" t="s">
        <v>2693</v>
      </c>
      <c r="H19" t="s">
        <v>9</v>
      </c>
      <c r="I19">
        <v>25</v>
      </c>
      <c r="J19" s="511">
        <v>50</v>
      </c>
      <c r="K19" s="511">
        <v>1250</v>
      </c>
      <c r="L19" s="14">
        <v>15962500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37000</v>
      </c>
      <c r="C20" s="655">
        <f t="shared" si="0"/>
        <v>0</v>
      </c>
      <c r="D20" s="656" t="str">
        <f>IFERROR(VLOOKUP(E20,Map!$B:$F,4,0),"")&amp;IFERROR(VLOOKUP(E20,Map!$B:$F,5,0),"")</f>
        <v>551GPFS5450</v>
      </c>
      <c r="E20" s="657" t="str">
        <f t="shared" si="1"/>
        <v>21115517599250S54</v>
      </c>
      <c r="F20" s="497">
        <v>21115517599250</v>
      </c>
      <c r="G20" t="s">
        <v>975</v>
      </c>
      <c r="H20" t="s">
        <v>2694</v>
      </c>
      <c r="I20">
        <v>50</v>
      </c>
      <c r="J20" s="511">
        <v>740</v>
      </c>
      <c r="K20" s="511">
        <v>37000</v>
      </c>
      <c r="L20" s="14">
        <v>409590000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4100</v>
      </c>
      <c r="C21" s="655">
        <f t="shared" si="0"/>
        <v>0</v>
      </c>
      <c r="D21" s="656" t="str">
        <f>IFERROR(VLOOKUP(E21,Map!$B:$F,4,0),"")&amp;IFERROR(VLOOKUP(E21,Map!$B:$F,5,0),"")</f>
        <v>550P10</v>
      </c>
      <c r="E21" s="657" t="str">
        <f t="shared" si="1"/>
        <v>21115501600110</v>
      </c>
      <c r="F21" s="497">
        <v>21115501600110</v>
      </c>
      <c r="G21" t="s">
        <v>2695</v>
      </c>
      <c r="H21" t="s">
        <v>9</v>
      </c>
      <c r="I21">
        <v>10</v>
      </c>
      <c r="J21" s="511">
        <v>410</v>
      </c>
      <c r="K21" s="511">
        <v>4100</v>
      </c>
      <c r="L21" s="14">
        <v>205000000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30900</v>
      </c>
      <c r="C22" s="655">
        <f t="shared" si="0"/>
        <v>0</v>
      </c>
      <c r="D22" s="656" t="str">
        <f>IFERROR(VLOOKUP(E22,Map!$B:$F,4,0),"")&amp;IFERROR(VLOOKUP(E22,Map!$B:$F,5,0),"")</f>
        <v>551GPFS3150</v>
      </c>
      <c r="E22" s="657" t="str">
        <f t="shared" si="1"/>
        <v>21115517599250S31</v>
      </c>
      <c r="F22" s="497">
        <v>21115517599250</v>
      </c>
      <c r="G22" t="s">
        <v>975</v>
      </c>
      <c r="H22" t="s">
        <v>2685</v>
      </c>
      <c r="I22">
        <v>50</v>
      </c>
      <c r="J22" s="511">
        <v>618</v>
      </c>
      <c r="K22" s="511">
        <v>30900</v>
      </c>
      <c r="L22" s="14">
        <v>343917000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700</v>
      </c>
      <c r="C23" s="655">
        <f t="shared" si="0"/>
        <v>0</v>
      </c>
      <c r="D23" s="656" t="str">
        <f>IFERROR(VLOOKUP(E23,Map!$B:$F,4,0),"")&amp;IFERROR(VLOOKUP(E23,Map!$B:$F,5,0),"")</f>
        <v>695325</v>
      </c>
      <c r="E23" s="657" t="str">
        <f t="shared" si="1"/>
        <v>21165530000125</v>
      </c>
      <c r="F23" s="497">
        <v>21165530000125</v>
      </c>
      <c r="G23" t="s">
        <v>1546</v>
      </c>
      <c r="H23" t="s">
        <v>9</v>
      </c>
      <c r="I23">
        <v>25</v>
      </c>
      <c r="J23" s="511">
        <v>28</v>
      </c>
      <c r="K23" s="511">
        <v>700</v>
      </c>
      <c r="L23" s="14">
        <v>6860000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12930</v>
      </c>
      <c r="C24" s="655">
        <f t="shared" si="0"/>
        <v>0</v>
      </c>
      <c r="D24" s="656" t="str">
        <f>IFERROR(VLOOKUP(E24,Map!$B:$F,4,0),"")&amp;IFERROR(VLOOKUP(E24,Map!$B:$F,5,0),"")</f>
        <v>502silo</v>
      </c>
      <c r="E24" s="657" t="str">
        <f t="shared" si="1"/>
        <v>21115020000100</v>
      </c>
      <c r="F24" s="497">
        <v>21115020000100</v>
      </c>
      <c r="G24" t="s">
        <v>1962</v>
      </c>
      <c r="H24" t="s">
        <v>9</v>
      </c>
      <c r="I24">
        <v>0</v>
      </c>
      <c r="J24" s="511">
        <v>0</v>
      </c>
      <c r="K24" s="511">
        <v>12930</v>
      </c>
      <c r="L24" s="14">
        <v>135765000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3850</v>
      </c>
      <c r="C25" s="655">
        <f t="shared" si="0"/>
        <v>0</v>
      </c>
      <c r="D25" s="656" t="str">
        <f>IFERROR(VLOOKUP(E25,Map!$B:$F,4,0),"")&amp;IFERROR(VLOOKUP(E25,Map!$B:$F,5,0),"")</f>
        <v>695125</v>
      </c>
      <c r="E25" s="657" t="str">
        <f t="shared" si="1"/>
        <v>21165510000125</v>
      </c>
      <c r="F25" s="497">
        <v>21165510000125</v>
      </c>
      <c r="G25" t="s">
        <v>2463</v>
      </c>
      <c r="H25" t="s">
        <v>9</v>
      </c>
      <c r="I25">
        <v>25</v>
      </c>
      <c r="J25" s="511">
        <v>154</v>
      </c>
      <c r="K25" s="511">
        <v>3850</v>
      </c>
      <c r="L25" s="14">
        <v>40425000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17000</v>
      </c>
      <c r="C26" s="655">
        <f t="shared" si="0"/>
        <v>0</v>
      </c>
      <c r="D26" s="656" t="str">
        <f>IFERROR(VLOOKUP(E26,Map!$B:$F,4,0),"")&amp;IFERROR(VLOOKUP(E26,Map!$B:$F,5,0),"")</f>
        <v>552F50</v>
      </c>
      <c r="E26" s="657" t="str">
        <f t="shared" si="1"/>
        <v>21115520000250</v>
      </c>
      <c r="F26" s="497">
        <v>21115520000250</v>
      </c>
      <c r="G26" t="s">
        <v>2696</v>
      </c>
      <c r="H26" t="s">
        <v>9</v>
      </c>
      <c r="I26">
        <v>50</v>
      </c>
      <c r="J26" s="511">
        <v>340</v>
      </c>
      <c r="K26" s="511">
        <v>17000</v>
      </c>
      <c r="L26" s="14">
        <v>141950000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9500</v>
      </c>
      <c r="C27" s="655">
        <f t="shared" si="0"/>
        <v>0</v>
      </c>
      <c r="D27" s="656" t="str">
        <f>IFERROR(VLOOKUP(E27,Map!$B:$F,4,0),"")&amp;IFERROR(VLOOKUP(E27,Map!$B:$F,5,0),"")</f>
        <v>52425</v>
      </c>
      <c r="E27" s="657" t="str">
        <f t="shared" si="1"/>
        <v>21115240000125</v>
      </c>
      <c r="F27" s="497">
        <v>21115240000125</v>
      </c>
      <c r="G27" t="s">
        <v>2697</v>
      </c>
      <c r="H27" t="s">
        <v>9</v>
      </c>
      <c r="I27">
        <v>25</v>
      </c>
      <c r="J27" s="511">
        <v>380</v>
      </c>
      <c r="K27" s="511">
        <v>9500</v>
      </c>
      <c r="L27" s="14">
        <v>97755000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250</v>
      </c>
      <c r="C28" s="655">
        <f t="shared" si="0"/>
        <v>0</v>
      </c>
      <c r="D28" s="656" t="str">
        <f>IFERROR(VLOOKUP(E28,Map!$B:$F,4,0),"")&amp;IFERROR(VLOOKUP(E28,Map!$B:$F,5,0),"")</f>
        <v>551GP25</v>
      </c>
      <c r="E28" s="657" t="str">
        <f t="shared" si="1"/>
        <v>21115517500125</v>
      </c>
      <c r="F28" s="497">
        <v>21115517500125</v>
      </c>
      <c r="G28" t="s">
        <v>2698</v>
      </c>
      <c r="H28" t="s">
        <v>9</v>
      </c>
      <c r="I28">
        <v>25</v>
      </c>
      <c r="J28" s="511">
        <v>10</v>
      </c>
      <c r="K28" s="511">
        <v>250</v>
      </c>
      <c r="L28" s="14">
        <v>3950000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500</v>
      </c>
      <c r="C29" s="655">
        <f t="shared" si="0"/>
        <v>0</v>
      </c>
      <c r="D29" s="656" t="str">
        <f>IFERROR(VLOOKUP(E29,Map!$B:$F,4,0),"")&amp;IFERROR(VLOOKUP(E29,Map!$B:$F,5,0),"")</f>
        <v>58425</v>
      </c>
      <c r="E29" s="657" t="str">
        <f t="shared" si="1"/>
        <v>21115840000125</v>
      </c>
      <c r="F29" s="497">
        <v>21115840000125</v>
      </c>
      <c r="G29" t="s">
        <v>2699</v>
      </c>
      <c r="H29" t="s">
        <v>9</v>
      </c>
      <c r="I29">
        <v>25</v>
      </c>
      <c r="J29" s="511">
        <v>20</v>
      </c>
      <c r="K29" s="511">
        <v>500</v>
      </c>
      <c r="L29" s="14">
        <v>4760000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19000</v>
      </c>
      <c r="C30" s="655">
        <f t="shared" si="0"/>
        <v>0</v>
      </c>
      <c r="D30" s="656" t="str">
        <f>IFERROR(VLOOKUP(E30,Map!$B:$F,4,0),"")&amp;IFERROR(VLOOKUP(E30,Map!$B:$F,5,0),"")</f>
        <v>553S25</v>
      </c>
      <c r="E30" s="657" t="str">
        <f t="shared" si="1"/>
        <v>21115531900125</v>
      </c>
      <c r="F30" s="497">
        <v>21115531900125</v>
      </c>
      <c r="G30" t="s">
        <v>2700</v>
      </c>
      <c r="H30" t="s">
        <v>9</v>
      </c>
      <c r="I30">
        <v>25</v>
      </c>
      <c r="J30" s="511">
        <v>760</v>
      </c>
      <c r="K30" s="511">
        <v>19000</v>
      </c>
      <c r="L30" s="14">
        <v>213180000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10750</v>
      </c>
      <c r="C31" s="655">
        <f t="shared" si="0"/>
        <v>0</v>
      </c>
      <c r="D31" s="656" t="str">
        <f>IFERROR(VLOOKUP(E31,Map!$B:$F,4,0),"")&amp;IFERROR(VLOOKUP(E31,Map!$B:$F,5,0),"")</f>
        <v>552SX25</v>
      </c>
      <c r="E31" s="657" t="str">
        <f t="shared" si="1"/>
        <v>21115527800125</v>
      </c>
      <c r="F31" s="497">
        <v>21115527800125</v>
      </c>
      <c r="G31" t="s">
        <v>1188</v>
      </c>
      <c r="H31" t="s">
        <v>9</v>
      </c>
      <c r="I31">
        <v>25</v>
      </c>
      <c r="J31" s="511">
        <v>430</v>
      </c>
      <c r="K31" s="511">
        <v>10750</v>
      </c>
      <c r="L31" s="14">
        <v>136525000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17375</v>
      </c>
      <c r="C32" s="655">
        <f t="shared" si="0"/>
        <v>0</v>
      </c>
      <c r="D32" s="656" t="str">
        <f>IFERROR(VLOOKUP(E32,Map!$B:$F,4,0),"")&amp;IFERROR(VLOOKUP(E32,Map!$B:$F,5,0),"")</f>
        <v>GD1425</v>
      </c>
      <c r="E32" s="657" t="str">
        <f t="shared" si="1"/>
        <v>21135240000125</v>
      </c>
      <c r="F32" s="497">
        <v>21135240000125</v>
      </c>
      <c r="G32" t="s">
        <v>1625</v>
      </c>
      <c r="H32" t="s">
        <v>9</v>
      </c>
      <c r="I32">
        <v>25</v>
      </c>
      <c r="J32" s="511">
        <v>695</v>
      </c>
      <c r="K32" s="511">
        <v>17375</v>
      </c>
      <c r="L32" s="14">
        <v>171838750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900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98425</v>
      </c>
      <c r="E33" s="657" t="str">
        <f t="shared" ref="E33:E63" si="3">IF(MID(F33,10,2)="99",F33&amp;H33,LEFT(F33,14))</f>
        <v>21125840000125</v>
      </c>
      <c r="F33" s="497">
        <v>21125840000125</v>
      </c>
      <c r="G33" t="s">
        <v>2701</v>
      </c>
      <c r="H33" t="s">
        <v>9</v>
      </c>
      <c r="I33">
        <v>25</v>
      </c>
      <c r="J33" s="511">
        <v>36</v>
      </c>
      <c r="K33" s="511">
        <v>900</v>
      </c>
      <c r="L33" s="14">
        <v>8460000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32450</v>
      </c>
      <c r="C34" s="655">
        <f t="shared" si="2"/>
        <v>0</v>
      </c>
      <c r="D34" s="656" t="str">
        <f>IFERROR(VLOOKUP(E34,Map!$B:$F,4,0),"")&amp;IFERROR(VLOOKUP(E34,Map!$B:$F,5,0),"")</f>
        <v>552FS1350</v>
      </c>
      <c r="E34" s="657" t="str">
        <f t="shared" si="3"/>
        <v>21115520099250S13</v>
      </c>
      <c r="F34" s="497">
        <v>21115520099250</v>
      </c>
      <c r="G34" t="s">
        <v>940</v>
      </c>
      <c r="H34" t="s">
        <v>2686</v>
      </c>
      <c r="I34">
        <v>50</v>
      </c>
      <c r="J34" s="511">
        <v>649</v>
      </c>
      <c r="K34" s="511">
        <v>32450</v>
      </c>
      <c r="L34" s="14">
        <v>272255500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500</v>
      </c>
      <c r="C35" s="655">
        <f t="shared" si="2"/>
        <v>0</v>
      </c>
      <c r="D35" s="656" t="str">
        <f>IFERROR(VLOOKUP(E35,Map!$B:$F,4,0),"")&amp;IFERROR(VLOOKUP(E35,Map!$B:$F,5,0),"")</f>
        <v>551Pro25</v>
      </c>
      <c r="E35" s="657" t="str">
        <f t="shared" si="3"/>
        <v>21115511600125</v>
      </c>
      <c r="F35" s="497">
        <v>21115511600125</v>
      </c>
      <c r="G35" t="s">
        <v>1469</v>
      </c>
      <c r="H35" t="s">
        <v>9</v>
      </c>
      <c r="I35">
        <v>25</v>
      </c>
      <c r="J35" s="511">
        <v>20</v>
      </c>
      <c r="K35" s="511">
        <v>500</v>
      </c>
      <c r="L35" s="14">
        <v>8860000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500</v>
      </c>
      <c r="C36" s="655">
        <f t="shared" si="2"/>
        <v>0</v>
      </c>
      <c r="D36" s="656" t="str">
        <f>IFERROR(VLOOKUP(E36,Map!$B:$F,4,0),"")&amp;IFERROR(VLOOKUP(E36,Map!$B:$F,5,0),"")</f>
        <v>991-1825</v>
      </c>
      <c r="E36" s="657" t="str">
        <f t="shared" si="3"/>
        <v>21125911800125</v>
      </c>
      <c r="F36" s="497">
        <v>21125911800125</v>
      </c>
      <c r="G36" t="s">
        <v>822</v>
      </c>
      <c r="H36" t="s">
        <v>9</v>
      </c>
      <c r="I36">
        <v>25</v>
      </c>
      <c r="J36" s="511">
        <v>20</v>
      </c>
      <c r="K36" s="511">
        <v>500</v>
      </c>
      <c r="L36" s="14">
        <v>5260000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8000</v>
      </c>
      <c r="C37" s="655">
        <f t="shared" si="2"/>
        <v>0</v>
      </c>
      <c r="D37" s="656" t="str">
        <f>IFERROR(VLOOKUP(E37,Map!$B:$F,4,0),"")&amp;IFERROR(VLOOKUP(E37,Map!$B:$F,5,0),"")</f>
        <v>571 O125</v>
      </c>
      <c r="E37" s="657" t="str">
        <f t="shared" si="3"/>
        <v>211157100O1125</v>
      </c>
      <c r="F37" s="497" t="s">
        <v>1858</v>
      </c>
      <c r="G37" t="s">
        <v>1859</v>
      </c>
      <c r="H37" t="s">
        <v>9</v>
      </c>
      <c r="I37">
        <v>25</v>
      </c>
      <c r="J37" s="511">
        <v>320</v>
      </c>
      <c r="K37" s="511">
        <v>8000</v>
      </c>
      <c r="L37" s="14">
        <v>64400000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15000</v>
      </c>
      <c r="C38" s="655">
        <f t="shared" si="2"/>
        <v>0</v>
      </c>
      <c r="D38" s="656" t="str">
        <f>IFERROR(VLOOKUP(E38,Map!$B:$F,4,0),"")&amp;IFERROR(VLOOKUP(E38,Map!$B:$F,5,0),"")</f>
        <v>HT12S25</v>
      </c>
      <c r="E38" s="657" t="str">
        <f t="shared" si="3"/>
        <v>21135521900125</v>
      </c>
      <c r="F38" s="497">
        <v>21135521900125</v>
      </c>
      <c r="G38" t="s">
        <v>2702</v>
      </c>
      <c r="H38" t="s">
        <v>9</v>
      </c>
      <c r="I38">
        <v>25</v>
      </c>
      <c r="J38" s="511">
        <v>600</v>
      </c>
      <c r="K38" s="511">
        <v>15000</v>
      </c>
      <c r="L38" s="14">
        <v>187200000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4950</v>
      </c>
      <c r="C39" s="655">
        <f t="shared" si="2"/>
        <v>0</v>
      </c>
      <c r="D39" s="656" t="str">
        <f>IFERROR(VLOOKUP(E39,Map!$B:$F,4,0),"")&amp;IFERROR(VLOOKUP(E39,Map!$B:$F,5,0),"")</f>
        <v>54925</v>
      </c>
      <c r="E39" s="657" t="str">
        <f>IF(MID(F39,10,2)="99",F39&amp;H39,LEFT(F39,14))</f>
        <v>21115490000125</v>
      </c>
      <c r="F39" s="497">
        <v>21115490000125</v>
      </c>
      <c r="G39" t="s">
        <v>2703</v>
      </c>
      <c r="H39" t="s">
        <v>9</v>
      </c>
      <c r="I39">
        <v>25</v>
      </c>
      <c r="J39" s="511">
        <v>198</v>
      </c>
      <c r="K39" s="511">
        <v>4950</v>
      </c>
      <c r="L39" s="14">
        <v>56232000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125</v>
      </c>
      <c r="C40" s="655">
        <f t="shared" si="2"/>
        <v>0</v>
      </c>
      <c r="D40" s="656" t="str">
        <f>IFERROR(VLOOKUP(E40,Map!$B:$F,4,0),"")&amp;IFERROR(VLOOKUP(E40,Map!$B:$F,5,0),"")</f>
        <v>694925</v>
      </c>
      <c r="E40" s="657" t="str">
        <f t="shared" si="3"/>
        <v>21165490000125</v>
      </c>
      <c r="F40" s="497">
        <v>21165490000125</v>
      </c>
      <c r="G40" t="s">
        <v>1516</v>
      </c>
      <c r="H40" t="s">
        <v>9</v>
      </c>
      <c r="I40">
        <v>25</v>
      </c>
      <c r="J40" s="511">
        <v>5</v>
      </c>
      <c r="K40" s="511">
        <v>125</v>
      </c>
      <c r="L40" s="14">
        <v>1312500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396200</v>
      </c>
      <c r="C41" s="655">
        <f t="shared" si="2"/>
        <v>0</v>
      </c>
      <c r="D41" s="656" t="str">
        <f>IFERROR(VLOOKUP(E41,Map!$B:$F,4,0),"")&amp;IFERROR(VLOOKUP(E41,Map!$B:$F,5,0),"")</f>
        <v>552SFS9050</v>
      </c>
      <c r="E41" s="657" t="str">
        <f t="shared" si="3"/>
        <v>21115521999250S90</v>
      </c>
      <c r="F41" s="497">
        <v>21115521999250</v>
      </c>
      <c r="G41" t="s">
        <v>942</v>
      </c>
      <c r="H41" t="s">
        <v>1620</v>
      </c>
      <c r="I41">
        <v>50</v>
      </c>
      <c r="J41" s="511">
        <v>7924</v>
      </c>
      <c r="K41" s="511">
        <v>396200</v>
      </c>
      <c r="L41" s="14">
        <v>3752014000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5500</v>
      </c>
      <c r="C42" s="655">
        <f t="shared" si="2"/>
        <v>0</v>
      </c>
      <c r="D42" s="656" t="str">
        <f>IFERROR(VLOOKUP(E42,Map!$B:$F,4,0),"")&amp;IFERROR(VLOOKUP(E42,Map!$B:$F,5,0),"")</f>
        <v>38425</v>
      </c>
      <c r="E42" s="657" t="str">
        <f t="shared" si="3"/>
        <v>21113840000125</v>
      </c>
      <c r="F42" s="497">
        <v>21113840000125</v>
      </c>
      <c r="G42" t="s">
        <v>2704</v>
      </c>
      <c r="H42" t="s">
        <v>9</v>
      </c>
      <c r="I42">
        <v>25</v>
      </c>
      <c r="J42" s="511">
        <v>220</v>
      </c>
      <c r="K42" s="511">
        <v>5500</v>
      </c>
      <c r="L42" s="14">
        <v>51810000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1375</v>
      </c>
      <c r="C43" s="655">
        <f t="shared" si="2"/>
        <v>0</v>
      </c>
      <c r="D43" s="656" t="str">
        <f>IFERROR(VLOOKUP(E43,Map!$B:$F,4,0),"")&amp;IFERROR(VLOOKUP(E43,Map!$B:$F,5,0),"")</f>
        <v>952S25</v>
      </c>
      <c r="E43" s="657" t="str">
        <f t="shared" si="3"/>
        <v>21125521900125</v>
      </c>
      <c r="F43" s="497">
        <v>21125521900125</v>
      </c>
      <c r="G43" t="s">
        <v>2705</v>
      </c>
      <c r="H43" t="s">
        <v>9</v>
      </c>
      <c r="I43">
        <v>25</v>
      </c>
      <c r="J43" s="511">
        <v>55</v>
      </c>
      <c r="K43" s="511">
        <v>1375</v>
      </c>
      <c r="L43" s="14">
        <v>17462500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7900</v>
      </c>
      <c r="C44" s="655">
        <f t="shared" si="2"/>
        <v>0</v>
      </c>
      <c r="D44" s="656" t="str">
        <f>IFERROR(VLOOKUP(E44,Map!$B:$F,4,0),"")&amp;IFERROR(VLOOKUP(E44,Map!$B:$F,5,0),"")</f>
        <v>513F50</v>
      </c>
      <c r="E44" s="657" t="str">
        <f t="shared" si="3"/>
        <v>21115130000250</v>
      </c>
      <c r="F44" s="497">
        <v>21115130000250</v>
      </c>
      <c r="G44" t="s">
        <v>2706</v>
      </c>
      <c r="H44" t="s">
        <v>9</v>
      </c>
      <c r="I44">
        <v>50</v>
      </c>
      <c r="J44" s="511">
        <v>158</v>
      </c>
      <c r="K44" s="511">
        <v>7900</v>
      </c>
      <c r="L44" s="14">
        <v>83345000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2900</v>
      </c>
      <c r="C45" s="655">
        <f t="shared" si="2"/>
        <v>0</v>
      </c>
      <c r="D45" s="656" t="str">
        <f>IFERROR(VLOOKUP(E45,Map!$B:$F,4,0),"")&amp;IFERROR(VLOOKUP(E45,Map!$B:$F,5,0),"")</f>
        <v>551FS3150</v>
      </c>
      <c r="E45" s="657" t="str">
        <f t="shared" si="3"/>
        <v>21115510099250S31</v>
      </c>
      <c r="F45" s="497">
        <v>21115510099250</v>
      </c>
      <c r="G45" t="s">
        <v>1269</v>
      </c>
      <c r="H45" t="s">
        <v>2685</v>
      </c>
      <c r="I45">
        <v>50</v>
      </c>
      <c r="J45" s="511">
        <v>58</v>
      </c>
      <c r="K45" s="511">
        <v>2900</v>
      </c>
      <c r="L45" s="14">
        <v>36308000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4475</v>
      </c>
      <c r="C46" s="655">
        <f t="shared" si="2"/>
        <v>0</v>
      </c>
      <c r="D46" s="656" t="str">
        <f>IFERROR(VLOOKUP(E46,Map!$B:$F,4,0),"")&amp;IFERROR(VLOOKUP(E46,Map!$B:$F,5,0),"")</f>
        <v>54425</v>
      </c>
      <c r="E46" s="657" t="str">
        <f>IF(MID(F46,10,2)="99",F46&amp;H46,LEFT(F46,14))</f>
        <v>21115440000125</v>
      </c>
      <c r="F46" s="497">
        <v>21115440000125</v>
      </c>
      <c r="G46" t="s">
        <v>816</v>
      </c>
      <c r="H46" t="s">
        <v>9</v>
      </c>
      <c r="I46">
        <v>25</v>
      </c>
      <c r="J46" s="14">
        <v>179</v>
      </c>
      <c r="K46" s="511">
        <v>4475</v>
      </c>
      <c r="L46" s="511">
        <v>44526250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9525</v>
      </c>
      <c r="C47" s="655">
        <f t="shared" si="2"/>
        <v>0</v>
      </c>
      <c r="D47" s="656" t="str">
        <f>IFERROR(VLOOKUP(E47,Map!$B:$F,4,0),"")&amp;IFERROR(VLOOKUP(E47,Map!$B:$F,5,0),"")</f>
        <v>51025</v>
      </c>
      <c r="E47" s="657" t="str">
        <f t="shared" si="3"/>
        <v>21115100000125</v>
      </c>
      <c r="F47" s="497">
        <v>21115100000125</v>
      </c>
      <c r="G47" t="s">
        <v>2707</v>
      </c>
      <c r="H47" t="s">
        <v>9</v>
      </c>
      <c r="I47">
        <v>25</v>
      </c>
      <c r="J47" s="14">
        <v>381</v>
      </c>
      <c r="K47" s="511">
        <v>9525</v>
      </c>
      <c r="L47" s="14">
        <v>120681750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875</v>
      </c>
      <c r="C48" s="655">
        <f t="shared" si="2"/>
        <v>0</v>
      </c>
      <c r="D48" s="656" t="str">
        <f>IFERROR(VLOOKUP(E48,Map!$B:$F,4,0),"")&amp;IFERROR(VLOOKUP(E48,Map!$B:$F,5,0),"")</f>
        <v>885S25</v>
      </c>
      <c r="E48" s="657" t="str">
        <f t="shared" si="3"/>
        <v>21123851900125</v>
      </c>
      <c r="F48" s="497">
        <v>21123851900125</v>
      </c>
      <c r="G48" t="s">
        <v>2708</v>
      </c>
      <c r="H48" t="s">
        <v>9</v>
      </c>
      <c r="I48">
        <v>25</v>
      </c>
      <c r="J48" s="511">
        <v>35</v>
      </c>
      <c r="K48" s="511">
        <v>875</v>
      </c>
      <c r="L48" s="14">
        <v>7822500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13825</v>
      </c>
      <c r="C49" s="655">
        <f t="shared" si="2"/>
        <v>0</v>
      </c>
      <c r="D49" s="656" t="str">
        <f>IFERROR(VLOOKUP(E49,Map!$B:$F,4,0),"")&amp;IFERROR(VLOOKUP(E49,Map!$B:$F,5,0),"")</f>
        <v>59525</v>
      </c>
      <c r="E49" s="657" t="str">
        <f t="shared" si="3"/>
        <v>21115950000125</v>
      </c>
      <c r="F49" s="497">
        <v>21115950000125</v>
      </c>
      <c r="G49" t="s">
        <v>2709</v>
      </c>
      <c r="H49" t="s">
        <v>9</v>
      </c>
      <c r="I49">
        <v>25</v>
      </c>
      <c r="J49" s="511">
        <v>553</v>
      </c>
      <c r="K49" s="511">
        <v>13825</v>
      </c>
      <c r="L49" s="14">
        <v>119724500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2875</v>
      </c>
      <c r="C50" s="655">
        <f t="shared" si="2"/>
        <v>0</v>
      </c>
      <c r="D50" s="656" t="str">
        <f>IFERROR(VLOOKUP(E50,Map!$B:$F,4,0),"")&amp;IFERROR(VLOOKUP(E50,Map!$B:$F,5,0),"")</f>
        <v>552Pro25</v>
      </c>
      <c r="E50" s="657" t="str">
        <f t="shared" si="3"/>
        <v>21115521600125</v>
      </c>
      <c r="F50" s="497">
        <v>21115521600125</v>
      </c>
      <c r="G50" t="s">
        <v>1464</v>
      </c>
      <c r="H50" t="s">
        <v>9</v>
      </c>
      <c r="I50">
        <v>25</v>
      </c>
      <c r="J50" s="511">
        <v>115</v>
      </c>
      <c r="K50" s="511">
        <v>2875</v>
      </c>
      <c r="L50" s="14">
        <v>33235000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1175</v>
      </c>
      <c r="C51" s="655">
        <f t="shared" si="2"/>
        <v>0</v>
      </c>
      <c r="D51" s="656" t="str">
        <f>IFERROR(VLOOKUP(E51,Map!$B:$F,4,0),"")&amp;IFERROR(VLOOKUP(E51,Map!$B:$F,5,0),"")</f>
        <v>552E25</v>
      </c>
      <c r="E51" s="657" t="str">
        <f t="shared" si="3"/>
        <v>21115520500125</v>
      </c>
      <c r="F51" s="497">
        <v>21115520500125</v>
      </c>
      <c r="G51" t="s">
        <v>2710</v>
      </c>
      <c r="H51" t="s">
        <v>9</v>
      </c>
      <c r="I51">
        <v>25</v>
      </c>
      <c r="J51" s="511">
        <v>47</v>
      </c>
      <c r="K51" s="511">
        <v>1175</v>
      </c>
      <c r="L51" s="14">
        <v>13019000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1375</v>
      </c>
      <c r="C52" s="655">
        <f t="shared" si="2"/>
        <v>0</v>
      </c>
      <c r="D52" s="656" t="str">
        <f>IFERROR(VLOOKUP(E52,Map!$B:$F,4,0),"")&amp;IFERROR(VLOOKUP(E52,Map!$B:$F,5,0),"")</f>
        <v>552MX25</v>
      </c>
      <c r="E52" s="657" t="str">
        <f t="shared" si="3"/>
        <v>21115527900125</v>
      </c>
      <c r="F52" s="497">
        <v>21115527900125</v>
      </c>
      <c r="G52" t="s">
        <v>1388</v>
      </c>
      <c r="H52" t="s">
        <v>9</v>
      </c>
      <c r="I52">
        <v>25</v>
      </c>
      <c r="J52" s="511">
        <v>55</v>
      </c>
      <c r="K52" s="511">
        <v>1375</v>
      </c>
      <c r="L52" s="14">
        <v>15922500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80400</v>
      </c>
      <c r="C53" s="655">
        <f t="shared" si="2"/>
        <v>0</v>
      </c>
      <c r="D53" s="656" t="str">
        <f>IFERROR(VLOOKUP(E53,Map!$B:$F,4,0),"")&amp;IFERROR(VLOOKUP(E53,Map!$B:$F,5,0),"")</f>
        <v>553MF50</v>
      </c>
      <c r="E53" s="657" t="str">
        <f t="shared" si="3"/>
        <v>21115531300250</v>
      </c>
      <c r="F53" s="497">
        <v>21115531300250</v>
      </c>
      <c r="G53" t="s">
        <v>2711</v>
      </c>
      <c r="H53" t="s">
        <v>9</v>
      </c>
      <c r="I53">
        <v>50</v>
      </c>
      <c r="J53" s="511">
        <v>1608</v>
      </c>
      <c r="K53" s="511">
        <v>80400</v>
      </c>
      <c r="L53" s="14">
        <v>683400000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2500</v>
      </c>
      <c r="C54" s="655">
        <f t="shared" si="2"/>
        <v>0</v>
      </c>
      <c r="D54" s="656" t="str">
        <f>IFERROR(VLOOKUP(E54,Map!$B:$F,4,0),"")&amp;IFERROR(VLOOKUP(E54,Map!$B:$F,5,0),"")</f>
        <v>VT1125</v>
      </c>
      <c r="E54" s="657" t="str">
        <f t="shared" si="3"/>
        <v>21135480000125</v>
      </c>
      <c r="F54" s="497">
        <v>21135480000125</v>
      </c>
      <c r="G54" t="s">
        <v>1914</v>
      </c>
      <c r="H54" t="s">
        <v>9</v>
      </c>
      <c r="I54">
        <v>25</v>
      </c>
      <c r="J54" s="14">
        <v>100</v>
      </c>
      <c r="K54" s="511">
        <v>2500</v>
      </c>
      <c r="L54" s="14">
        <v>29375000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7475</v>
      </c>
      <c r="C55" s="655">
        <f t="shared" si="2"/>
        <v>0</v>
      </c>
      <c r="D55" s="656" t="str">
        <f>IFERROR(VLOOKUP(E55,Map!$B:$F,4,0),"")&amp;IFERROR(VLOOKUP(E55,Map!$B:$F,5,0),"")</f>
        <v>50225</v>
      </c>
      <c r="E55" s="657" t="str">
        <f t="shared" si="3"/>
        <v>21115020000125</v>
      </c>
      <c r="F55" s="497">
        <v>21115020000125</v>
      </c>
      <c r="G55" t="s">
        <v>1633</v>
      </c>
      <c r="H55" t="s">
        <v>9</v>
      </c>
      <c r="I55">
        <v>25</v>
      </c>
      <c r="J55" s="14">
        <v>299</v>
      </c>
      <c r="K55" s="511">
        <v>7475</v>
      </c>
      <c r="L55" s="14">
        <v>79982500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4625</v>
      </c>
      <c r="C56" s="655">
        <f t="shared" si="2"/>
        <v>0</v>
      </c>
      <c r="D56" s="656" t="str">
        <f>IFERROR(VLOOKUP(E56,Map!$B:$F,4,0),"")&amp;IFERROR(VLOOKUP(E56,Map!$B:$F,5,0),"")</f>
        <v>95225</v>
      </c>
      <c r="E56" s="657" t="str">
        <f t="shared" si="3"/>
        <v>21125520000125</v>
      </c>
      <c r="F56" s="497">
        <v>21125520000125</v>
      </c>
      <c r="G56" t="s">
        <v>2712</v>
      </c>
      <c r="H56" t="s">
        <v>9</v>
      </c>
      <c r="I56">
        <v>25</v>
      </c>
      <c r="J56" s="14">
        <v>185</v>
      </c>
      <c r="K56" s="511">
        <v>4625</v>
      </c>
      <c r="L56" s="14">
        <v>53002500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2275</v>
      </c>
      <c r="C57" s="655">
        <f t="shared" si="2"/>
        <v>0</v>
      </c>
      <c r="D57" s="656" t="str">
        <f>IFERROR(VLOOKUP(E57,Map!$B:$F,4,0),"")&amp;IFERROR(VLOOKUP(E57,Map!$B:$F,5,0),"")</f>
        <v>HT11GP25</v>
      </c>
      <c r="E57" s="657" t="str">
        <f t="shared" si="3"/>
        <v>21135517500125</v>
      </c>
      <c r="F57" s="497">
        <v>21135517500125</v>
      </c>
      <c r="G57" t="s">
        <v>1358</v>
      </c>
      <c r="H57" t="s">
        <v>9</v>
      </c>
      <c r="I57">
        <v>25</v>
      </c>
      <c r="J57" s="14">
        <v>91</v>
      </c>
      <c r="K57" s="511">
        <v>2275</v>
      </c>
      <c r="L57" s="14">
        <v>35080500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10875</v>
      </c>
      <c r="C58" s="655">
        <f t="shared" si="2"/>
        <v>0</v>
      </c>
      <c r="D58" s="656" t="str">
        <f>IFERROR(VLOOKUP(E58,Map!$B:$F,4,0),"")&amp;IFERROR(VLOOKUP(E58,Map!$B:$F,5,0),"")</f>
        <v>689525</v>
      </c>
      <c r="E58" s="657" t="str">
        <f t="shared" si="3"/>
        <v>21163950000125</v>
      </c>
      <c r="F58" s="497">
        <v>21163950000125</v>
      </c>
      <c r="G58" t="s">
        <v>1559</v>
      </c>
      <c r="H58" t="s">
        <v>9</v>
      </c>
      <c r="I58">
        <v>25</v>
      </c>
      <c r="J58" s="14">
        <v>435</v>
      </c>
      <c r="K58" s="511">
        <v>10875</v>
      </c>
      <c r="L58" s="14">
        <v>87652500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2750</v>
      </c>
      <c r="C59" s="655">
        <f t="shared" si="2"/>
        <v>0</v>
      </c>
      <c r="D59" s="656" t="str">
        <f>IFERROR(VLOOKUP(E59,Map!$B:$F,4,0),"")&amp;IFERROR(VLOOKUP(E59,Map!$B:$F,5,0),"")</f>
        <v>95325</v>
      </c>
      <c r="E59" s="657" t="str">
        <f t="shared" si="3"/>
        <v>21125530000125</v>
      </c>
      <c r="F59" s="497">
        <v>21125530000125</v>
      </c>
      <c r="G59" t="s">
        <v>2713</v>
      </c>
      <c r="H59" t="s">
        <v>9</v>
      </c>
      <c r="I59">
        <v>25</v>
      </c>
      <c r="J59" s="14">
        <v>110</v>
      </c>
      <c r="K59" s="511">
        <v>2750</v>
      </c>
      <c r="L59" s="14">
        <v>29535000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13910</v>
      </c>
      <c r="C60" s="655">
        <f t="shared" si="2"/>
        <v>0</v>
      </c>
      <c r="D60" s="656" t="str">
        <f>IFERROR(VLOOKUP(E60,Map!$B:$F,4,0),"")&amp;IFERROR(VLOOKUP(E60,Map!$B:$F,5,0),"")</f>
        <v>550SSilo</v>
      </c>
      <c r="E60" s="657" t="str">
        <f t="shared" si="3"/>
        <v>21115501900100</v>
      </c>
      <c r="F60" s="497">
        <v>21115501900100</v>
      </c>
      <c r="G60" t="s">
        <v>1108</v>
      </c>
      <c r="H60" t="s">
        <v>9</v>
      </c>
      <c r="I60">
        <v>0</v>
      </c>
      <c r="J60" s="14">
        <v>0</v>
      </c>
      <c r="K60" s="511">
        <v>13910</v>
      </c>
      <c r="L60" s="14">
        <v>305463600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925</v>
      </c>
      <c r="C61" s="655">
        <f t="shared" si="2"/>
        <v>0</v>
      </c>
      <c r="D61" s="656" t="str">
        <f>IFERROR(VLOOKUP(E61,Map!$B:$F,4,0),"")&amp;IFERROR(VLOOKUP(E61,Map!$B:$F,5,0),"")</f>
        <v>550S25</v>
      </c>
      <c r="E61" s="657" t="str">
        <f t="shared" si="3"/>
        <v>21115501900125</v>
      </c>
      <c r="F61" s="497">
        <v>21115501900125</v>
      </c>
      <c r="G61" t="s">
        <v>2714</v>
      </c>
      <c r="H61" t="s">
        <v>9</v>
      </c>
      <c r="I61">
        <v>25</v>
      </c>
      <c r="J61" s="14">
        <v>37</v>
      </c>
      <c r="K61" s="511">
        <v>925</v>
      </c>
      <c r="L61" s="14">
        <v>20498000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375</v>
      </c>
      <c r="C62" s="655">
        <f t="shared" si="2"/>
        <v>0</v>
      </c>
      <c r="D62" s="656" t="str">
        <f>IFERROR(VLOOKUP(E62,Map!$B:$F,4,0),"")&amp;IFERROR(VLOOKUP(E62,Map!$B:$F,5,0),"")</f>
        <v>550S (5*5)25</v>
      </c>
      <c r="E62" s="657" t="str">
        <f t="shared" si="3"/>
        <v>21115501900425</v>
      </c>
      <c r="F62" s="497">
        <v>21115501900425</v>
      </c>
      <c r="G62" t="s">
        <v>2715</v>
      </c>
      <c r="H62" t="s">
        <v>9</v>
      </c>
      <c r="I62">
        <v>25</v>
      </c>
      <c r="J62" s="14">
        <v>15</v>
      </c>
      <c r="K62" s="511">
        <v>375</v>
      </c>
      <c r="L62" s="14">
        <v>8385000</v>
      </c>
      <c r="M62" s="646"/>
    </row>
    <row r="63" spans="2:18">
      <c r="B63" s="654">
        <f>IF(F63="","",(SUMIF(INTGRATE!$Y:$Y,data!D63,INTGRATE!$L:$L)+SUMIF(BRAN!$V:$V,data!D63,BRAN!$J:$J)))</f>
        <v>4400</v>
      </c>
      <c r="C63" s="655">
        <f t="shared" si="2"/>
        <v>0</v>
      </c>
      <c r="D63" s="656" t="str">
        <f>IFERROR(VLOOKUP(E63,Map!$B:$F,4,0),"")&amp;IFERROR(VLOOKUP(E63,Map!$B:$F,5,0),"")</f>
        <v>56725</v>
      </c>
      <c r="E63" s="657" t="str">
        <f t="shared" si="3"/>
        <v>21115670000125</v>
      </c>
      <c r="F63" s="497">
        <v>21115670000125</v>
      </c>
      <c r="G63" t="s">
        <v>2716</v>
      </c>
      <c r="H63" t="s">
        <v>9</v>
      </c>
      <c r="I63">
        <v>25</v>
      </c>
      <c r="J63" s="14">
        <v>176</v>
      </c>
      <c r="K63" s="511">
        <v>4400</v>
      </c>
      <c r="L63" s="14">
        <v>53196000</v>
      </c>
      <c r="M63" s="646"/>
    </row>
    <row r="64" spans="2:18">
      <c r="B64" s="654">
        <f>IF(F64="","",(SUMIF(INTGRATE!$Y:$Y,data!D64,INTGRATE!$L:$L)+SUMIF(BRAN!$V:$V,data!D64,BRAN!$J:$J)))</f>
        <v>13710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566FSilo</v>
      </c>
      <c r="E64" s="657" t="str">
        <f t="shared" ref="E64:E83" si="5">IF(MID(F64,10,2)="99",F64&amp;H64,LEFT(F64,14))</f>
        <v>21115660000300</v>
      </c>
      <c r="F64" s="497">
        <v>21115660000300</v>
      </c>
      <c r="G64" t="s">
        <v>2717</v>
      </c>
      <c r="H64" t="s">
        <v>9</v>
      </c>
      <c r="I64">
        <v>0</v>
      </c>
      <c r="J64" s="14">
        <v>0</v>
      </c>
      <c r="K64" s="511">
        <v>13710</v>
      </c>
      <c r="L64" s="14">
        <v>113107500</v>
      </c>
      <c r="M64" s="646"/>
    </row>
    <row r="65" spans="2:13">
      <c r="B65" s="654">
        <f>IF(F65="","",(SUMIF(INTGRATE!$Y:$Y,data!D65,INTGRATE!$L:$L)+SUMIF(BRAN!$V:$V,data!D65,BRAN!$J:$J)))</f>
        <v>6725</v>
      </c>
      <c r="C65" s="655">
        <f t="shared" si="4"/>
        <v>0</v>
      </c>
      <c r="D65" s="656" t="str">
        <f>IFERROR(VLOOKUP(E65,Map!$B:$F,4,0),"")&amp;IFERROR(VLOOKUP(E65,Map!$B:$F,5,0),"")</f>
        <v>BS045A25</v>
      </c>
      <c r="E65" s="657" t="str">
        <f t="shared" si="5"/>
        <v>2113384005A125</v>
      </c>
      <c r="F65" s="497" t="s">
        <v>1781</v>
      </c>
      <c r="G65" t="s">
        <v>1782</v>
      </c>
      <c r="H65" t="s">
        <v>9</v>
      </c>
      <c r="I65">
        <v>25</v>
      </c>
      <c r="J65" s="14">
        <v>269</v>
      </c>
      <c r="K65" s="511">
        <v>6725</v>
      </c>
      <c r="L65" s="14">
        <v>50975500</v>
      </c>
      <c r="M65" s="646"/>
    </row>
    <row r="66" spans="2:13">
      <c r="B66" s="654">
        <f>IF(F66="","",(SUMIF(INTGRATE!$Y:$Y,data!D66,INTGRATE!$L:$L)+SUMIF(BRAN!$V:$V,data!D66,BRAN!$J:$J)))</f>
        <v>8900</v>
      </c>
      <c r="C66" s="655">
        <f t="shared" si="4"/>
        <v>0</v>
      </c>
      <c r="D66" s="656" t="str">
        <f>IFERROR(VLOOKUP(E66,Map!$B:$F,4,0),"")&amp;IFERROR(VLOOKUP(E66,Map!$B:$F,5,0),"")</f>
        <v>551FS5450</v>
      </c>
      <c r="E66" s="657" t="str">
        <f t="shared" si="5"/>
        <v>21115510099250S54</v>
      </c>
      <c r="F66" s="497">
        <v>21115510099250</v>
      </c>
      <c r="G66" t="s">
        <v>1269</v>
      </c>
      <c r="H66" t="s">
        <v>2694</v>
      </c>
      <c r="I66">
        <v>50</v>
      </c>
      <c r="J66" s="14">
        <v>178</v>
      </c>
      <c r="K66" s="511">
        <v>8900</v>
      </c>
      <c r="L66" s="14">
        <v>111250000</v>
      </c>
      <c r="M66" s="646"/>
    </row>
    <row r="67" spans="2:13">
      <c r="B67" s="654">
        <f>IF(F67="","",(SUMIF(INTGRATE!$Y:$Y,data!D67,INTGRATE!$L:$L)+SUMIF(BRAN!$V:$V,data!D67,BRAN!$J:$J)))</f>
        <v>14050</v>
      </c>
      <c r="C67" s="655">
        <f t="shared" si="4"/>
        <v>0</v>
      </c>
      <c r="D67" s="656" t="str">
        <f>IFERROR(VLOOKUP(E67,Map!$B:$F,4,0),"")&amp;IFERROR(VLOOKUP(E67,Map!$B:$F,5,0),"")</f>
        <v>550SF50</v>
      </c>
      <c r="E67" s="657" t="str">
        <f t="shared" si="5"/>
        <v>21115501900250</v>
      </c>
      <c r="F67" s="497">
        <v>21115501900250</v>
      </c>
      <c r="G67" t="s">
        <v>1848</v>
      </c>
      <c r="H67" t="s">
        <v>9</v>
      </c>
      <c r="I67">
        <v>50</v>
      </c>
      <c r="J67" s="14">
        <v>281</v>
      </c>
      <c r="K67" s="511">
        <v>14050</v>
      </c>
      <c r="L67" s="14">
        <v>205270500</v>
      </c>
      <c r="M67" s="646"/>
    </row>
    <row r="68" spans="2:13">
      <c r="B68" s="654">
        <f>IF(F68="","",(SUMIF(INTGRATE!$Y:$Y,data!D68,INTGRATE!$L:$L)+SUMIF(BRAN!$V:$V,data!D68,BRAN!$J:$J)))</f>
        <v>1125</v>
      </c>
      <c r="C68" s="655">
        <f t="shared" si="4"/>
        <v>0</v>
      </c>
      <c r="D68" s="656" t="str">
        <f>IFERROR(VLOOKUP(E68,Map!$B:$F,4,0),"")&amp;IFERROR(VLOOKUP(E68,Map!$B:$F,5,0),"")</f>
        <v>96725</v>
      </c>
      <c r="E68" s="657" t="str">
        <f t="shared" si="5"/>
        <v>21125670000125</v>
      </c>
      <c r="F68" s="497">
        <v>21125670000125</v>
      </c>
      <c r="G68" t="s">
        <v>2718</v>
      </c>
      <c r="H68" t="s">
        <v>9</v>
      </c>
      <c r="I68">
        <v>25</v>
      </c>
      <c r="J68" s="14">
        <v>45</v>
      </c>
      <c r="K68" s="511">
        <v>1125</v>
      </c>
      <c r="L68" s="14">
        <v>13601250</v>
      </c>
      <c r="M68" s="646"/>
    </row>
    <row r="69" spans="2:13">
      <c r="B69" s="654">
        <f>IF(F69="","",(SUMIF(INTGRATE!$Y:$Y,data!D69,INTGRATE!$L:$L)+SUMIF(BRAN!$V:$V,data!D69,BRAN!$J:$J)))</f>
        <v>8500</v>
      </c>
      <c r="C69" s="655">
        <f t="shared" si="4"/>
        <v>0</v>
      </c>
      <c r="D69" s="656" t="str">
        <f>IFERROR(VLOOKUP(E69,Map!$B:$F,4,0),"")&amp;IFERROR(VLOOKUP(E69,Map!$B:$F,5,0),"")</f>
        <v>510S25</v>
      </c>
      <c r="E69" s="657" t="str">
        <f t="shared" si="5"/>
        <v>21115101900125</v>
      </c>
      <c r="F69" s="497">
        <v>21115101900125</v>
      </c>
      <c r="G69" t="s">
        <v>1044</v>
      </c>
      <c r="H69" t="s">
        <v>9</v>
      </c>
      <c r="I69">
        <v>25</v>
      </c>
      <c r="J69" s="14">
        <v>340</v>
      </c>
      <c r="K69" s="511">
        <v>8500</v>
      </c>
      <c r="L69" s="14">
        <v>110415000</v>
      </c>
      <c r="M69" s="646"/>
    </row>
    <row r="70" spans="2:13">
      <c r="B70" s="654">
        <f>IF(F70="","",(SUMIF(INTGRATE!$Y:$Y,data!D70,INTGRATE!$L:$L)+SUMIF(BRAN!$V:$V,data!D70,BRAN!$J:$J)))</f>
        <v>625</v>
      </c>
      <c r="C70" s="655">
        <f t="shared" si="4"/>
        <v>0</v>
      </c>
      <c r="D70" s="656" t="str">
        <f>IFERROR(VLOOKUP(E70,Map!$B:$F,4,0),"")&amp;IFERROR(VLOOKUP(E70,Map!$B:$F,5,0),"")</f>
        <v>35225</v>
      </c>
      <c r="E70" s="657" t="str">
        <f t="shared" si="5"/>
        <v>21113520000125</v>
      </c>
      <c r="F70" s="497">
        <v>21113520000125</v>
      </c>
      <c r="G70" t="s">
        <v>2719</v>
      </c>
      <c r="H70" t="s">
        <v>9</v>
      </c>
      <c r="I70">
        <v>25</v>
      </c>
      <c r="J70" s="14">
        <v>25</v>
      </c>
      <c r="K70" s="511">
        <v>625</v>
      </c>
      <c r="L70" s="14">
        <v>7100000</v>
      </c>
      <c r="M70" s="646"/>
    </row>
    <row r="71" spans="2:13">
      <c r="B71" s="654">
        <f>IF(F71="","",(SUMIF(INTGRATE!$Y:$Y,data!D71,INTGRATE!$L:$L)+SUMIF(BRAN!$V:$V,data!D71,BRAN!$J:$J)))</f>
        <v>250</v>
      </c>
      <c r="C71" s="655">
        <f t="shared" si="4"/>
        <v>0</v>
      </c>
      <c r="D71" s="656" t="str">
        <f>IFERROR(VLOOKUP(E71,Map!$B:$F,4,0),"")&amp;IFERROR(VLOOKUP(E71,Map!$B:$F,5,0),"")</f>
        <v>88425</v>
      </c>
      <c r="E71" s="657" t="str">
        <f t="shared" si="5"/>
        <v>21123840000125</v>
      </c>
      <c r="F71" s="497">
        <v>21123840000125</v>
      </c>
      <c r="G71" t="s">
        <v>2720</v>
      </c>
      <c r="H71" t="s">
        <v>9</v>
      </c>
      <c r="I71">
        <v>25</v>
      </c>
      <c r="J71" s="14">
        <v>10</v>
      </c>
      <c r="K71" s="511">
        <v>250</v>
      </c>
      <c r="L71" s="14">
        <v>2325000</v>
      </c>
      <c r="M71" s="646"/>
    </row>
    <row r="72" spans="2:13">
      <c r="B72" s="654">
        <f>IF(F72="","",(SUMIF(INTGRATE!$Y:$Y,data!D72,INTGRATE!$L:$L)+SUMIF(BRAN!$V:$V,data!D72,BRAN!$J:$J)))</f>
        <v>21950</v>
      </c>
      <c r="C72" s="655">
        <f t="shared" si="4"/>
        <v>0</v>
      </c>
      <c r="D72" s="656" t="str">
        <f>IFERROR(VLOOKUP(E72,Map!$B:$F,4,0),"")&amp;IFERROR(VLOOKUP(E72,Map!$B:$F,5,0),"")</f>
        <v>55225</v>
      </c>
      <c r="E72" s="657" t="str">
        <f t="shared" si="5"/>
        <v>21115520000125</v>
      </c>
      <c r="F72" s="497">
        <v>21115520000125</v>
      </c>
      <c r="G72" t="s">
        <v>2721</v>
      </c>
      <c r="H72" t="s">
        <v>9</v>
      </c>
      <c r="I72">
        <v>25</v>
      </c>
      <c r="J72" s="14">
        <v>878</v>
      </c>
      <c r="K72" s="511">
        <v>21950</v>
      </c>
      <c r="L72" s="14">
        <v>251547000</v>
      </c>
      <c r="M72" s="646"/>
    </row>
    <row r="73" spans="2:13">
      <c r="B73" s="654">
        <f>IF(F73="","",(SUMIF(INTGRATE!$Y:$Y,data!D73,INTGRATE!$L:$L)+SUMIF(BRAN!$V:$V,data!D73,BRAN!$J:$J)))</f>
        <v>18050</v>
      </c>
      <c r="C73" s="655">
        <f t="shared" si="4"/>
        <v>0</v>
      </c>
      <c r="D73" s="656" t="str">
        <f>IFERROR(VLOOKUP(E73,Map!$B:$F,4,0),"")&amp;IFERROR(VLOOKUP(E73,Map!$B:$F,5,0),"")</f>
        <v>56625</v>
      </c>
      <c r="E73" s="657" t="str">
        <f t="shared" si="5"/>
        <v>21115660000125</v>
      </c>
      <c r="F73" s="497">
        <v>21115660000125</v>
      </c>
      <c r="G73" t="s">
        <v>2722</v>
      </c>
      <c r="H73" t="s">
        <v>9</v>
      </c>
      <c r="I73">
        <v>25</v>
      </c>
      <c r="J73" s="14">
        <v>722</v>
      </c>
      <c r="K73" s="511">
        <v>18050</v>
      </c>
      <c r="L73" s="14">
        <v>195481500</v>
      </c>
      <c r="M73" s="646"/>
    </row>
    <row r="74" spans="2:13">
      <c r="B74" s="654">
        <f>IF(F74="","",(SUMIF(INTGRATE!$Y:$Y,data!D74,INTGRATE!$L:$L)+SUMIF(BRAN!$V:$V,data!D74,BRAN!$J:$J)))</f>
        <v>134420</v>
      </c>
      <c r="C74" s="655">
        <f t="shared" si="4"/>
        <v>0</v>
      </c>
      <c r="D74" s="656" t="str">
        <f>IFERROR(VLOOKUP(E74,Map!$B:$F,4,0),"")&amp;IFERROR(VLOOKUP(E74,Map!$B:$F,5,0),"")</f>
        <v>552SFS90silo</v>
      </c>
      <c r="E74" s="657" t="str">
        <f t="shared" si="5"/>
        <v>21115521999300S90</v>
      </c>
      <c r="F74" s="497">
        <v>21115521999300</v>
      </c>
      <c r="G74" t="s">
        <v>941</v>
      </c>
      <c r="H74" t="s">
        <v>1620</v>
      </c>
      <c r="I74">
        <v>0</v>
      </c>
      <c r="J74" s="14">
        <v>0</v>
      </c>
      <c r="K74" s="511">
        <v>134420</v>
      </c>
      <c r="L74" s="14">
        <v>1255482800</v>
      </c>
      <c r="M74" s="646"/>
    </row>
    <row r="75" spans="2:13">
      <c r="B75" s="654">
        <f>IF(F75="","",(SUMIF(INTGRATE!$Y:$Y,data!D75,INTGRATE!$L:$L)+SUMIF(BRAN!$V:$V,data!D75,BRAN!$J:$J)))</f>
        <v>393100</v>
      </c>
      <c r="C75" s="655">
        <f t="shared" si="4"/>
        <v>0</v>
      </c>
      <c r="D75" s="656" t="str">
        <f>IFERROR(VLOOKUP(E75,Map!$B:$F,4,0),"")&amp;IFERROR(VLOOKUP(E75,Map!$B:$F,5,0),"")</f>
        <v>552FS9050</v>
      </c>
      <c r="E75" s="657" t="str">
        <f t="shared" si="5"/>
        <v>21115520099250S90</v>
      </c>
      <c r="F75" s="497">
        <v>21115520099250</v>
      </c>
      <c r="G75" t="s">
        <v>940</v>
      </c>
      <c r="H75" t="s">
        <v>1620</v>
      </c>
      <c r="I75">
        <v>50</v>
      </c>
      <c r="J75" s="14">
        <v>7862</v>
      </c>
      <c r="K75" s="511">
        <v>393100</v>
      </c>
      <c r="L75" s="14">
        <v>3349212000</v>
      </c>
      <c r="M75" s="646"/>
    </row>
    <row r="76" spans="2:13">
      <c r="B76" s="654">
        <f>IF(F76="","",(SUMIF(INTGRATE!$Y:$Y,data!D76,INTGRATE!$L:$L)+SUMIF(BRAN!$V:$V,data!D76,BRAN!$J:$J)))</f>
        <v>18350</v>
      </c>
      <c r="C76" s="655">
        <f t="shared" si="4"/>
        <v>0</v>
      </c>
      <c r="D76" s="656" t="str">
        <f>IFERROR(VLOOKUP(E76,Map!$B:$F,4,0),"")&amp;IFERROR(VLOOKUP(E76,Map!$B:$F,5,0),"")</f>
        <v>567SFS25SILO</v>
      </c>
      <c r="E76" s="657" t="str">
        <f t="shared" si="5"/>
        <v>21115671999300S25</v>
      </c>
      <c r="F76" s="497">
        <v>21115671999300</v>
      </c>
      <c r="G76" t="s">
        <v>939</v>
      </c>
      <c r="H76" t="s">
        <v>2723</v>
      </c>
      <c r="I76">
        <v>0</v>
      </c>
      <c r="J76" s="14">
        <v>0</v>
      </c>
      <c r="K76" s="511">
        <v>18350</v>
      </c>
      <c r="L76" s="14">
        <v>202400500</v>
      </c>
      <c r="M76" s="646"/>
    </row>
    <row r="77" spans="2:13">
      <c r="B77" s="654">
        <f>IF(F77="","",(SUMIF(INTGRATE!$Y:$Y,data!D77,INTGRATE!$L:$L)+SUMIF(BRAN!$V:$V,data!D77,BRAN!$J:$J)))</f>
        <v>32000</v>
      </c>
      <c r="C77" s="655">
        <f t="shared" si="4"/>
        <v>0</v>
      </c>
      <c r="D77" s="656" t="str">
        <f>IFERROR(VLOOKUP(E77,Map!$B:$F,4,0),"")&amp;IFERROR(VLOOKUP(E77,Map!$B:$F,5,0),"")</f>
        <v>540F50</v>
      </c>
      <c r="E77" s="657" t="str">
        <f t="shared" si="5"/>
        <v>21115400000250</v>
      </c>
      <c r="F77" s="497">
        <v>21115400000250</v>
      </c>
      <c r="G77" t="s">
        <v>2724</v>
      </c>
      <c r="H77" t="s">
        <v>9</v>
      </c>
      <c r="I77">
        <v>50</v>
      </c>
      <c r="J77" s="14">
        <v>640</v>
      </c>
      <c r="K77" s="511">
        <v>32000</v>
      </c>
      <c r="L77" s="14">
        <v>280320000</v>
      </c>
      <c r="M77" s="646"/>
    </row>
    <row r="78" spans="2:13">
      <c r="B78" s="654">
        <f>IF(F78="","",(SUMIF(INTGRATE!$Y:$Y,data!D78,INTGRATE!$L:$L)+SUMIF(BRAN!$V:$V,data!D78,BRAN!$J:$J)))</f>
        <v>1825</v>
      </c>
      <c r="C78" s="655">
        <f t="shared" si="4"/>
        <v>0</v>
      </c>
      <c r="D78" s="656" t="str">
        <f>IFERROR(VLOOKUP(E78,Map!$B:$F,4,0),"")&amp;IFERROR(VLOOKUP(E78,Map!$B:$F,5,0),"")</f>
        <v>BS04A5A25</v>
      </c>
      <c r="E78" s="657" t="str">
        <f t="shared" si="5"/>
        <v>2113384015A125</v>
      </c>
      <c r="F78" s="497" t="s">
        <v>1789</v>
      </c>
      <c r="G78" t="s">
        <v>1790</v>
      </c>
      <c r="H78" t="s">
        <v>9</v>
      </c>
      <c r="I78">
        <v>25</v>
      </c>
      <c r="J78" s="14">
        <v>73</v>
      </c>
      <c r="K78" s="511">
        <v>1825</v>
      </c>
      <c r="L78" s="14">
        <v>13267750</v>
      </c>
      <c r="M78" s="646"/>
    </row>
    <row r="79" spans="2:13">
      <c r="B79" s="654">
        <f>IF(F79="","",(SUMIF(INTGRATE!$Y:$Y,data!D79,INTGRATE!$L:$L)+SUMIF(BRAN!$V:$V,data!D79,BRAN!$J:$J)))</f>
        <v>29700</v>
      </c>
      <c r="C79" s="655">
        <f t="shared" si="4"/>
        <v>0</v>
      </c>
      <c r="D79" s="656" t="str">
        <f>IFERROR(VLOOKUP(E79,Map!$B:$F,4,0),"")&amp;IFERROR(VLOOKUP(E79,Map!$B:$F,5,0),"")</f>
        <v>566FS31SILO</v>
      </c>
      <c r="E79" s="657" t="str">
        <f t="shared" si="5"/>
        <v>21115660099300S31</v>
      </c>
      <c r="F79" s="497">
        <v>21115660099300</v>
      </c>
      <c r="G79" t="s">
        <v>1196</v>
      </c>
      <c r="H79" t="s">
        <v>2685</v>
      </c>
      <c r="I79">
        <v>0</v>
      </c>
      <c r="J79" s="14">
        <v>0</v>
      </c>
      <c r="K79" s="511">
        <v>29700</v>
      </c>
      <c r="L79" s="14">
        <v>263142000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553MFSilo</v>
      </c>
      <c r="E80" s="657" t="str">
        <f t="shared" si="5"/>
        <v>21115531300300</v>
      </c>
      <c r="F80" s="497">
        <v>21115531300300</v>
      </c>
      <c r="G80" t="s">
        <v>805</v>
      </c>
      <c r="H80" t="s">
        <v>9</v>
      </c>
      <c r="I80">
        <v>0</v>
      </c>
      <c r="J80" s="14">
        <v>0</v>
      </c>
      <c r="K80" s="511">
        <v>29460</v>
      </c>
      <c r="L80" s="14">
        <v>246580200</v>
      </c>
      <c r="M80" s="646"/>
    </row>
    <row r="81" spans="2:13">
      <c r="B81" s="654">
        <f>IF(F81="","",(SUMIF(INTGRATE!$Y:$Y,data!D81,INTGRATE!$L:$L)+SUMIF(BRAN!$V:$V,data!D81,BRAN!$J:$J)))</f>
        <v>425</v>
      </c>
      <c r="C81" s="655">
        <f>IF(F81="","",B81-K81)</f>
        <v>0</v>
      </c>
      <c r="D81" s="656" t="str">
        <f>IFERROR(VLOOKUP(E81,Map!$B:$F,4,0),"")&amp;IFERROR(VLOOKUP(E81,Map!$B:$F,5,0),"")</f>
        <v>51125</v>
      </c>
      <c r="E81" s="657" t="str">
        <f t="shared" si="5"/>
        <v>21115110000125</v>
      </c>
      <c r="F81" s="730">
        <v>21115110000125</v>
      </c>
      <c r="G81" s="659" t="s">
        <v>2725</v>
      </c>
      <c r="H81" s="659" t="s">
        <v>9</v>
      </c>
      <c r="I81" s="659">
        <v>25</v>
      </c>
      <c r="J81" s="663">
        <v>17</v>
      </c>
      <c r="K81" s="663">
        <v>425</v>
      </c>
      <c r="L81" s="663">
        <v>5197750</v>
      </c>
      <c r="M81" s="646"/>
    </row>
    <row r="82" spans="2:13">
      <c r="B82" s="654">
        <f>IF(F82="","",(SUMIF(INTGRATE!$Y:$Y,data!D82,INTGRATE!$L:$L)+SUMIF(BRAN!$V:$V,data!D82,BRAN!$J:$J)))</f>
        <v>42920</v>
      </c>
      <c r="C82" s="655">
        <f>IF(F82="","",B82-K82)</f>
        <v>0</v>
      </c>
      <c r="D82" s="656" t="str">
        <f>IFERROR(VLOOKUP(E82,Map!$B:$F,4,0),"")&amp;IFERROR(VLOOKUP(E82,Map!$B:$F,5,0),"")</f>
        <v>552FS90silo</v>
      </c>
      <c r="E82" s="657" t="str">
        <f t="shared" si="5"/>
        <v>21115520099300S90</v>
      </c>
      <c r="F82" s="730">
        <v>21115520099300</v>
      </c>
      <c r="G82" s="659" t="s">
        <v>937</v>
      </c>
      <c r="H82" s="659" t="s">
        <v>1620</v>
      </c>
      <c r="I82" s="659">
        <v>0</v>
      </c>
      <c r="J82" s="663">
        <v>0</v>
      </c>
      <c r="K82" s="663">
        <v>42920</v>
      </c>
      <c r="L82" s="663">
        <v>360528000</v>
      </c>
      <c r="M82" s="646"/>
    </row>
    <row r="83" spans="2:13">
      <c r="B83" s="654">
        <f>IF(F83="","",(SUMIF(INTGRATE!$Y:$Y,data!D83,INTGRATE!$L:$L)+SUMIF(BRAN!$V:$V,data!D83,BRAN!$J:$J)))</f>
        <v>14650</v>
      </c>
      <c r="C83" s="655">
        <f>IF(F83="","",B83-K83)</f>
        <v>0</v>
      </c>
      <c r="D83" s="656" t="str">
        <f>IFERROR(VLOOKUP(E83,Map!$B:$F,4,0),"")&amp;IFERROR(VLOOKUP(E83,Map!$B:$F,5,0),"")</f>
        <v>HT1225</v>
      </c>
      <c r="E83" s="657" t="str">
        <f t="shared" si="5"/>
        <v>21135520000125</v>
      </c>
      <c r="F83" s="881">
        <v>21135520000125</v>
      </c>
      <c r="G83" s="658" t="s">
        <v>2726</v>
      </c>
      <c r="H83" s="658" t="s">
        <v>9</v>
      </c>
      <c r="I83" s="658">
        <v>25</v>
      </c>
      <c r="J83" s="661">
        <v>586</v>
      </c>
      <c r="K83" s="661">
        <v>14650</v>
      </c>
      <c r="L83" s="661">
        <v>165398500</v>
      </c>
      <c r="M83" s="646"/>
    </row>
    <row r="84" spans="2:13">
      <c r="B84" s="654">
        <f>IF(F84="","",(SUMIF(INTGRATE!$Y:$Y,data!D84,INTGRATE!$L:$L)+SUMIF(BRAN!$V:$V,data!D84,BRAN!$J:$J)))</f>
        <v>5100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695225</v>
      </c>
      <c r="E84" s="657" t="str">
        <f t="shared" ref="E84:E95" si="7">IF(MID(F84,10,2)="99",F84&amp;H84,LEFT(F84,14))</f>
        <v>21165520000125</v>
      </c>
      <c r="F84" s="880">
        <v>21165520000125</v>
      </c>
      <c r="G84" s="635" t="s">
        <v>1471</v>
      </c>
      <c r="H84" s="438" t="s">
        <v>9</v>
      </c>
      <c r="I84" s="438">
        <v>25</v>
      </c>
      <c r="J84" s="698">
        <v>204</v>
      </c>
      <c r="K84" s="711">
        <v>5100</v>
      </c>
      <c r="L84" s="635">
        <v>52020000</v>
      </c>
      <c r="M84" s="646"/>
    </row>
    <row r="85" spans="2:13">
      <c r="B85" s="654">
        <f>IF(F85="","",(SUMIF(INTGRATE!$Y:$Y,data!D85,INTGRATE!$L:$L)+SUMIF(BRAN!$V:$V,data!D85,BRAN!$J:$J)))</f>
        <v>42200</v>
      </c>
      <c r="C85" s="655">
        <f t="shared" si="6"/>
        <v>0</v>
      </c>
      <c r="D85" s="656" t="str">
        <f>IFERROR(VLOOKUP(E85,Map!$B:$F,4,0),"")&amp;IFERROR(VLOOKUP(E85,Map!$B:$F,5,0),"")</f>
        <v>511B25</v>
      </c>
      <c r="E85" s="657" t="str">
        <f t="shared" si="7"/>
        <v>21115110200125</v>
      </c>
      <c r="F85" s="730">
        <v>21115110200125</v>
      </c>
      <c r="G85" s="659" t="s">
        <v>2727</v>
      </c>
      <c r="H85" s="659" t="s">
        <v>9</v>
      </c>
      <c r="I85" s="659">
        <v>25</v>
      </c>
      <c r="J85" s="663">
        <v>1688</v>
      </c>
      <c r="K85" s="663">
        <v>42200</v>
      </c>
      <c r="L85" s="663">
        <v>511886000</v>
      </c>
      <c r="M85" s="646"/>
    </row>
    <row r="86" spans="2:13">
      <c r="B86" s="654">
        <f>IF(F86="","",(SUMIF(INTGRATE!$Y:$Y,data!D86,INTGRATE!$L:$L)+SUMIF(BRAN!$V:$V,data!D86,BRAN!$J:$J)))</f>
        <v>1150</v>
      </c>
      <c r="C86" s="655">
        <f t="shared" si="6"/>
        <v>0</v>
      </c>
      <c r="D86" s="656" t="str">
        <f>IFERROR(VLOOKUP(E86,Map!$B:$F,4,0),"")&amp;IFERROR(VLOOKUP(E86,Map!$B:$F,5,0),"")</f>
        <v>699525</v>
      </c>
      <c r="E86" s="657" t="str">
        <f t="shared" si="7"/>
        <v>21165950000125</v>
      </c>
      <c r="F86" s="881">
        <v>21165950000125</v>
      </c>
      <c r="G86" s="645" t="s">
        <v>1551</v>
      </c>
      <c r="H86" s="658" t="s">
        <v>9</v>
      </c>
      <c r="I86" s="658">
        <v>25</v>
      </c>
      <c r="J86" s="661">
        <v>46</v>
      </c>
      <c r="K86" s="661">
        <v>1150</v>
      </c>
      <c r="L86" s="661">
        <v>9384000</v>
      </c>
      <c r="M86" s="646"/>
    </row>
    <row r="87" spans="2:13">
      <c r="B87" s="654">
        <f>IF(F87="","",(SUMIF(INTGRATE!$Y:$Y,data!D87,INTGRATE!$L:$L)+SUMIF(BRAN!$V:$V,data!D87,BRAN!$J:$J)))</f>
        <v>3475</v>
      </c>
      <c r="C87" s="655">
        <f t="shared" si="6"/>
        <v>0</v>
      </c>
      <c r="D87" s="656" t="str">
        <f>IFERROR(VLOOKUP(E87,Map!$B:$F,4,0),"")&amp;IFERROR(VLOOKUP(E87,Map!$B:$F,5,0),"")</f>
        <v>96625</v>
      </c>
      <c r="E87" s="657" t="str">
        <f t="shared" si="7"/>
        <v>21125660000125</v>
      </c>
      <c r="F87" s="730">
        <v>21125660000125</v>
      </c>
      <c r="G87" s="659" t="s">
        <v>2728</v>
      </c>
      <c r="H87" s="659" t="s">
        <v>9</v>
      </c>
      <c r="I87" s="659">
        <v>25</v>
      </c>
      <c r="J87" s="663">
        <v>139</v>
      </c>
      <c r="K87" s="663">
        <v>3475</v>
      </c>
      <c r="L87" s="663">
        <v>37634250</v>
      </c>
      <c r="M87" s="646"/>
    </row>
    <row r="88" spans="2:13">
      <c r="B88" s="654">
        <f>IF(F88="","",(SUMIF(INTGRATE!$Y:$Y,data!D88,INTGRATE!$L:$L)+SUMIF(BRAN!$V:$V,data!D88,BRAN!$J:$J)))</f>
        <v>2850</v>
      </c>
      <c r="C88" s="655">
        <f t="shared" si="6"/>
        <v>0</v>
      </c>
      <c r="D88" s="656" t="str">
        <f>IFERROR(VLOOKUP(E88,Map!$B:$F,4,0),"")&amp;IFERROR(VLOOKUP(E88,Map!$B:$F,5,0),"")</f>
        <v>511M25</v>
      </c>
      <c r="E88" s="657" t="str">
        <f t="shared" si="7"/>
        <v>21115111300125</v>
      </c>
      <c r="F88" s="881">
        <v>21115111300125</v>
      </c>
      <c r="G88" s="645" t="s">
        <v>2729</v>
      </c>
      <c r="H88" s="658" t="s">
        <v>9</v>
      </c>
      <c r="I88" s="658">
        <v>25</v>
      </c>
      <c r="J88" s="661">
        <v>114</v>
      </c>
      <c r="K88" s="661">
        <v>2850</v>
      </c>
      <c r="L88" s="661">
        <v>33202500</v>
      </c>
      <c r="M88" s="646"/>
    </row>
    <row r="89" spans="2:13">
      <c r="B89" s="654">
        <f>IF(F89="","",(SUMIF(INTGRATE!$Y:$Y,data!D89,INTGRATE!$L:$L)+SUMIF(BRAN!$V:$V,data!D89,BRAN!$J:$J)))</f>
        <v>6375</v>
      </c>
      <c r="C89" s="655">
        <f t="shared" si="6"/>
        <v>0</v>
      </c>
      <c r="D89" s="656" t="str">
        <f>IFERROR(VLOOKUP(E89,Map!$B:$F,4,0),"")&amp;IFERROR(VLOOKUP(E89,Map!$B:$F,5,0),"")</f>
        <v>552SPro25</v>
      </c>
      <c r="E89" s="657" t="str">
        <f t="shared" si="7"/>
        <v>21115521916125</v>
      </c>
      <c r="F89" s="730">
        <v>21115521916125</v>
      </c>
      <c r="G89" s="659" t="s">
        <v>1463</v>
      </c>
      <c r="H89" s="659" t="s">
        <v>9</v>
      </c>
      <c r="I89" s="659">
        <v>25</v>
      </c>
      <c r="J89" s="663">
        <v>255</v>
      </c>
      <c r="K89" s="663">
        <v>6375</v>
      </c>
      <c r="L89" s="663">
        <v>81600000</v>
      </c>
      <c r="M89" s="646"/>
    </row>
    <row r="90" spans="2:13">
      <c r="B90" s="654">
        <f>IF(F90="","",(SUMIF(INTGRATE!$Y:$Y,data!D90,INTGRATE!$L:$L)+SUMIF(BRAN!$V:$V,data!D90,BRAN!$J:$J)))</f>
        <v>3925</v>
      </c>
      <c r="C90" s="655">
        <f t="shared" si="6"/>
        <v>0</v>
      </c>
      <c r="D90" s="656" t="str">
        <f>IFERROR(VLOOKUP(E90,Map!$B:$F,4,0),"")&amp;IFERROR(VLOOKUP(E90,Map!$B:$F,5,0),"")</f>
        <v>30225</v>
      </c>
      <c r="E90" s="657" t="str">
        <f t="shared" si="7"/>
        <v>21113020000125</v>
      </c>
      <c r="F90" s="730">
        <v>21113020000125</v>
      </c>
      <c r="G90" s="659" t="s">
        <v>2730</v>
      </c>
      <c r="H90" s="659" t="s">
        <v>9</v>
      </c>
      <c r="I90" s="659">
        <v>25</v>
      </c>
      <c r="J90" s="663">
        <v>157</v>
      </c>
      <c r="K90" s="663">
        <v>3925</v>
      </c>
      <c r="L90" s="663">
        <v>41605000</v>
      </c>
      <c r="M90" s="646"/>
    </row>
    <row r="91" spans="2:13">
      <c r="B91" s="654">
        <f>IF(F91="","",(SUMIF(INTGRATE!$Y:$Y,data!D91,INTGRATE!$L:$L)+SUMIF(BRAN!$V:$V,data!D91,BRAN!$J:$J)))</f>
        <v>14650</v>
      </c>
      <c r="C91" s="655">
        <f t="shared" si="6"/>
        <v>0</v>
      </c>
      <c r="D91" s="656" t="str">
        <f>IFERROR(VLOOKUP(E91,Map!$B:$F,4,0),"")&amp;IFERROR(VLOOKUP(E91,Map!$B:$F,5,0),"")</f>
        <v>550SFS2550</v>
      </c>
      <c r="E91" s="657" t="str">
        <f t="shared" si="7"/>
        <v>21115501999250S25</v>
      </c>
      <c r="F91" s="730">
        <v>21115501999250</v>
      </c>
      <c r="G91" s="659" t="s">
        <v>1936</v>
      </c>
      <c r="H91" s="659" t="s">
        <v>2723</v>
      </c>
      <c r="I91" s="659">
        <v>50</v>
      </c>
      <c r="J91" s="663">
        <v>293</v>
      </c>
      <c r="K91" s="663">
        <v>14650</v>
      </c>
      <c r="L91" s="663">
        <v>235572000</v>
      </c>
      <c r="M91" s="646"/>
    </row>
    <row r="92" spans="2:13">
      <c r="B92" s="654">
        <f>IF(F92="","",(SUMIF(INTGRATE!$Y:$Y,data!D92,INTGRATE!$L:$L)+SUMIF(BRAN!$V:$V,data!D92,BRAN!$J:$J)))</f>
        <v>14000</v>
      </c>
      <c r="C92" s="655">
        <f t="shared" si="6"/>
        <v>0</v>
      </c>
      <c r="D92" s="656" t="str">
        <f>IFERROR(VLOOKUP(E92,Map!$B:$F,4,0),"")&amp;IFERROR(VLOOKUP(E92,Map!$B:$F,5,0),"")</f>
        <v>552M25</v>
      </c>
      <c r="E92" s="657" t="str">
        <f t="shared" si="7"/>
        <v>21115521300125</v>
      </c>
      <c r="F92" s="881">
        <v>21115521300125</v>
      </c>
      <c r="G92" s="645" t="s">
        <v>2731</v>
      </c>
      <c r="H92" s="658" t="s">
        <v>9</v>
      </c>
      <c r="I92" s="658">
        <v>25</v>
      </c>
      <c r="J92" s="662">
        <v>560</v>
      </c>
      <c r="K92" s="661">
        <v>14000</v>
      </c>
      <c r="L92" s="661">
        <v>162120000</v>
      </c>
      <c r="M92" s="646"/>
    </row>
    <row r="93" spans="2:13">
      <c r="B93" s="654">
        <f>IF(F93="","",(SUMIF(INTGRATE!$Y:$Y,data!D93,INTGRATE!$L:$L)+SUMIF(BRAN!$V:$V,data!D93,BRAN!$J:$J)))</f>
        <v>925</v>
      </c>
      <c r="C93" s="655">
        <f t="shared" si="6"/>
        <v>0</v>
      </c>
      <c r="D93" s="656" t="str">
        <f>IFERROR(VLOOKUP(E93,Map!$B:$F,4,0),"")&amp;IFERROR(VLOOKUP(E93,Map!$B:$F,5,0),"")</f>
        <v>551 (5*5)25</v>
      </c>
      <c r="E93" s="657" t="str">
        <f t="shared" si="7"/>
        <v>21115510000425</v>
      </c>
      <c r="F93" s="881">
        <v>21115510000425</v>
      </c>
      <c r="G93" s="659" t="s">
        <v>2732</v>
      </c>
      <c r="H93" s="659" t="s">
        <v>9</v>
      </c>
      <c r="I93" s="659">
        <v>25</v>
      </c>
      <c r="J93" s="664">
        <v>37</v>
      </c>
      <c r="K93" s="663">
        <v>925</v>
      </c>
      <c r="L93" s="663">
        <v>15928500</v>
      </c>
      <c r="M93" s="646"/>
    </row>
    <row r="94" spans="2:13">
      <c r="B94" s="654">
        <f>IF(F94="","",(SUMIF(INTGRATE!$Y:$Y,data!D94,INTGRATE!$L:$L)+SUMIF(BRAN!$V:$V,data!D94,BRAN!$J:$J)))</f>
        <v>28550</v>
      </c>
      <c r="C94" s="655">
        <f t="shared" si="6"/>
        <v>0</v>
      </c>
      <c r="D94" s="656" t="str">
        <f>IFERROR(VLOOKUP(E94,Map!$B:$F,4,0),"")&amp;IFERROR(VLOOKUP(E94,Map!$B:$F,5,0),"")</f>
        <v>552FSilo</v>
      </c>
      <c r="E94" s="657" t="str">
        <f t="shared" si="7"/>
        <v>21115520000300</v>
      </c>
      <c r="F94" s="730">
        <v>21115520000300</v>
      </c>
      <c r="G94" s="659" t="s">
        <v>626</v>
      </c>
      <c r="H94" s="659" t="s">
        <v>9</v>
      </c>
      <c r="I94" s="659">
        <v>0</v>
      </c>
      <c r="J94" s="664">
        <v>0</v>
      </c>
      <c r="K94" s="663">
        <v>28550</v>
      </c>
      <c r="L94" s="663">
        <v>234681000</v>
      </c>
      <c r="M94" s="646"/>
    </row>
    <row r="95" spans="2:13">
      <c r="B95" s="654">
        <f>IF(F95="","",(SUMIF(INTGRATE!$Y:$Y,data!D95,INTGRATE!$L:$L)+SUMIF(BRAN!$V:$V,data!D95,BRAN!$J:$J)))</f>
        <v>10825</v>
      </c>
      <c r="C95" s="655">
        <f t="shared" ref="C95:C104" si="8">IF(F95="","",B95-K95)</f>
        <v>0</v>
      </c>
      <c r="D95" s="656" t="str">
        <f>IFERROR(VLOOKUP(E95,Map!$B:$F,4,0),"")&amp;IFERROR(VLOOKUP(E95,Map!$B:$F,5,0),"")</f>
        <v>VT1225</v>
      </c>
      <c r="E95" s="657" t="str">
        <f t="shared" si="7"/>
        <v>21135400000125</v>
      </c>
      <c r="F95" s="881">
        <v>21135400000125</v>
      </c>
      <c r="G95" s="645" t="s">
        <v>2733</v>
      </c>
      <c r="H95" s="658" t="s">
        <v>9</v>
      </c>
      <c r="I95" s="658">
        <v>25</v>
      </c>
      <c r="J95" s="661">
        <v>433</v>
      </c>
      <c r="K95" s="661">
        <v>10825</v>
      </c>
      <c r="L95" s="661">
        <v>122539000</v>
      </c>
      <c r="M95" s="646"/>
    </row>
    <row r="96" spans="2:13">
      <c r="B96" s="654">
        <f>IF(F96="","",(SUMIF(INTGRATE!$Y:$Y,data!D96,INTGRATE!$L:$L)+SUMIF(BRAN!$V:$V,data!D96,BRAN!$J:$J)))</f>
        <v>1750</v>
      </c>
      <c r="C96" s="655">
        <f t="shared" si="8"/>
        <v>0</v>
      </c>
      <c r="D96" s="656" t="str">
        <f>IFERROR(VLOOKUP(E96,Map!$B:$F,4,0),"")&amp;IFERROR(VLOOKUP(E96,Map!$B:$F,5,0),"")</f>
        <v>95125</v>
      </c>
      <c r="E96" s="657" t="str">
        <f t="shared" ref="E96:E104" si="9">IF(MID(F96,10,2)="99",F96&amp;H96,LEFT(F96,14))</f>
        <v>21125510000125</v>
      </c>
      <c r="F96" s="730">
        <v>21125510000125</v>
      </c>
      <c r="G96" s="659" t="s">
        <v>2734</v>
      </c>
      <c r="H96" s="659" t="s">
        <v>9</v>
      </c>
      <c r="I96" s="659">
        <v>25</v>
      </c>
      <c r="J96" s="663">
        <v>70</v>
      </c>
      <c r="K96" s="663">
        <v>1750</v>
      </c>
      <c r="L96" s="663">
        <v>29785000</v>
      </c>
      <c r="M96" s="646"/>
    </row>
    <row r="97" spans="2:13">
      <c r="B97" s="654">
        <f>IF(F97="","",(SUMIF(INTGRATE!$Y:$Y,data!D97,INTGRATE!$L:$L)+SUMIF(BRAN!$V:$V,data!D97,BRAN!$J:$J)))</f>
        <v>3750</v>
      </c>
      <c r="C97" s="655">
        <f t="shared" si="8"/>
        <v>0</v>
      </c>
      <c r="D97" s="656" t="str">
        <f>IFERROR(VLOOKUP(E97,Map!$B:$F,4,0),"")&amp;IFERROR(VLOOKUP(E97,Map!$B:$F,5,0),"")</f>
        <v>692425</v>
      </c>
      <c r="E97" s="657" t="str">
        <f t="shared" si="9"/>
        <v>21165240000125</v>
      </c>
      <c r="F97" s="730">
        <v>21165240000125</v>
      </c>
      <c r="G97" s="659" t="s">
        <v>1562</v>
      </c>
      <c r="H97" s="659" t="s">
        <v>9</v>
      </c>
      <c r="I97" s="659">
        <v>25</v>
      </c>
      <c r="J97" s="663">
        <v>150</v>
      </c>
      <c r="K97" s="663">
        <v>3750</v>
      </c>
      <c r="L97" s="663">
        <v>37462500</v>
      </c>
      <c r="M97" s="646"/>
    </row>
    <row r="98" spans="2:13">
      <c r="B98" s="654">
        <f>IF(F98="","",(SUMIF(INTGRATE!$Y:$Y,data!D98,INTGRATE!$L:$L)+SUMIF(BRAN!$V:$V,data!D98,BRAN!$J:$J)))</f>
        <v>1000</v>
      </c>
      <c r="C98" s="655">
        <f t="shared" si="8"/>
        <v>0</v>
      </c>
      <c r="D98" s="656" t="str">
        <f>IFERROR(VLOOKUP(E98,Map!$B:$F,4,0),"")&amp;IFERROR(VLOOKUP(E98,Map!$B:$F,5,0),"")</f>
        <v>699125</v>
      </c>
      <c r="E98" s="657" t="str">
        <f t="shared" si="9"/>
        <v>21165910000125</v>
      </c>
      <c r="F98" s="730">
        <v>21165910000125</v>
      </c>
      <c r="G98" s="659" t="s">
        <v>1470</v>
      </c>
      <c r="H98" s="659" t="s">
        <v>9</v>
      </c>
      <c r="I98" s="659">
        <v>25</v>
      </c>
      <c r="J98" s="663">
        <v>40</v>
      </c>
      <c r="K98" s="663">
        <v>1000</v>
      </c>
      <c r="L98" s="663">
        <v>10080000</v>
      </c>
      <c r="M98" s="646"/>
    </row>
    <row r="99" spans="2:13">
      <c r="B99" s="654">
        <f>IF(F99="","",(SUMIF(INTGRATE!$Y:$Y,data!D99,INTGRATE!$L:$L)+SUMIF(BRAN!$V:$V,data!D99,BRAN!$J:$J)))</f>
        <v>48000</v>
      </c>
      <c r="C99" s="655">
        <f t="shared" si="8"/>
        <v>0</v>
      </c>
      <c r="D99" s="656" t="str">
        <f>IFERROR(VLOOKUP(E99,Map!$B:$F,4,0),"")&amp;IFERROR(VLOOKUP(E99,Map!$B:$F,5,0),"")</f>
        <v>550SFS3150</v>
      </c>
      <c r="E99" s="657" t="str">
        <f t="shared" si="9"/>
        <v>21115501999250S31</v>
      </c>
      <c r="F99" s="730">
        <v>21115501999250</v>
      </c>
      <c r="G99" s="659" t="s">
        <v>1936</v>
      </c>
      <c r="H99" s="659" t="s">
        <v>2685</v>
      </c>
      <c r="I99" s="659">
        <v>50</v>
      </c>
      <c r="J99" s="663">
        <v>960</v>
      </c>
      <c r="K99" s="663">
        <v>48000</v>
      </c>
      <c r="L99" s="663">
        <v>730080000</v>
      </c>
      <c r="M99" s="646"/>
    </row>
    <row r="100" spans="2:13">
      <c r="B100" s="654">
        <f>IF(F100="","",(SUMIF(INTGRATE!$Y:$Y,data!D100,INTGRATE!$L:$L)+SUMIF(BRAN!$V:$V,data!D100,BRAN!$J:$J)))</f>
        <v>14780</v>
      </c>
      <c r="C100" s="655">
        <f t="shared" si="8"/>
        <v>0</v>
      </c>
      <c r="D100" s="656" t="str">
        <f>IFERROR(VLOOKUP(E100,Map!$B:$F,4,0),"")&amp;IFERROR(VLOOKUP(E100,Map!$B:$F,5,0),"")</f>
        <v>548FSilo</v>
      </c>
      <c r="E100" s="657" t="str">
        <f t="shared" si="9"/>
        <v>21115480000300</v>
      </c>
      <c r="F100" s="730">
        <v>21115480000300</v>
      </c>
      <c r="G100" s="659" t="s">
        <v>2735</v>
      </c>
      <c r="H100" s="659" t="s">
        <v>9</v>
      </c>
      <c r="I100" s="659">
        <v>0</v>
      </c>
      <c r="J100" s="663">
        <v>0</v>
      </c>
      <c r="K100" s="663">
        <v>14780</v>
      </c>
      <c r="L100" s="663">
        <v>134350200</v>
      </c>
      <c r="M100" s="646"/>
    </row>
    <row r="101" spans="2:13">
      <c r="B101" s="654" t="str">
        <f>IF(F101="","",(SUMIF(INTGRATE!$Y:$Y,data!D101,INTGRATE!$L:$L)+SUMIF(BRAN!$V:$V,data!D101,BRAN!$J:$J)))</f>
        <v/>
      </c>
      <c r="C101" s="655" t="str">
        <f t="shared" si="8"/>
        <v/>
      </c>
      <c r="D101" s="656" t="str">
        <f>IFERROR(VLOOKUP(E101,Map!$B:$F,4,0),"")&amp;IFERROR(VLOOKUP(E101,Map!$B:$F,5,0),"")</f>
        <v/>
      </c>
      <c r="E101" s="657" t="str">
        <f t="shared" si="9"/>
        <v/>
      </c>
      <c r="I101" s="659"/>
      <c r="M101" s="646"/>
    </row>
    <row r="102" spans="2:13">
      <c r="B102" s="654" t="str">
        <f>IF(F102="","",(SUMIF(INTGRATE!$Y:$Y,data!D102,INTGRATE!$L:$L)+SUMIF(BRAN!$V:$V,data!D102,BRAN!$J:$J)))</f>
        <v/>
      </c>
      <c r="C102" s="655" t="str">
        <f t="shared" si="8"/>
        <v/>
      </c>
      <c r="D102" s="656" t="str">
        <f>IFERROR(VLOOKUP(E102,Map!$B:$F,4,0),"")&amp;IFERROR(VLOOKUP(E102,Map!$B:$F,5,0),"")</f>
        <v/>
      </c>
      <c r="E102" s="657" t="str">
        <f t="shared" si="9"/>
        <v/>
      </c>
      <c r="I102" s="659"/>
      <c r="M102" s="646"/>
    </row>
    <row r="103" spans="2:13">
      <c r="B103" s="654" t="str">
        <f>IF(F103="","",(SUMIF(INTGRATE!$Y:$Y,data!D103,INTGRATE!$L:$L)+SUMIF(BRAN!$V:$V,data!D103,BRAN!$J:$J)))</f>
        <v/>
      </c>
      <c r="C103" s="655" t="str">
        <f t="shared" si="8"/>
        <v/>
      </c>
      <c r="D103" s="656" t="str">
        <f>IFERROR(VLOOKUP(E103,Map!$B:$F,4,0),"")&amp;IFERROR(VLOOKUP(E103,Map!$B:$F,5,0),"")</f>
        <v/>
      </c>
      <c r="E103" s="657" t="str">
        <f>IF(MID(F103,10,2)="99",F103&amp;H103,LEFT(F103,14))</f>
        <v/>
      </c>
      <c r="I103" s="659"/>
      <c r="M103" s="646"/>
    </row>
    <row r="104" spans="2:13">
      <c r="B104" s="654" t="str">
        <f>IF(F104="","",(SUMIF(INTGRATE!$Y:$Y,data!D104,INTGRATE!$L:$L)+SUMIF(BRAN!$V:$V,data!D104,BRAN!$J:$J)))</f>
        <v/>
      </c>
      <c r="C104" s="655" t="str">
        <f t="shared" si="8"/>
        <v/>
      </c>
      <c r="D104" s="656" t="str">
        <f>IFERROR(VLOOKUP(E104,Map!$B:$F,4,0),"")&amp;IFERROR(VLOOKUP(E104,Map!$B:$F,5,0),"")</f>
        <v/>
      </c>
      <c r="E104" s="657" t="str">
        <f t="shared" si="9"/>
        <v/>
      </c>
      <c r="I104" s="659"/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O25" sqref="O25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2736</v>
      </c>
      <c r="D1" s="438" t="s">
        <v>2737</v>
      </c>
      <c r="E1" s="438" t="s">
        <v>2738</v>
      </c>
      <c r="F1" s="438" t="s">
        <v>2739</v>
      </c>
      <c r="G1" s="438" t="s">
        <v>2740</v>
      </c>
      <c r="H1" s="438" t="s">
        <v>2741</v>
      </c>
      <c r="I1" s="438" t="s">
        <v>2742</v>
      </c>
      <c r="J1" s="438" t="s">
        <v>2741</v>
      </c>
      <c r="K1" s="438" t="s">
        <v>2742</v>
      </c>
      <c r="L1" s="438" t="s">
        <v>2741</v>
      </c>
      <c r="M1" s="438" t="s">
        <v>2742</v>
      </c>
      <c r="N1" s="438" t="s">
        <v>2741</v>
      </c>
      <c r="O1" s="438" t="s">
        <v>2742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30125</v>
      </c>
      <c r="B2" s="481">
        <f t="shared" si="1"/>
        <v>25</v>
      </c>
      <c r="C2" s="438" t="s">
        <v>1994</v>
      </c>
      <c r="D2" s="635">
        <v>25</v>
      </c>
      <c r="E2" s="438" t="s">
        <v>2743</v>
      </c>
      <c r="H2" s="711">
        <v>0</v>
      </c>
      <c r="I2" s="635">
        <v>0</v>
      </c>
      <c r="J2" s="711">
        <v>800</v>
      </c>
      <c r="K2" s="635">
        <v>20000</v>
      </c>
      <c r="L2" s="711">
        <v>190</v>
      </c>
      <c r="M2" s="635">
        <v>4750</v>
      </c>
      <c r="N2" s="711">
        <v>990</v>
      </c>
      <c r="O2" s="635">
        <v>24750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50225</v>
      </c>
      <c r="B3" s="481">
        <f t="shared" si="1"/>
        <v>25</v>
      </c>
      <c r="C3" s="438" t="s">
        <v>2744</v>
      </c>
      <c r="D3" s="635">
        <v>25</v>
      </c>
      <c r="E3" s="438" t="s">
        <v>2745</v>
      </c>
      <c r="H3" s="711">
        <v>0</v>
      </c>
      <c r="I3" s="635">
        <v>0</v>
      </c>
      <c r="J3" s="711">
        <v>324</v>
      </c>
      <c r="K3" s="635">
        <v>8100</v>
      </c>
      <c r="L3" s="711">
        <v>44</v>
      </c>
      <c r="M3" s="635">
        <v>1100</v>
      </c>
      <c r="N3" s="711">
        <v>368</v>
      </c>
      <c r="O3" s="635">
        <v>9200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51025</v>
      </c>
      <c r="B4" s="481">
        <f t="shared" si="1"/>
        <v>25</v>
      </c>
      <c r="C4" s="438" t="s">
        <v>2746</v>
      </c>
      <c r="D4" s="635">
        <v>25</v>
      </c>
      <c r="E4" s="438" t="s">
        <v>2747</v>
      </c>
      <c r="H4" s="711">
        <v>0</v>
      </c>
      <c r="I4" s="635">
        <v>0</v>
      </c>
      <c r="J4" s="711">
        <v>0</v>
      </c>
      <c r="K4" s="635">
        <v>0</v>
      </c>
      <c r="L4" s="711">
        <v>440</v>
      </c>
      <c r="M4" s="635">
        <v>11000</v>
      </c>
      <c r="N4" s="711">
        <v>440</v>
      </c>
      <c r="O4" s="635">
        <v>11000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510M25</v>
      </c>
      <c r="B5" s="481">
        <f t="shared" si="1"/>
        <v>25</v>
      </c>
      <c r="C5" s="438" t="s">
        <v>110</v>
      </c>
      <c r="D5" s="635">
        <v>25</v>
      </c>
      <c r="E5" s="438" t="s">
        <v>2748</v>
      </c>
      <c r="H5" s="711">
        <v>446</v>
      </c>
      <c r="I5" s="635">
        <v>11150</v>
      </c>
      <c r="J5" s="711">
        <v>0</v>
      </c>
      <c r="K5" s="635">
        <v>0</v>
      </c>
      <c r="L5" s="711">
        <v>0</v>
      </c>
      <c r="M5" s="635">
        <v>0</v>
      </c>
      <c r="N5" s="711">
        <v>446</v>
      </c>
      <c r="O5" s="635">
        <v>11150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510NFP9250</v>
      </c>
      <c r="B6" s="481">
        <f t="shared" si="1"/>
        <v>50</v>
      </c>
      <c r="C6" s="438" t="s">
        <v>126</v>
      </c>
      <c r="D6" s="635">
        <v>50</v>
      </c>
      <c r="E6" s="438" t="s">
        <v>2749</v>
      </c>
      <c r="F6" s="438" t="s">
        <v>2750</v>
      </c>
      <c r="H6" s="711">
        <v>703</v>
      </c>
      <c r="I6" s="635">
        <v>35150</v>
      </c>
      <c r="J6" s="711">
        <v>0</v>
      </c>
      <c r="K6" s="635">
        <v>0</v>
      </c>
      <c r="L6" s="711">
        <v>0</v>
      </c>
      <c r="M6" s="635">
        <v>0</v>
      </c>
      <c r="N6" s="711">
        <v>703</v>
      </c>
      <c r="O6" s="635">
        <v>35150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510S25</v>
      </c>
      <c r="B7" s="481">
        <f t="shared" si="1"/>
        <v>25</v>
      </c>
      <c r="C7" s="438" t="s">
        <v>1034</v>
      </c>
      <c r="D7" s="635">
        <v>25</v>
      </c>
      <c r="E7" s="438" t="s">
        <v>2751</v>
      </c>
      <c r="H7" s="711">
        <v>0</v>
      </c>
      <c r="I7" s="635">
        <v>0</v>
      </c>
      <c r="J7" s="711">
        <v>591</v>
      </c>
      <c r="K7" s="635">
        <v>14775</v>
      </c>
      <c r="L7" s="711">
        <v>0</v>
      </c>
      <c r="M7" s="635">
        <v>0</v>
      </c>
      <c r="N7" s="711">
        <v>591</v>
      </c>
      <c r="O7" s="635">
        <v>14775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52225</v>
      </c>
      <c r="B8" s="481">
        <f t="shared" si="1"/>
        <v>25</v>
      </c>
      <c r="C8" s="438" t="s">
        <v>2038</v>
      </c>
      <c r="D8" s="635">
        <v>25</v>
      </c>
      <c r="E8" s="438" t="s">
        <v>2752</v>
      </c>
      <c r="H8" s="711">
        <v>231</v>
      </c>
      <c r="I8" s="635">
        <v>5775</v>
      </c>
      <c r="J8" s="711">
        <v>0</v>
      </c>
      <c r="K8" s="635">
        <v>0</v>
      </c>
      <c r="L8" s="711">
        <v>0</v>
      </c>
      <c r="M8" s="635">
        <v>0</v>
      </c>
      <c r="N8" s="711">
        <v>231</v>
      </c>
      <c r="O8" s="635">
        <v>5775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548F50</v>
      </c>
      <c r="B9" s="481">
        <f t="shared" si="1"/>
        <v>50</v>
      </c>
      <c r="C9" s="438" t="s">
        <v>107</v>
      </c>
      <c r="D9" s="635">
        <v>50</v>
      </c>
      <c r="E9" s="438" t="s">
        <v>2753</v>
      </c>
      <c r="H9" s="711">
        <v>0</v>
      </c>
      <c r="I9" s="635">
        <v>0</v>
      </c>
      <c r="J9" s="711">
        <v>8</v>
      </c>
      <c r="K9" s="635">
        <v>400</v>
      </c>
      <c r="L9" s="711">
        <v>0</v>
      </c>
      <c r="M9" s="635">
        <v>0</v>
      </c>
      <c r="N9" s="711">
        <v>8</v>
      </c>
      <c r="O9" s="635">
        <v>400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550SF50</v>
      </c>
      <c r="B10" s="481">
        <f t="shared" si="1"/>
        <v>50</v>
      </c>
      <c r="C10" s="438" t="s">
        <v>58</v>
      </c>
      <c r="D10" s="635">
        <v>50</v>
      </c>
      <c r="E10" s="438" t="s">
        <v>2754</v>
      </c>
      <c r="H10" s="711">
        <v>0</v>
      </c>
      <c r="I10" s="635">
        <v>0</v>
      </c>
      <c r="J10" s="711">
        <v>975</v>
      </c>
      <c r="K10" s="635">
        <v>48750</v>
      </c>
      <c r="L10" s="711">
        <v>0</v>
      </c>
      <c r="M10" s="635">
        <v>0</v>
      </c>
      <c r="N10" s="711">
        <v>975</v>
      </c>
      <c r="O10" s="635">
        <v>48750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550SFS2550</v>
      </c>
      <c r="B11" s="481">
        <f t="shared" si="1"/>
        <v>50</v>
      </c>
      <c r="C11" s="438" t="s">
        <v>58</v>
      </c>
      <c r="D11" s="635">
        <v>50</v>
      </c>
      <c r="E11" s="438" t="s">
        <v>1842</v>
      </c>
      <c r="F11" s="438" t="s">
        <v>2723</v>
      </c>
      <c r="H11" s="711">
        <v>0</v>
      </c>
      <c r="I11" s="635">
        <v>0</v>
      </c>
      <c r="J11" s="711">
        <v>432</v>
      </c>
      <c r="K11" s="635">
        <v>21600</v>
      </c>
      <c r="L11" s="711">
        <v>545</v>
      </c>
      <c r="M11" s="635">
        <v>27250</v>
      </c>
      <c r="N11" s="711">
        <v>977</v>
      </c>
      <c r="O11" s="635">
        <v>48850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550SFS3150</v>
      </c>
      <c r="B12" s="481">
        <f t="shared" si="1"/>
        <v>50</v>
      </c>
      <c r="C12" s="438" t="s">
        <v>58</v>
      </c>
      <c r="D12" s="635">
        <v>50</v>
      </c>
      <c r="E12" s="438" t="s">
        <v>1842</v>
      </c>
      <c r="F12" s="438" t="s">
        <v>2685</v>
      </c>
      <c r="H12" s="711">
        <v>814</v>
      </c>
      <c r="I12" s="635">
        <v>40700</v>
      </c>
      <c r="J12" s="711">
        <v>161</v>
      </c>
      <c r="K12" s="635">
        <v>8050</v>
      </c>
      <c r="L12" s="711">
        <v>0</v>
      </c>
      <c r="M12" s="635">
        <v>0</v>
      </c>
      <c r="N12" s="711">
        <v>975</v>
      </c>
      <c r="O12" s="635">
        <v>48750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551GP25</v>
      </c>
      <c r="B13" s="481">
        <f t="shared" si="1"/>
        <v>25</v>
      </c>
      <c r="C13" s="438" t="s">
        <v>103</v>
      </c>
      <c r="D13" s="635">
        <v>25</v>
      </c>
      <c r="E13" s="438" t="s">
        <v>2755</v>
      </c>
      <c r="H13" s="711">
        <v>31</v>
      </c>
      <c r="I13" s="635">
        <v>775</v>
      </c>
      <c r="J13" s="711">
        <v>0</v>
      </c>
      <c r="K13" s="635">
        <v>0</v>
      </c>
      <c r="L13" s="711">
        <v>0</v>
      </c>
      <c r="M13" s="635">
        <v>0</v>
      </c>
      <c r="N13" s="711">
        <v>31</v>
      </c>
      <c r="O13" s="635">
        <v>775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551GPFS3150</v>
      </c>
      <c r="B14" s="481">
        <f t="shared" si="1"/>
        <v>50</v>
      </c>
      <c r="C14" s="438" t="s">
        <v>120</v>
      </c>
      <c r="D14" s="635">
        <v>50</v>
      </c>
      <c r="E14" s="438" t="s">
        <v>1672</v>
      </c>
      <c r="F14" s="438" t="s">
        <v>2685</v>
      </c>
      <c r="H14" s="711">
        <v>1069</v>
      </c>
      <c r="I14" s="635">
        <v>53450</v>
      </c>
      <c r="J14" s="711">
        <v>0</v>
      </c>
      <c r="K14" s="635">
        <v>0</v>
      </c>
      <c r="L14" s="711">
        <v>0</v>
      </c>
      <c r="M14" s="635">
        <v>0</v>
      </c>
      <c r="N14" s="711">
        <v>1069</v>
      </c>
      <c r="O14" s="635">
        <v>53450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551GPFS5450</v>
      </c>
      <c r="B15" s="481">
        <f t="shared" si="1"/>
        <v>50</v>
      </c>
      <c r="C15" s="438" t="s">
        <v>120</v>
      </c>
      <c r="D15" s="635">
        <v>50</v>
      </c>
      <c r="E15" s="438" t="s">
        <v>1672</v>
      </c>
      <c r="F15" s="438" t="s">
        <v>2694</v>
      </c>
      <c r="H15" s="711">
        <v>1627</v>
      </c>
      <c r="I15" s="635">
        <v>81350</v>
      </c>
      <c r="J15" s="711">
        <v>0</v>
      </c>
      <c r="K15" s="635">
        <v>0</v>
      </c>
      <c r="L15" s="711">
        <v>0</v>
      </c>
      <c r="M15" s="635">
        <v>0</v>
      </c>
      <c r="N15" s="711">
        <v>1627</v>
      </c>
      <c r="O15" s="635">
        <v>81350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552F50</v>
      </c>
      <c r="B16" s="481">
        <f t="shared" si="1"/>
        <v>50</v>
      </c>
      <c r="C16" s="438" t="s">
        <v>24</v>
      </c>
      <c r="D16" s="635">
        <v>50</v>
      </c>
      <c r="E16" s="438" t="s">
        <v>2756</v>
      </c>
      <c r="H16" s="711">
        <v>0</v>
      </c>
      <c r="I16" s="635">
        <v>0</v>
      </c>
      <c r="J16" s="711">
        <v>648</v>
      </c>
      <c r="K16" s="635">
        <v>32400</v>
      </c>
      <c r="L16" s="711">
        <v>6570</v>
      </c>
      <c r="M16" s="635">
        <v>328500</v>
      </c>
      <c r="N16" s="711">
        <v>7218</v>
      </c>
      <c r="O16" s="635">
        <v>360900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552FS9050</v>
      </c>
      <c r="B17" s="481">
        <f t="shared" si="1"/>
        <v>50</v>
      </c>
      <c r="C17" s="438" t="s">
        <v>24</v>
      </c>
      <c r="D17" s="635">
        <v>50</v>
      </c>
      <c r="E17" s="438" t="s">
        <v>2757</v>
      </c>
      <c r="F17" s="438" t="s">
        <v>1620</v>
      </c>
      <c r="H17" s="711">
        <v>1512</v>
      </c>
      <c r="I17" s="635">
        <v>75600</v>
      </c>
      <c r="J17" s="711">
        <v>5301</v>
      </c>
      <c r="K17" s="635">
        <v>265050</v>
      </c>
      <c r="L17" s="711">
        <v>433</v>
      </c>
      <c r="M17" s="635">
        <v>21650</v>
      </c>
      <c r="N17" s="711">
        <v>7246</v>
      </c>
      <c r="O17" s="635">
        <v>362300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552M25</v>
      </c>
      <c r="B18" s="481">
        <f t="shared" si="1"/>
        <v>25</v>
      </c>
      <c r="C18" s="438" t="s">
        <v>123</v>
      </c>
      <c r="D18" s="635">
        <v>25</v>
      </c>
      <c r="E18" s="438" t="s">
        <v>2758</v>
      </c>
      <c r="H18" s="711">
        <v>1290</v>
      </c>
      <c r="I18" s="635">
        <v>32250</v>
      </c>
      <c r="J18" s="711">
        <v>0</v>
      </c>
      <c r="K18" s="635">
        <v>0</v>
      </c>
      <c r="L18" s="711">
        <v>0</v>
      </c>
      <c r="M18" s="635">
        <v>0</v>
      </c>
      <c r="N18" s="711">
        <v>1290</v>
      </c>
      <c r="O18" s="635">
        <v>32250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552SF50</v>
      </c>
      <c r="B19" s="481">
        <f t="shared" si="1"/>
        <v>50</v>
      </c>
      <c r="C19" s="438" t="s">
        <v>23</v>
      </c>
      <c r="D19" s="635">
        <v>50</v>
      </c>
      <c r="E19" s="438" t="s">
        <v>2759</v>
      </c>
      <c r="H19" s="711">
        <v>0</v>
      </c>
      <c r="I19" s="635">
        <v>0</v>
      </c>
      <c r="J19" s="711">
        <v>0</v>
      </c>
      <c r="K19" s="635">
        <v>0</v>
      </c>
      <c r="L19" s="711">
        <v>1448</v>
      </c>
      <c r="M19" s="635">
        <v>72400</v>
      </c>
      <c r="N19" s="711">
        <v>1448</v>
      </c>
      <c r="O19" s="635">
        <v>72400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552SFS9050</v>
      </c>
      <c r="B20" s="481">
        <f t="shared" si="1"/>
        <v>50</v>
      </c>
      <c r="C20" s="438" t="s">
        <v>23</v>
      </c>
      <c r="D20" s="635">
        <v>50</v>
      </c>
      <c r="E20" s="438" t="s">
        <v>2760</v>
      </c>
      <c r="F20" s="438" t="s">
        <v>1620</v>
      </c>
      <c r="H20" s="711">
        <v>702</v>
      </c>
      <c r="I20" s="635">
        <v>35100</v>
      </c>
      <c r="J20" s="711">
        <v>3510</v>
      </c>
      <c r="K20" s="635">
        <v>175500</v>
      </c>
      <c r="L20" s="711">
        <v>209</v>
      </c>
      <c r="M20" s="635">
        <v>10450</v>
      </c>
      <c r="N20" s="711">
        <v>4421</v>
      </c>
      <c r="O20" s="635">
        <v>221050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553MF50</v>
      </c>
      <c r="B21" s="481">
        <f t="shared" si="1"/>
        <v>50</v>
      </c>
      <c r="C21" s="438" t="s">
        <v>125</v>
      </c>
      <c r="D21" s="635">
        <v>50</v>
      </c>
      <c r="E21" s="438" t="s">
        <v>2761</v>
      </c>
      <c r="H21" s="711">
        <v>2626</v>
      </c>
      <c r="I21" s="635">
        <v>131300</v>
      </c>
      <c r="J21" s="711">
        <v>506</v>
      </c>
      <c r="K21" s="635">
        <v>25300</v>
      </c>
      <c r="L21" s="711">
        <v>0</v>
      </c>
      <c r="M21" s="635">
        <v>0</v>
      </c>
      <c r="N21" s="711">
        <v>3132</v>
      </c>
      <c r="O21" s="635">
        <v>156600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553S25</v>
      </c>
      <c r="B22" s="481">
        <f t="shared" si="1"/>
        <v>25</v>
      </c>
      <c r="C22" s="438" t="s">
        <v>68</v>
      </c>
      <c r="D22" s="635">
        <v>25</v>
      </c>
      <c r="E22" s="438" t="s">
        <v>2762</v>
      </c>
      <c r="H22" s="711">
        <v>0</v>
      </c>
      <c r="I22" s="635">
        <v>0</v>
      </c>
      <c r="J22" s="711">
        <v>0</v>
      </c>
      <c r="K22" s="635">
        <v>0</v>
      </c>
      <c r="L22" s="711">
        <v>2378</v>
      </c>
      <c r="M22" s="635">
        <v>59450</v>
      </c>
      <c r="N22" s="711">
        <v>2378</v>
      </c>
      <c r="O22" s="635">
        <v>59450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56225</v>
      </c>
      <c r="B23" s="481">
        <f t="shared" si="1"/>
        <v>25</v>
      </c>
      <c r="C23" s="438" t="s">
        <v>2104</v>
      </c>
      <c r="D23" s="635">
        <v>25</v>
      </c>
      <c r="E23" s="438" t="s">
        <v>2763</v>
      </c>
      <c r="H23" s="711">
        <v>0</v>
      </c>
      <c r="I23" s="635">
        <v>0</v>
      </c>
      <c r="J23" s="711">
        <v>0</v>
      </c>
      <c r="K23" s="635">
        <v>0</v>
      </c>
      <c r="L23" s="711">
        <v>963</v>
      </c>
      <c r="M23" s="635">
        <v>24075</v>
      </c>
      <c r="N23" s="711">
        <v>963</v>
      </c>
      <c r="O23" s="635">
        <v>24075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56625</v>
      </c>
      <c r="B24" s="481">
        <f t="shared" si="1"/>
        <v>25</v>
      </c>
      <c r="C24" s="438" t="s">
        <v>1983</v>
      </c>
      <c r="D24" s="635">
        <v>25</v>
      </c>
      <c r="E24" s="438" t="s">
        <v>2764</v>
      </c>
      <c r="H24" s="711">
        <v>2200</v>
      </c>
      <c r="I24" s="635">
        <v>55000</v>
      </c>
      <c r="J24" s="711">
        <v>0</v>
      </c>
      <c r="K24" s="635">
        <v>0</v>
      </c>
      <c r="L24" s="711">
        <v>0</v>
      </c>
      <c r="M24" s="635">
        <v>0</v>
      </c>
      <c r="N24" s="711">
        <v>2200</v>
      </c>
      <c r="O24" s="635">
        <v>55000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94025</v>
      </c>
      <c r="B25" s="481">
        <f t="shared" si="1"/>
        <v>25</v>
      </c>
      <c r="C25" s="438" t="s">
        <v>2765</v>
      </c>
      <c r="D25" s="635">
        <v>25</v>
      </c>
      <c r="E25" s="438" t="s">
        <v>2766</v>
      </c>
      <c r="H25" s="711">
        <v>0</v>
      </c>
      <c r="I25" s="635">
        <v>0</v>
      </c>
      <c r="J25" s="711">
        <v>0</v>
      </c>
      <c r="K25" s="635">
        <v>0</v>
      </c>
      <c r="L25" s="711">
        <v>349</v>
      </c>
      <c r="M25" s="635">
        <v>8725</v>
      </c>
      <c r="N25" s="711">
        <v>349</v>
      </c>
      <c r="O25" s="635">
        <v>8725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953S25</v>
      </c>
      <c r="B26" s="481">
        <f t="shared" si="1"/>
        <v>25</v>
      </c>
      <c r="C26" s="438" t="s">
        <v>76</v>
      </c>
      <c r="D26" s="635">
        <v>25</v>
      </c>
      <c r="E26" s="438" t="s">
        <v>2767</v>
      </c>
      <c r="H26" s="711">
        <v>0</v>
      </c>
      <c r="I26" s="635">
        <v>0</v>
      </c>
      <c r="J26" s="711">
        <v>0</v>
      </c>
      <c r="K26" s="635">
        <v>0</v>
      </c>
      <c r="L26" s="711">
        <v>200</v>
      </c>
      <c r="M26" s="635">
        <v>5000</v>
      </c>
      <c r="N26" s="711">
        <v>200</v>
      </c>
      <c r="O26" s="635">
        <v>5000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BS04A5A25</v>
      </c>
      <c r="B27" s="481">
        <f t="shared" si="1"/>
        <v>25</v>
      </c>
      <c r="C27" s="438" t="s">
        <v>2491</v>
      </c>
      <c r="D27" s="635">
        <v>25</v>
      </c>
      <c r="E27" s="438" t="s">
        <v>2768</v>
      </c>
      <c r="H27" s="711">
        <v>200</v>
      </c>
      <c r="I27" s="635">
        <v>5000</v>
      </c>
      <c r="J27" s="711">
        <v>488</v>
      </c>
      <c r="K27" s="635">
        <v>12200</v>
      </c>
      <c r="L27" s="711">
        <v>0</v>
      </c>
      <c r="M27" s="635">
        <v>0</v>
      </c>
      <c r="N27" s="711">
        <v>688</v>
      </c>
      <c r="O27" s="635">
        <v>17200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BS10TA40</v>
      </c>
      <c r="B28" s="481">
        <f t="shared" si="1"/>
        <v>40</v>
      </c>
      <c r="C28" s="438" t="s">
        <v>2633</v>
      </c>
      <c r="D28" s="635">
        <v>40</v>
      </c>
      <c r="E28" s="438" t="s">
        <v>2769</v>
      </c>
      <c r="H28" s="711">
        <v>0</v>
      </c>
      <c r="I28" s="635">
        <v>0</v>
      </c>
      <c r="J28" s="711">
        <v>0</v>
      </c>
      <c r="K28" s="635">
        <v>0</v>
      </c>
      <c r="L28" s="711">
        <v>97</v>
      </c>
      <c r="M28" s="635">
        <v>3880</v>
      </c>
      <c r="N28" s="711">
        <v>97</v>
      </c>
      <c r="O28" s="635">
        <v>3880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BS06TA40</v>
      </c>
      <c r="B29" s="481">
        <f t="shared" si="1"/>
        <v>40</v>
      </c>
      <c r="C29" s="438" t="s">
        <v>2660</v>
      </c>
      <c r="D29" s="635">
        <v>40</v>
      </c>
      <c r="E29" s="438" t="s">
        <v>2770</v>
      </c>
      <c r="H29" s="711">
        <v>0</v>
      </c>
      <c r="I29" s="635">
        <v>0</v>
      </c>
      <c r="J29" s="711">
        <v>0</v>
      </c>
      <c r="K29" s="635">
        <v>0</v>
      </c>
      <c r="L29" s="711">
        <v>304</v>
      </c>
      <c r="M29" s="635">
        <v>12160</v>
      </c>
      <c r="N29" s="711">
        <v>304</v>
      </c>
      <c r="O29" s="635">
        <v>12160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GT11S25</v>
      </c>
      <c r="B30" s="481">
        <f t="shared" si="1"/>
        <v>25</v>
      </c>
      <c r="C30" s="438" t="s">
        <v>1928</v>
      </c>
      <c r="D30" s="635">
        <v>25</v>
      </c>
      <c r="E30" s="438" t="s">
        <v>2771</v>
      </c>
      <c r="H30" s="711">
        <v>114</v>
      </c>
      <c r="I30" s="635">
        <v>2850</v>
      </c>
      <c r="J30" s="711">
        <v>0</v>
      </c>
      <c r="K30" s="635">
        <v>0</v>
      </c>
      <c r="L30" s="711">
        <v>0</v>
      </c>
      <c r="M30" s="635">
        <v>0</v>
      </c>
      <c r="N30" s="711">
        <v>114</v>
      </c>
      <c r="O30" s="635">
        <v>2850</v>
      </c>
    </row>
    <row r="31" spans="1:28">
      <c r="A31" s="480" t="str">
        <f t="shared" si="0"/>
        <v>VT1225</v>
      </c>
      <c r="B31" s="481">
        <f t="shared" si="1"/>
        <v>25</v>
      </c>
      <c r="C31" s="438" t="s">
        <v>114</v>
      </c>
      <c r="D31" s="635">
        <v>25</v>
      </c>
      <c r="E31" s="438" t="s">
        <v>2772</v>
      </c>
      <c r="H31" s="711">
        <v>0</v>
      </c>
      <c r="I31" s="635">
        <v>0</v>
      </c>
      <c r="J31" s="711">
        <v>1200</v>
      </c>
      <c r="K31" s="635">
        <v>30000</v>
      </c>
      <c r="L31" s="711">
        <v>443</v>
      </c>
      <c r="M31" s="635">
        <v>11075</v>
      </c>
      <c r="N31" s="711">
        <v>1643</v>
      </c>
      <c r="O31" s="635">
        <v>41075</v>
      </c>
    </row>
    <row r="32" spans="1:28">
      <c r="A32" s="480" t="str">
        <f t="shared" si="0"/>
        <v>Grand Total1494413565</v>
      </c>
      <c r="B32" s="481">
        <f t="shared" si="1"/>
        <v>13565</v>
      </c>
      <c r="C32" s="438" t="s">
        <v>2773</v>
      </c>
      <c r="D32" s="912">
        <v>13565</v>
      </c>
      <c r="E32" s="635">
        <v>565450</v>
      </c>
      <c r="F32" s="912">
        <v>14944</v>
      </c>
      <c r="G32" s="635">
        <v>662125</v>
      </c>
      <c r="H32" s="912">
        <v>14613</v>
      </c>
      <c r="I32" s="635">
        <v>601465</v>
      </c>
      <c r="J32" s="912">
        <v>43122</v>
      </c>
      <c r="K32" s="635">
        <v>1829040</v>
      </c>
    </row>
    <row r="33" spans="1:15">
      <c r="A33" s="480" t="str">
        <f t="shared" ref="A33:A49" si="2">C33&amp;F33&amp;B33</f>
        <v>0</v>
      </c>
      <c r="B33" s="481">
        <f t="shared" ref="B33:B49" si="3">D33</f>
        <v>0</v>
      </c>
      <c r="D33" s="635"/>
      <c r="H33" s="711"/>
      <c r="I33" s="635"/>
      <c r="J33" s="711"/>
      <c r="K33" s="635"/>
      <c r="L33" s="711"/>
      <c r="M33" s="635"/>
      <c r="N33" s="711"/>
      <c r="O33" s="635"/>
    </row>
    <row r="34" spans="1:15">
      <c r="A34" s="480" t="str">
        <f t="shared" si="2"/>
        <v>0</v>
      </c>
      <c r="B34" s="481">
        <f t="shared" si="3"/>
        <v>0</v>
      </c>
      <c r="D34" s="912"/>
      <c r="E34" s="635"/>
      <c r="F34" s="912"/>
      <c r="G34" s="635"/>
      <c r="H34" s="912"/>
      <c r="I34" s="635"/>
      <c r="J34" s="912"/>
      <c r="K34" s="635"/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912"/>
      <c r="E37" s="635"/>
      <c r="F37" s="912"/>
      <c r="G37" s="635"/>
      <c r="H37" s="912"/>
      <c r="I37" s="635"/>
      <c r="J37" s="912"/>
      <c r="K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635"/>
      <c r="H44" s="711"/>
      <c r="I44" s="635"/>
      <c r="J44" s="711"/>
      <c r="K44" s="635"/>
      <c r="L44" s="711"/>
      <c r="M44" s="635"/>
      <c r="N44" s="711"/>
      <c r="O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7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6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Product NameQuantityVitamin &amp; Mineral</v>
      </c>
      <c r="B1" s="620" t="str">
        <f>D1</f>
        <v>Vitamin &amp; Mineral</v>
      </c>
      <c r="C1" s="438" t="s">
        <v>2738</v>
      </c>
      <c r="D1" s="438" t="s">
        <v>2774</v>
      </c>
      <c r="E1" s="438" t="s">
        <v>2775</v>
      </c>
      <c r="F1" s="438" t="s">
        <v>2741</v>
      </c>
      <c r="G1" s="438" t="s">
        <v>2742</v>
      </c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Tranform Issued0</v>
      </c>
      <c r="B2" s="620">
        <f>D2</f>
        <v>0</v>
      </c>
      <c r="C2" s="438" t="s">
        <v>2776</v>
      </c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>54925</v>
      </c>
      <c r="B3" s="481" t="str">
        <f>C3&amp;F37</f>
        <v>21115490000125</v>
      </c>
      <c r="C3" s="438" t="s">
        <v>320</v>
      </c>
      <c r="D3" s="438" t="s">
        <v>2777</v>
      </c>
      <c r="E3" s="438"/>
      <c r="F3" s="919">
        <v>25</v>
      </c>
      <c r="G3" s="711">
        <v>4</v>
      </c>
      <c r="H3" s="635">
        <v>100</v>
      </c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>94925</v>
      </c>
      <c r="B4" s="481" t="str">
        <f t="shared" ref="B4:B67" si="0">C4&amp;F38</f>
        <v>21125490000125</v>
      </c>
      <c r="C4" s="438" t="s">
        <v>1362</v>
      </c>
      <c r="D4" s="438" t="s">
        <v>2778</v>
      </c>
      <c r="E4" s="438"/>
      <c r="F4" s="919">
        <v>25</v>
      </c>
      <c r="G4" s="711">
        <v>1</v>
      </c>
      <c r="H4" s="635">
        <v>25</v>
      </c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>VT1225</v>
      </c>
      <c r="B5" s="481" t="str">
        <f t="shared" si="0"/>
        <v>21135400000125</v>
      </c>
      <c r="C5" s="438" t="s">
        <v>303</v>
      </c>
      <c r="D5" s="438" t="s">
        <v>2772</v>
      </c>
      <c r="E5" s="438"/>
      <c r="F5" s="919">
        <v>25</v>
      </c>
      <c r="G5" s="711">
        <v>4</v>
      </c>
      <c r="H5" s="635">
        <v>100</v>
      </c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>Production Cost of F/G</v>
      </c>
      <c r="C6" s="438" t="s">
        <v>2779</v>
      </c>
      <c r="D6" s="438" t="s">
        <v>2780</v>
      </c>
      <c r="E6" s="635">
        <v>225</v>
      </c>
      <c r="F6" s="438"/>
      <c r="G6" s="438"/>
      <c r="H6" s="438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31" sqref="D31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Tranform Receive0</v>
      </c>
      <c r="B1" s="620">
        <f>D1</f>
        <v>0</v>
      </c>
      <c r="C1" s="438" t="s">
        <v>2781</v>
      </c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>54925</v>
      </c>
      <c r="B2" s="619" t="str">
        <f>IF(MID(C2,10,2)="99",C2&amp;E2,LEFT(C2,14))</f>
        <v>21115490000125</v>
      </c>
      <c r="C2" s="438" t="s">
        <v>320</v>
      </c>
      <c r="D2" s="438" t="s">
        <v>2777</v>
      </c>
      <c r="E2" s="438"/>
      <c r="F2" s="919">
        <v>25</v>
      </c>
      <c r="G2" s="711">
        <v>1</v>
      </c>
      <c r="H2" s="635">
        <v>25</v>
      </c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>549F50</v>
      </c>
      <c r="B3" s="619" t="str">
        <f>IF(MID(C3,10,2)="99",C3&amp;E3,LEFT(C3,14))</f>
        <v>21115490000250</v>
      </c>
      <c r="C3" s="438" t="s">
        <v>322</v>
      </c>
      <c r="D3" s="438" t="s">
        <v>2782</v>
      </c>
      <c r="E3" s="438"/>
      <c r="F3" s="919">
        <v>50</v>
      </c>
      <c r="G3" s="711">
        <v>4</v>
      </c>
      <c r="H3" s="635">
        <v>200</v>
      </c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>Production Cos</v>
      </c>
      <c r="C4" s="438" t="s">
        <v>2779</v>
      </c>
      <c r="D4" s="438" t="s">
        <v>2783</v>
      </c>
      <c r="E4" s="635">
        <v>225</v>
      </c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 t="s">
        <v>2784</v>
      </c>
      <c r="E5" s="438" t="s">
        <v>2785</v>
      </c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6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/>
      <c r="M1" s="930"/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2674</v>
      </c>
      <c r="J2" s="438"/>
      <c r="K2" s="438"/>
      <c r="L2" s="678"/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s">
        <v>2675</v>
      </c>
      <c r="M3" s="438" t="s">
        <v>1975</v>
      </c>
      <c r="N3" s="438" t="s">
        <v>1976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865"/>
      <c r="F17" s="438"/>
      <c r="G17" s="438"/>
      <c r="H17" s="438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2445</v>
      </c>
      <c r="B1" s="917" t="s">
        <v>2451</v>
      </c>
      <c r="C1" s="916" t="s">
        <v>2446</v>
      </c>
      <c r="D1" s="916" t="s">
        <v>2450</v>
      </c>
      <c r="E1" s="916" t="s">
        <v>2447</v>
      </c>
      <c r="F1" s="916" t="s">
        <v>3</v>
      </c>
      <c r="G1" s="916" t="s">
        <v>2452</v>
      </c>
      <c r="H1" s="916" t="s">
        <v>2453</v>
      </c>
      <c r="I1" s="916" t="s">
        <v>2454</v>
      </c>
      <c r="J1" s="917" t="s">
        <v>2448</v>
      </c>
      <c r="K1" s="917" t="s">
        <v>2455</v>
      </c>
      <c r="L1" s="917" t="s">
        <v>2449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1990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1989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1991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1989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1990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1989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1992</v>
      </c>
      <c r="U90" t="s">
        <v>1990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1993</v>
      </c>
      <c r="U91" t="s">
        <v>1989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2310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1988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1987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1986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1977</v>
      </c>
      <c r="M299" s="439" t="s">
        <v>1977</v>
      </c>
      <c r="N299" s="438" t="s">
        <v>1978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1981</v>
      </c>
      <c r="N304" s="438" t="s">
        <v>1979</v>
      </c>
      <c r="O304" s="437" t="str">
        <f t="shared" si="41"/>
        <v>125</v>
      </c>
      <c r="P304" t="str">
        <f t="shared" si="42"/>
        <v>GD1525</v>
      </c>
      <c r="Q304" s="16" t="s">
        <v>1980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2311</v>
      </c>
      <c r="B2" s="497" t="s">
        <v>1994</v>
      </c>
      <c r="C2" t="s">
        <v>1995</v>
      </c>
      <c r="D2" s="17" t="s">
        <v>1996</v>
      </c>
      <c r="E2" s="511" t="s">
        <v>1997</v>
      </c>
      <c r="F2" s="511"/>
      <c r="G2" s="14"/>
      <c r="M2" s="615"/>
    </row>
    <row r="3" spans="1:13">
      <c r="A3" t="s">
        <v>2312</v>
      </c>
      <c r="B3" s="497">
        <v>302</v>
      </c>
      <c r="C3" t="s">
        <v>1998</v>
      </c>
      <c r="D3" s="17" t="s">
        <v>1996</v>
      </c>
      <c r="E3" s="511" t="s">
        <v>1999</v>
      </c>
      <c r="F3" s="511"/>
      <c r="G3" s="14"/>
      <c r="M3" s="615"/>
    </row>
    <row r="4" spans="1:13">
      <c r="A4" t="s">
        <v>2313</v>
      </c>
      <c r="B4" s="497" t="s">
        <v>2000</v>
      </c>
      <c r="C4" t="s">
        <v>2001</v>
      </c>
      <c r="D4" s="17" t="s">
        <v>1996</v>
      </c>
      <c r="E4" s="511" t="s">
        <v>2002</v>
      </c>
      <c r="G4" s="14"/>
      <c r="M4" s="615"/>
    </row>
    <row r="5" spans="1:13">
      <c r="A5" t="s">
        <v>2314</v>
      </c>
      <c r="B5" s="497" t="s">
        <v>2003</v>
      </c>
      <c r="C5" t="s">
        <v>2004</v>
      </c>
      <c r="D5" s="17" t="s">
        <v>1996</v>
      </c>
      <c r="E5" s="511" t="s">
        <v>2005</v>
      </c>
      <c r="G5" s="14"/>
      <c r="M5" s="615"/>
    </row>
    <row r="6" spans="1:13">
      <c r="A6" t="s">
        <v>2315</v>
      </c>
      <c r="B6" s="497">
        <v>384</v>
      </c>
      <c r="C6" t="s">
        <v>2006</v>
      </c>
      <c r="D6" s="17" t="s">
        <v>1996</v>
      </c>
      <c r="E6" s="511" t="s">
        <v>2007</v>
      </c>
      <c r="F6" s="511"/>
      <c r="G6" s="14"/>
      <c r="M6" s="615"/>
    </row>
    <row r="7" spans="1:13">
      <c r="A7" t="s">
        <v>2316</v>
      </c>
      <c r="B7" s="497" t="s">
        <v>950</v>
      </c>
      <c r="C7" t="s">
        <v>2008</v>
      </c>
      <c r="D7" s="17" t="s">
        <v>1996</v>
      </c>
      <c r="E7" s="511" t="s">
        <v>2009</v>
      </c>
      <c r="F7" s="511"/>
      <c r="G7" s="14"/>
      <c r="M7" s="615"/>
    </row>
    <row r="8" spans="1:13">
      <c r="A8" t="s">
        <v>2317</v>
      </c>
      <c r="B8" s="497">
        <v>510</v>
      </c>
      <c r="C8" t="s">
        <v>2010</v>
      </c>
      <c r="D8" s="17" t="s">
        <v>1996</v>
      </c>
      <c r="E8" s="511" t="s">
        <v>2011</v>
      </c>
      <c r="F8" s="511"/>
      <c r="G8" s="14"/>
      <c r="M8" s="615"/>
    </row>
    <row r="9" spans="1:13">
      <c r="A9" t="s">
        <v>2318</v>
      </c>
      <c r="B9" s="497" t="s">
        <v>1034</v>
      </c>
      <c r="C9" t="s">
        <v>2012</v>
      </c>
      <c r="D9" s="17">
        <v>25</v>
      </c>
      <c r="E9" s="511" t="s">
        <v>2013</v>
      </c>
      <c r="F9" s="511"/>
      <c r="G9" s="14"/>
      <c r="M9" s="615"/>
    </row>
    <row r="10" spans="1:13">
      <c r="A10" t="s">
        <v>2319</v>
      </c>
      <c r="B10" s="497" t="s">
        <v>110</v>
      </c>
      <c r="C10" t="s">
        <v>2014</v>
      </c>
      <c r="D10" s="17" t="s">
        <v>1996</v>
      </c>
      <c r="E10" s="511" t="s">
        <v>2015</v>
      </c>
      <c r="F10" s="511"/>
      <c r="G10" s="14"/>
      <c r="M10" s="615"/>
    </row>
    <row r="11" spans="1:13">
      <c r="A11" t="s">
        <v>2320</v>
      </c>
      <c r="B11" s="497" t="s">
        <v>2016</v>
      </c>
      <c r="C11" t="s">
        <v>2017</v>
      </c>
      <c r="D11" s="17" t="s">
        <v>1996</v>
      </c>
      <c r="E11" s="511" t="s">
        <v>2018</v>
      </c>
      <c r="F11" s="511"/>
      <c r="G11" s="14"/>
      <c r="M11" s="615"/>
    </row>
    <row r="12" spans="1:13">
      <c r="A12" t="s">
        <v>2321</v>
      </c>
      <c r="B12" s="497" t="s">
        <v>95</v>
      </c>
      <c r="C12" t="s">
        <v>2019</v>
      </c>
      <c r="D12" s="17" t="s">
        <v>1996</v>
      </c>
      <c r="E12" s="511" t="s">
        <v>2020</v>
      </c>
      <c r="F12" s="511"/>
      <c r="G12" s="14"/>
      <c r="M12" s="615"/>
    </row>
    <row r="13" spans="1:13">
      <c r="A13" t="s">
        <v>2322</v>
      </c>
      <c r="B13" s="497" t="s">
        <v>8</v>
      </c>
      <c r="C13" t="s">
        <v>2021</v>
      </c>
      <c r="D13" s="17" t="s">
        <v>1996</v>
      </c>
      <c r="E13" s="511" t="s">
        <v>2022</v>
      </c>
      <c r="F13" s="511"/>
      <c r="G13" s="14"/>
      <c r="M13" s="615"/>
    </row>
    <row r="14" spans="1:13">
      <c r="A14" t="s">
        <v>2323</v>
      </c>
      <c r="B14" s="497" t="s">
        <v>111</v>
      </c>
      <c r="C14" t="s">
        <v>2023</v>
      </c>
      <c r="D14" s="17" t="s">
        <v>1996</v>
      </c>
      <c r="E14" s="511" t="s">
        <v>2024</v>
      </c>
      <c r="F14" s="511"/>
      <c r="G14" s="14"/>
      <c r="M14" s="615"/>
    </row>
    <row r="15" spans="1:13">
      <c r="A15" t="s">
        <v>2324</v>
      </c>
      <c r="B15" s="497" t="s">
        <v>1926</v>
      </c>
      <c r="C15" t="s">
        <v>2025</v>
      </c>
      <c r="D15" s="17" t="s">
        <v>1996</v>
      </c>
      <c r="E15" s="511" t="s">
        <v>2026</v>
      </c>
      <c r="F15" s="511"/>
      <c r="G15" s="14"/>
      <c r="M15" s="615"/>
    </row>
    <row r="16" spans="1:13">
      <c r="A16" t="s">
        <v>2325</v>
      </c>
      <c r="B16" s="497" t="s">
        <v>1894</v>
      </c>
      <c r="C16" t="s">
        <v>2027</v>
      </c>
      <c r="D16" s="17" t="s">
        <v>1996</v>
      </c>
      <c r="E16" s="511" t="s">
        <v>2028</v>
      </c>
      <c r="F16" s="511"/>
      <c r="G16" s="14"/>
      <c r="M16" s="615"/>
    </row>
    <row r="17" spans="1:13">
      <c r="A17" t="s">
        <v>2326</v>
      </c>
      <c r="B17" s="497" t="s">
        <v>2029</v>
      </c>
      <c r="C17" t="s">
        <v>2030</v>
      </c>
      <c r="D17" s="17" t="s">
        <v>1996</v>
      </c>
      <c r="E17" s="511" t="s">
        <v>2031</v>
      </c>
      <c r="G17" s="14"/>
      <c r="M17" s="615"/>
    </row>
    <row r="18" spans="1:13">
      <c r="A18" t="s">
        <v>2327</v>
      </c>
      <c r="B18" s="497" t="s">
        <v>2032</v>
      </c>
      <c r="C18" t="s">
        <v>2033</v>
      </c>
      <c r="D18" s="17">
        <v>25</v>
      </c>
      <c r="E18" s="511" t="s">
        <v>2034</v>
      </c>
      <c r="F18" s="511"/>
      <c r="G18" s="14"/>
      <c r="M18" s="615"/>
    </row>
    <row r="19" spans="1:13">
      <c r="A19" t="s">
        <v>2328</v>
      </c>
      <c r="B19" s="497" t="s">
        <v>2035</v>
      </c>
      <c r="C19" t="s">
        <v>2036</v>
      </c>
      <c r="D19" s="17">
        <v>25</v>
      </c>
      <c r="E19" s="511" t="s">
        <v>2037</v>
      </c>
      <c r="F19" s="511"/>
      <c r="G19" s="14"/>
      <c r="M19" s="615"/>
    </row>
    <row r="20" spans="1:13">
      <c r="A20" t="s">
        <v>2329</v>
      </c>
      <c r="B20" s="497" t="s">
        <v>2038</v>
      </c>
      <c r="C20" t="s">
        <v>2039</v>
      </c>
      <c r="D20" s="17" t="s">
        <v>1996</v>
      </c>
      <c r="E20" s="511" t="s">
        <v>2040</v>
      </c>
      <c r="F20" s="511"/>
      <c r="G20" s="14"/>
      <c r="M20" s="615"/>
    </row>
    <row r="21" spans="1:13">
      <c r="A21" t="s">
        <v>2330</v>
      </c>
      <c r="B21" s="497" t="s">
        <v>2041</v>
      </c>
      <c r="C21" t="s">
        <v>2042</v>
      </c>
      <c r="D21" s="17">
        <v>25</v>
      </c>
      <c r="E21" s="511" t="s">
        <v>2043</v>
      </c>
      <c r="F21" s="511"/>
      <c r="G21" s="14"/>
      <c r="M21" s="615"/>
    </row>
    <row r="22" spans="1:13">
      <c r="A22" t="s">
        <v>2331</v>
      </c>
      <c r="B22" s="497" t="s">
        <v>2044</v>
      </c>
      <c r="C22" t="s">
        <v>2045</v>
      </c>
      <c r="D22" s="17" t="s">
        <v>1996</v>
      </c>
      <c r="E22" s="511" t="s">
        <v>2046</v>
      </c>
      <c r="F22" s="511"/>
      <c r="G22" s="14"/>
    </row>
    <row r="23" spans="1:13">
      <c r="A23" t="s">
        <v>2331</v>
      </c>
      <c r="B23" s="497" t="s">
        <v>2044</v>
      </c>
      <c r="C23" t="s">
        <v>2045</v>
      </c>
      <c r="D23" s="17" t="s">
        <v>1996</v>
      </c>
      <c r="E23" s="511" t="s">
        <v>2047</v>
      </c>
      <c r="G23" s="14"/>
    </row>
    <row r="24" spans="1:13">
      <c r="A24" t="s">
        <v>2332</v>
      </c>
      <c r="B24" s="497" t="s">
        <v>2048</v>
      </c>
      <c r="C24" t="s">
        <v>2049</v>
      </c>
      <c r="D24" s="17" t="s">
        <v>1996</v>
      </c>
      <c r="E24" s="511" t="s">
        <v>2050</v>
      </c>
      <c r="F24" s="511"/>
      <c r="G24" s="14"/>
    </row>
    <row r="25" spans="1:13">
      <c r="A25" t="s">
        <v>2333</v>
      </c>
      <c r="B25" s="497" t="s">
        <v>2051</v>
      </c>
      <c r="C25" t="s">
        <v>2052</v>
      </c>
      <c r="D25" s="17" t="s">
        <v>1996</v>
      </c>
      <c r="E25" s="511" t="s">
        <v>2053</v>
      </c>
      <c r="F25" s="511"/>
      <c r="G25" s="14"/>
    </row>
    <row r="26" spans="1:13">
      <c r="A26" t="s">
        <v>2334</v>
      </c>
      <c r="B26" s="497" t="s">
        <v>2054</v>
      </c>
      <c r="C26" t="s">
        <v>2055</v>
      </c>
      <c r="D26" s="17" t="s">
        <v>1996</v>
      </c>
      <c r="E26" s="511" t="s">
        <v>2056</v>
      </c>
      <c r="F26" s="511"/>
      <c r="G26" s="14"/>
    </row>
    <row r="27" spans="1:13">
      <c r="A27" t="s">
        <v>2335</v>
      </c>
      <c r="B27" s="497" t="s">
        <v>2057</v>
      </c>
      <c r="C27" t="s">
        <v>2058</v>
      </c>
      <c r="D27" s="17">
        <v>25</v>
      </c>
      <c r="E27" s="511" t="s">
        <v>2059</v>
      </c>
      <c r="F27" s="511"/>
      <c r="G27" s="14"/>
    </row>
    <row r="28" spans="1:13">
      <c r="A28" t="s">
        <v>2336</v>
      </c>
      <c r="B28" s="497" t="s">
        <v>2060</v>
      </c>
      <c r="C28" t="s">
        <v>2061</v>
      </c>
      <c r="D28" s="17" t="s">
        <v>1996</v>
      </c>
      <c r="E28" s="511" t="s">
        <v>2062</v>
      </c>
      <c r="G28" s="14"/>
    </row>
    <row r="29" spans="1:13">
      <c r="A29" t="s">
        <v>2337</v>
      </c>
      <c r="B29" s="497" t="s">
        <v>10</v>
      </c>
      <c r="C29" t="s">
        <v>2063</v>
      </c>
      <c r="D29" s="17" t="s">
        <v>1996</v>
      </c>
      <c r="E29" s="511" t="s">
        <v>2064</v>
      </c>
      <c r="F29" s="511"/>
      <c r="G29" s="14"/>
    </row>
    <row r="30" spans="1:13">
      <c r="A30" t="s">
        <v>2338</v>
      </c>
      <c r="B30" s="497" t="s">
        <v>2065</v>
      </c>
      <c r="C30" t="s">
        <v>2066</v>
      </c>
      <c r="D30" s="17" t="s">
        <v>1996</v>
      </c>
      <c r="E30" s="511" t="s">
        <v>2067</v>
      </c>
      <c r="G30" s="14"/>
    </row>
    <row r="31" spans="1:13">
      <c r="A31" t="s">
        <v>2339</v>
      </c>
      <c r="B31" s="497" t="s">
        <v>2068</v>
      </c>
      <c r="C31" t="s">
        <v>2069</v>
      </c>
      <c r="D31" s="17" t="s">
        <v>1996</v>
      </c>
      <c r="E31" s="511" t="s">
        <v>2070</v>
      </c>
      <c r="G31" s="14"/>
    </row>
    <row r="32" spans="1:13">
      <c r="A32" t="s">
        <v>2340</v>
      </c>
      <c r="B32" s="497" t="s">
        <v>1810</v>
      </c>
      <c r="C32" t="s">
        <v>2071</v>
      </c>
      <c r="D32" s="17" t="s">
        <v>1996</v>
      </c>
      <c r="E32" s="511" t="s">
        <v>2072</v>
      </c>
      <c r="F32" s="511"/>
      <c r="G32" s="14"/>
    </row>
    <row r="33" spans="1:13">
      <c r="A33" t="s">
        <v>2341</v>
      </c>
      <c r="B33" s="497" t="s">
        <v>2073</v>
      </c>
      <c r="C33" t="s">
        <v>2074</v>
      </c>
      <c r="D33" s="17" t="s">
        <v>1996</v>
      </c>
      <c r="E33" s="511" t="s">
        <v>2075</v>
      </c>
      <c r="G33" s="14"/>
    </row>
    <row r="34" spans="1:13">
      <c r="A34" t="s">
        <v>2342</v>
      </c>
      <c r="B34" s="497" t="s">
        <v>103</v>
      </c>
      <c r="C34" t="s">
        <v>2076</v>
      </c>
      <c r="D34" s="17" t="s">
        <v>1996</v>
      </c>
      <c r="E34" s="511" t="s">
        <v>2077</v>
      </c>
      <c r="G34" s="14"/>
    </row>
    <row r="35" spans="1:13">
      <c r="A35" t="s">
        <v>2343</v>
      </c>
      <c r="B35" s="497" t="s">
        <v>1982</v>
      </c>
      <c r="C35" t="s">
        <v>2078</v>
      </c>
      <c r="D35" s="17" t="s">
        <v>1996</v>
      </c>
      <c r="E35" s="511" t="s">
        <v>2079</v>
      </c>
      <c r="F35" s="511"/>
      <c r="G35" s="14"/>
    </row>
    <row r="36" spans="1:13">
      <c r="A36" t="s">
        <v>2344</v>
      </c>
      <c r="B36" s="497" t="s">
        <v>1864</v>
      </c>
      <c r="C36" t="s">
        <v>2080</v>
      </c>
      <c r="D36" s="17">
        <v>25</v>
      </c>
      <c r="E36" s="511" t="s">
        <v>2081</v>
      </c>
      <c r="F36" s="511"/>
      <c r="G36" s="14"/>
    </row>
    <row r="37" spans="1:13">
      <c r="A37" t="s">
        <v>2345</v>
      </c>
      <c r="B37" s="497" t="s">
        <v>2082</v>
      </c>
      <c r="C37" t="s">
        <v>2083</v>
      </c>
      <c r="D37" s="17" t="s">
        <v>1996</v>
      </c>
      <c r="E37" s="511" t="s">
        <v>2084</v>
      </c>
      <c r="F37" s="511"/>
      <c r="G37" s="14"/>
    </row>
    <row r="38" spans="1:13">
      <c r="A38" t="s">
        <v>2346</v>
      </c>
      <c r="B38" s="497" t="s">
        <v>123</v>
      </c>
      <c r="C38" t="s">
        <v>2085</v>
      </c>
      <c r="D38" s="17" t="s">
        <v>1996</v>
      </c>
      <c r="E38" s="511" t="s">
        <v>2086</v>
      </c>
      <c r="F38" s="511"/>
      <c r="G38" s="14"/>
    </row>
    <row r="39" spans="1:13">
      <c r="A39" t="s">
        <v>2347</v>
      </c>
      <c r="B39" s="497" t="s">
        <v>1384</v>
      </c>
      <c r="C39" t="s">
        <v>2087</v>
      </c>
      <c r="D39" s="17" t="s">
        <v>1996</v>
      </c>
      <c r="E39" s="511" t="s">
        <v>2088</v>
      </c>
      <c r="F39" s="511"/>
      <c r="G39" s="14"/>
    </row>
    <row r="40" spans="1:13">
      <c r="A40" t="s">
        <v>2348</v>
      </c>
      <c r="B40" s="497" t="s">
        <v>25</v>
      </c>
      <c r="C40" t="s">
        <v>2089</v>
      </c>
      <c r="D40" s="17">
        <v>25</v>
      </c>
      <c r="E40" s="511" t="s">
        <v>2090</v>
      </c>
      <c r="F40" s="511"/>
      <c r="G40" s="14"/>
      <c r="M40" s="615"/>
    </row>
    <row r="41" spans="1:13">
      <c r="A41" t="s">
        <v>2349</v>
      </c>
      <c r="B41" s="497" t="s">
        <v>2091</v>
      </c>
      <c r="C41" t="s">
        <v>2092</v>
      </c>
      <c r="D41" s="17" t="s">
        <v>1996</v>
      </c>
      <c r="E41" s="511" t="s">
        <v>2093</v>
      </c>
      <c r="F41" s="511"/>
      <c r="G41" s="14"/>
      <c r="M41" s="615"/>
    </row>
    <row r="42" spans="1:13">
      <c r="A42" t="s">
        <v>2350</v>
      </c>
      <c r="B42" s="497" t="s">
        <v>1330</v>
      </c>
      <c r="C42" t="s">
        <v>2094</v>
      </c>
      <c r="D42" s="17" t="s">
        <v>1996</v>
      </c>
      <c r="E42" s="511" t="s">
        <v>2095</v>
      </c>
      <c r="G42" s="14"/>
      <c r="M42" s="615"/>
    </row>
    <row r="43" spans="1:13">
      <c r="A43" t="s">
        <v>2351</v>
      </c>
      <c r="B43" s="497" t="s">
        <v>2096</v>
      </c>
      <c r="C43" t="s">
        <v>2097</v>
      </c>
      <c r="D43" s="17" t="s">
        <v>1996</v>
      </c>
      <c r="E43" s="511" t="s">
        <v>2098</v>
      </c>
      <c r="G43" s="14"/>
      <c r="M43" s="615"/>
    </row>
    <row r="44" spans="1:13">
      <c r="A44" t="s">
        <v>2352</v>
      </c>
      <c r="B44" s="497" t="s">
        <v>68</v>
      </c>
      <c r="C44" t="s">
        <v>2099</v>
      </c>
      <c r="D44" s="17" t="s">
        <v>1996</v>
      </c>
      <c r="E44" s="511" t="s">
        <v>2100</v>
      </c>
      <c r="F44" s="511"/>
      <c r="G44" s="14"/>
      <c r="M44" s="615"/>
    </row>
    <row r="45" spans="1:13">
      <c r="A45" t="s">
        <v>2353</v>
      </c>
      <c r="B45" s="497" t="s">
        <v>2101</v>
      </c>
      <c r="C45" t="s">
        <v>2102</v>
      </c>
      <c r="D45" s="17" t="s">
        <v>1996</v>
      </c>
      <c r="E45" s="511" t="s">
        <v>2103</v>
      </c>
      <c r="F45" s="511"/>
      <c r="G45" s="14"/>
      <c r="M45" s="615"/>
    </row>
    <row r="46" spans="1:13">
      <c r="A46" t="s">
        <v>2354</v>
      </c>
      <c r="B46" s="497" t="s">
        <v>2104</v>
      </c>
      <c r="C46" t="s">
        <v>2105</v>
      </c>
      <c r="D46" s="17" t="s">
        <v>1996</v>
      </c>
      <c r="E46" s="511" t="s">
        <v>2106</v>
      </c>
      <c r="F46" s="511"/>
      <c r="G46" s="14"/>
    </row>
    <row r="47" spans="1:13">
      <c r="A47" t="s">
        <v>2355</v>
      </c>
      <c r="B47" s="497" t="s">
        <v>102</v>
      </c>
      <c r="C47" t="s">
        <v>2107</v>
      </c>
      <c r="D47" s="17" t="s">
        <v>1996</v>
      </c>
      <c r="E47" s="14" t="s">
        <v>2108</v>
      </c>
      <c r="F47" s="511"/>
      <c r="G47" s="511"/>
    </row>
    <row r="48" spans="1:13">
      <c r="A48" t="s">
        <v>2356</v>
      </c>
      <c r="B48" s="497" t="s">
        <v>1983</v>
      </c>
      <c r="C48" t="s">
        <v>2109</v>
      </c>
      <c r="D48" s="17" t="s">
        <v>1996</v>
      </c>
      <c r="E48" t="s">
        <v>2110</v>
      </c>
      <c r="F48" s="511"/>
      <c r="G48" s="14"/>
    </row>
    <row r="49" spans="1:13">
      <c r="A49" t="s">
        <v>2357</v>
      </c>
      <c r="B49" s="497" t="s">
        <v>2111</v>
      </c>
      <c r="C49" t="s">
        <v>2112</v>
      </c>
      <c r="D49" s="17" t="s">
        <v>1996</v>
      </c>
      <c r="E49" s="511" t="s">
        <v>2113</v>
      </c>
      <c r="F49" s="511"/>
      <c r="G49" s="14"/>
      <c r="M49" s="615"/>
    </row>
    <row r="50" spans="1:13">
      <c r="A50" t="s">
        <v>2358</v>
      </c>
      <c r="B50" s="497" t="s">
        <v>60</v>
      </c>
      <c r="C50" t="s">
        <v>2114</v>
      </c>
      <c r="D50" s="17" t="s">
        <v>1996</v>
      </c>
      <c r="E50" s="511" t="s">
        <v>2115</v>
      </c>
      <c r="F50" s="511"/>
      <c r="G50" s="14"/>
      <c r="M50" s="615"/>
    </row>
    <row r="51" spans="1:13" ht="12" customHeight="1">
      <c r="A51" t="s">
        <v>2359</v>
      </c>
      <c r="B51" s="497" t="s">
        <v>2116</v>
      </c>
      <c r="C51" t="s">
        <v>2117</v>
      </c>
      <c r="D51" s="17" t="s">
        <v>1996</v>
      </c>
      <c r="E51" s="511" t="s">
        <v>2118</v>
      </c>
      <c r="F51" s="511"/>
      <c r="G51" s="14"/>
      <c r="M51" s="615"/>
    </row>
    <row r="52" spans="1:13">
      <c r="A52" t="s">
        <v>2360</v>
      </c>
      <c r="B52" s="497" t="s">
        <v>2119</v>
      </c>
      <c r="C52" t="s">
        <v>2120</v>
      </c>
      <c r="D52" s="17">
        <v>25</v>
      </c>
      <c r="E52" s="511" t="s">
        <v>2121</v>
      </c>
      <c r="G52" s="14"/>
      <c r="M52" s="615"/>
    </row>
    <row r="53" spans="1:13">
      <c r="A53" t="s">
        <v>2361</v>
      </c>
      <c r="B53" s="497" t="s">
        <v>2122</v>
      </c>
      <c r="C53" t="s">
        <v>2123</v>
      </c>
      <c r="D53" s="17" t="s">
        <v>1996</v>
      </c>
      <c r="E53" s="511" t="s">
        <v>2124</v>
      </c>
      <c r="G53" s="14"/>
      <c r="M53" s="615"/>
    </row>
    <row r="54" spans="1:13">
      <c r="A54" t="s">
        <v>2362</v>
      </c>
      <c r="B54" s="497" t="s">
        <v>1984</v>
      </c>
      <c r="C54" t="s">
        <v>2125</v>
      </c>
      <c r="D54" s="17" t="s">
        <v>1996</v>
      </c>
      <c r="E54" s="511" t="s">
        <v>2126</v>
      </c>
      <c r="G54" s="14"/>
      <c r="M54" s="615"/>
    </row>
    <row r="55" spans="1:13">
      <c r="A55" t="s">
        <v>2363</v>
      </c>
      <c r="B55" s="497" t="s">
        <v>1825</v>
      </c>
      <c r="C55" t="s">
        <v>2127</v>
      </c>
      <c r="D55" s="17" t="s">
        <v>1996</v>
      </c>
      <c r="E55" t="s">
        <v>2128</v>
      </c>
      <c r="G55" s="14"/>
    </row>
    <row r="56" spans="1:13">
      <c r="A56" t="s">
        <v>2364</v>
      </c>
      <c r="B56" s="497" t="s">
        <v>2051</v>
      </c>
      <c r="C56" t="s">
        <v>2129</v>
      </c>
      <c r="D56" s="17">
        <v>40</v>
      </c>
      <c r="E56" t="s">
        <v>2130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1996</v>
      </c>
      <c r="D59" s="17" t="s">
        <v>1996</v>
      </c>
      <c r="F59" s="511"/>
      <c r="G59" s="14"/>
    </row>
    <row r="60" spans="1:13">
      <c r="A60" t="s">
        <v>1996</v>
      </c>
      <c r="D60" s="17" t="s">
        <v>1996</v>
      </c>
      <c r="F60" s="511"/>
      <c r="G60" s="14"/>
    </row>
    <row r="61" spans="1:13">
      <c r="A61" t="s">
        <v>2365</v>
      </c>
      <c r="B61" s="497" t="s">
        <v>2131</v>
      </c>
      <c r="C61" t="s">
        <v>2132</v>
      </c>
      <c r="D61" s="17" t="s">
        <v>1996</v>
      </c>
      <c r="E61" t="s">
        <v>2133</v>
      </c>
      <c r="F61" s="511"/>
      <c r="G61" s="14"/>
    </row>
    <row r="62" spans="1:13">
      <c r="A62" t="s">
        <v>2366</v>
      </c>
      <c r="B62" s="497" t="s">
        <v>139</v>
      </c>
      <c r="C62" t="s">
        <v>2134</v>
      </c>
      <c r="D62" s="17" t="s">
        <v>1996</v>
      </c>
      <c r="E62" t="s">
        <v>2135</v>
      </c>
      <c r="F62" s="511"/>
      <c r="G62" s="14"/>
    </row>
    <row r="63" spans="1:13">
      <c r="A63" t="s">
        <v>2367</v>
      </c>
      <c r="B63" s="497" t="s">
        <v>2136</v>
      </c>
      <c r="C63" t="s">
        <v>2137</v>
      </c>
      <c r="D63" s="17" t="s">
        <v>1996</v>
      </c>
      <c r="E63" t="s">
        <v>2138</v>
      </c>
      <c r="F63" s="511"/>
      <c r="G63" s="14"/>
    </row>
    <row r="64" spans="1:13">
      <c r="A64" t="s">
        <v>2368</v>
      </c>
      <c r="B64" s="497" t="s">
        <v>2139</v>
      </c>
      <c r="C64" t="s">
        <v>2140</v>
      </c>
      <c r="D64" s="17" t="s">
        <v>1996</v>
      </c>
      <c r="E64" t="s">
        <v>2141</v>
      </c>
      <c r="G64" s="14"/>
    </row>
    <row r="65" spans="1:7">
      <c r="A65" t="s">
        <v>2369</v>
      </c>
      <c r="B65" s="497" t="s">
        <v>2142</v>
      </c>
      <c r="C65" t="s">
        <v>2143</v>
      </c>
      <c r="D65" s="17" t="s">
        <v>1996</v>
      </c>
      <c r="E65" t="s">
        <v>2144</v>
      </c>
      <c r="F65" s="511"/>
      <c r="G65" s="14"/>
    </row>
    <row r="66" spans="1:7">
      <c r="A66" t="s">
        <v>2370</v>
      </c>
      <c r="B66" s="497" t="s">
        <v>2145</v>
      </c>
      <c r="C66" t="s">
        <v>2146</v>
      </c>
      <c r="D66" s="17" t="s">
        <v>1996</v>
      </c>
      <c r="E66" t="s">
        <v>2147</v>
      </c>
      <c r="F66" s="511"/>
      <c r="G66" s="14"/>
    </row>
    <row r="67" spans="1:7">
      <c r="A67" t="s">
        <v>2371</v>
      </c>
      <c r="B67" s="497" t="s">
        <v>2148</v>
      </c>
      <c r="C67" t="s">
        <v>2149</v>
      </c>
      <c r="D67" s="17" t="s">
        <v>1996</v>
      </c>
      <c r="E67" t="s">
        <v>2150</v>
      </c>
      <c r="G67" s="14"/>
    </row>
    <row r="68" spans="1:7">
      <c r="A68" t="s">
        <v>2372</v>
      </c>
      <c r="B68" s="497" t="s">
        <v>124</v>
      </c>
      <c r="C68" t="s">
        <v>2151</v>
      </c>
      <c r="D68" s="17" t="s">
        <v>1996</v>
      </c>
      <c r="E68" t="s">
        <v>2152</v>
      </c>
      <c r="F68" s="511"/>
      <c r="G68" s="14"/>
    </row>
    <row r="69" spans="1:7">
      <c r="A69" t="s">
        <v>2373</v>
      </c>
      <c r="B69" s="497" t="s">
        <v>47</v>
      </c>
      <c r="C69" t="s">
        <v>2153</v>
      </c>
      <c r="D69" s="17" t="s">
        <v>1996</v>
      </c>
      <c r="E69" t="s">
        <v>2154</v>
      </c>
      <c r="F69" s="511"/>
      <c r="G69" s="14"/>
    </row>
    <row r="70" spans="1:7">
      <c r="A70" t="s">
        <v>2374</v>
      </c>
      <c r="B70" s="497" t="s">
        <v>2155</v>
      </c>
      <c r="C70" t="s">
        <v>2156</v>
      </c>
      <c r="D70" s="17" t="s">
        <v>1996</v>
      </c>
      <c r="E70" t="s">
        <v>2157</v>
      </c>
      <c r="F70" s="511"/>
      <c r="G70" s="14"/>
    </row>
    <row r="71" spans="1:7">
      <c r="A71" t="s">
        <v>2375</v>
      </c>
      <c r="B71" s="497" t="s">
        <v>2158</v>
      </c>
      <c r="C71" t="s">
        <v>2159</v>
      </c>
      <c r="D71" s="17" t="s">
        <v>1996</v>
      </c>
      <c r="E71" t="s">
        <v>2160</v>
      </c>
      <c r="F71" s="511"/>
      <c r="G71" s="14"/>
    </row>
    <row r="72" spans="1:7">
      <c r="A72" t="s">
        <v>2376</v>
      </c>
      <c r="B72" s="497" t="s">
        <v>76</v>
      </c>
      <c r="C72" t="s">
        <v>2161</v>
      </c>
      <c r="D72" s="17" t="s">
        <v>1996</v>
      </c>
      <c r="E72" t="s">
        <v>2162</v>
      </c>
      <c r="G72" s="14"/>
    </row>
    <row r="73" spans="1:7">
      <c r="A73" t="s">
        <v>2377</v>
      </c>
      <c r="B73" s="497" t="s">
        <v>1985</v>
      </c>
      <c r="C73" t="s">
        <v>2163</v>
      </c>
      <c r="D73" s="17" t="s">
        <v>1996</v>
      </c>
      <c r="E73" t="s">
        <v>2164</v>
      </c>
      <c r="F73" s="511"/>
      <c r="G73" s="14"/>
    </row>
    <row r="74" spans="1:7">
      <c r="A74" t="s">
        <v>2378</v>
      </c>
      <c r="B74" s="497" t="s">
        <v>2165</v>
      </c>
      <c r="C74" t="s">
        <v>2166</v>
      </c>
      <c r="D74" s="17" t="s">
        <v>1996</v>
      </c>
      <c r="E74" t="s">
        <v>2167</v>
      </c>
      <c r="F74" s="511"/>
      <c r="G74" s="14"/>
    </row>
    <row r="75" spans="1:7">
      <c r="A75" t="s">
        <v>2379</v>
      </c>
      <c r="B75" s="497" t="s">
        <v>130</v>
      </c>
      <c r="C75" t="s">
        <v>2168</v>
      </c>
      <c r="D75" s="17" t="s">
        <v>1996</v>
      </c>
      <c r="E75" t="s">
        <v>2169</v>
      </c>
      <c r="F75" s="511"/>
      <c r="G75" s="14"/>
    </row>
    <row r="76" spans="1:7">
      <c r="A76" t="s">
        <v>2380</v>
      </c>
      <c r="B76" s="497" t="s">
        <v>2170</v>
      </c>
      <c r="C76" t="s">
        <v>2171</v>
      </c>
      <c r="D76" s="17">
        <v>25</v>
      </c>
      <c r="E76" t="s">
        <v>2172</v>
      </c>
      <c r="F76" s="511"/>
      <c r="G76" s="14"/>
    </row>
    <row r="77" spans="1:7">
      <c r="A77" t="s">
        <v>2381</v>
      </c>
      <c r="B77" s="497" t="s">
        <v>679</v>
      </c>
      <c r="C77" t="s">
        <v>2173</v>
      </c>
      <c r="D77" s="17">
        <v>25</v>
      </c>
      <c r="E77" t="s">
        <v>2174</v>
      </c>
      <c r="F77" s="511"/>
      <c r="G77" s="14"/>
    </row>
    <row r="78" spans="1:7">
      <c r="A78" t="s">
        <v>2382</v>
      </c>
      <c r="B78" s="497" t="s">
        <v>820</v>
      </c>
      <c r="C78" t="s">
        <v>2175</v>
      </c>
      <c r="D78" s="17" t="s">
        <v>1996</v>
      </c>
      <c r="E78" t="s">
        <v>2176</v>
      </c>
      <c r="F78" s="511"/>
      <c r="G78" s="14"/>
    </row>
    <row r="79" spans="1:7">
      <c r="F79" s="511"/>
      <c r="G79" s="14"/>
    </row>
    <row r="80" spans="1:7">
      <c r="D80" s="17" t="s">
        <v>1996</v>
      </c>
      <c r="F80" s="511"/>
      <c r="G80" s="14"/>
    </row>
    <row r="81" spans="1:7">
      <c r="D81" s="17" t="s">
        <v>1996</v>
      </c>
      <c r="F81" s="511"/>
      <c r="G81" s="14"/>
    </row>
    <row r="82" spans="1:7">
      <c r="A82" t="s">
        <v>2383</v>
      </c>
      <c r="B82" s="497" t="s">
        <v>1783</v>
      </c>
      <c r="C82" t="s">
        <v>2177</v>
      </c>
      <c r="D82" s="17" t="s">
        <v>1996</v>
      </c>
      <c r="E82" t="s">
        <v>2178</v>
      </c>
    </row>
    <row r="83" spans="1:7">
      <c r="A83" t="s">
        <v>2384</v>
      </c>
      <c r="B83" s="497" t="s">
        <v>1788</v>
      </c>
      <c r="C83" t="s">
        <v>2179</v>
      </c>
      <c r="D83" s="17" t="s">
        <v>1996</v>
      </c>
      <c r="E83" t="s">
        <v>2180</v>
      </c>
    </row>
    <row r="84" spans="1:7">
      <c r="A84" t="s">
        <v>2385</v>
      </c>
      <c r="B84" s="497" t="s">
        <v>2181</v>
      </c>
      <c r="C84" t="s">
        <v>2182</v>
      </c>
      <c r="D84" s="17" t="s">
        <v>1996</v>
      </c>
      <c r="E84" t="s">
        <v>2183</v>
      </c>
    </row>
    <row r="85" spans="1:7">
      <c r="A85" t="s">
        <v>2386</v>
      </c>
      <c r="B85" s="497" t="s">
        <v>1900</v>
      </c>
      <c r="C85" t="s">
        <v>2184</v>
      </c>
      <c r="D85" s="17" t="s">
        <v>1996</v>
      </c>
      <c r="E85" t="s">
        <v>2185</v>
      </c>
    </row>
    <row r="86" spans="1:7">
      <c r="A86" t="s">
        <v>2387</v>
      </c>
      <c r="B86" s="497" t="s">
        <v>19</v>
      </c>
      <c r="C86" t="s">
        <v>2186</v>
      </c>
      <c r="D86" s="17" t="s">
        <v>1996</v>
      </c>
      <c r="E86" t="s">
        <v>2187</v>
      </c>
    </row>
    <row r="87" spans="1:7">
      <c r="A87" t="s">
        <v>2388</v>
      </c>
      <c r="B87" s="497" t="s">
        <v>1356</v>
      </c>
      <c r="C87" t="s">
        <v>2188</v>
      </c>
      <c r="D87" s="17" t="s">
        <v>1996</v>
      </c>
      <c r="E87" t="s">
        <v>2189</v>
      </c>
    </row>
    <row r="88" spans="1:7">
      <c r="A88" t="s">
        <v>2389</v>
      </c>
      <c r="B88" s="497" t="s">
        <v>12</v>
      </c>
      <c r="C88" t="s">
        <v>2190</v>
      </c>
      <c r="D88" s="17" t="s">
        <v>1996</v>
      </c>
      <c r="E88" t="s">
        <v>2191</v>
      </c>
    </row>
    <row r="89" spans="1:7">
      <c r="A89" t="s">
        <v>2390</v>
      </c>
      <c r="B89" s="497" t="s">
        <v>55</v>
      </c>
      <c r="C89" t="s">
        <v>2192</v>
      </c>
      <c r="D89" s="17" t="s">
        <v>1996</v>
      </c>
      <c r="E89" t="s">
        <v>2193</v>
      </c>
    </row>
    <row r="90" spans="1:7">
      <c r="A90" t="s">
        <v>2391</v>
      </c>
      <c r="B90" s="497" t="s">
        <v>1510</v>
      </c>
      <c r="C90" t="s">
        <v>2194</v>
      </c>
      <c r="D90" s="17" t="s">
        <v>1996</v>
      </c>
      <c r="E90" t="s">
        <v>2195</v>
      </c>
    </row>
    <row r="91" spans="1:7">
      <c r="A91" t="s">
        <v>2392</v>
      </c>
      <c r="B91" s="497" t="s">
        <v>11</v>
      </c>
      <c r="C91" t="s">
        <v>2196</v>
      </c>
      <c r="D91" s="17" t="s">
        <v>1996</v>
      </c>
      <c r="E91" t="s">
        <v>2197</v>
      </c>
    </row>
    <row r="92" spans="1:7">
      <c r="A92" t="s">
        <v>2393</v>
      </c>
      <c r="B92" s="497" t="s">
        <v>78</v>
      </c>
      <c r="C92" t="s">
        <v>2198</v>
      </c>
      <c r="D92" s="17" t="s">
        <v>1996</v>
      </c>
      <c r="E92" t="s">
        <v>2199</v>
      </c>
    </row>
    <row r="93" spans="1:7">
      <c r="A93" t="s">
        <v>2394</v>
      </c>
      <c r="B93" s="497" t="s">
        <v>51</v>
      </c>
      <c r="C93" t="s">
        <v>2200</v>
      </c>
      <c r="D93" s="17" t="s">
        <v>1996</v>
      </c>
      <c r="E93" t="s">
        <v>2201</v>
      </c>
    </row>
    <row r="94" spans="1:7">
      <c r="A94" t="s">
        <v>2395</v>
      </c>
      <c r="B94" s="497" t="s">
        <v>52</v>
      </c>
      <c r="C94" t="s">
        <v>2202</v>
      </c>
      <c r="D94" s="17" t="s">
        <v>1996</v>
      </c>
      <c r="E94" t="s">
        <v>2203</v>
      </c>
    </row>
    <row r="95" spans="1:7">
      <c r="A95" t="s">
        <v>2396</v>
      </c>
      <c r="B95" s="497" t="s">
        <v>1354</v>
      </c>
      <c r="C95" t="s">
        <v>2204</v>
      </c>
      <c r="D95" s="17" t="s">
        <v>1996</v>
      </c>
      <c r="E95" t="s">
        <v>2205</v>
      </c>
    </row>
    <row r="96" spans="1:7">
      <c r="A96" t="s">
        <v>2397</v>
      </c>
      <c r="B96" s="497" t="s">
        <v>16</v>
      </c>
      <c r="C96" t="s">
        <v>2206</v>
      </c>
      <c r="D96" s="17" t="s">
        <v>1996</v>
      </c>
      <c r="E96" t="s">
        <v>2207</v>
      </c>
    </row>
    <row r="97" spans="1:5">
      <c r="A97" t="s">
        <v>2398</v>
      </c>
      <c r="B97" s="497" t="s">
        <v>114</v>
      </c>
      <c r="C97" t="s">
        <v>2208</v>
      </c>
      <c r="D97" s="17" t="s">
        <v>1996</v>
      </c>
      <c r="E97" t="s">
        <v>2209</v>
      </c>
    </row>
    <row r="98" spans="1:5">
      <c r="A98" t="s">
        <v>2399</v>
      </c>
      <c r="B98" s="497" t="s">
        <v>1369</v>
      </c>
      <c r="C98" t="s">
        <v>2210</v>
      </c>
      <c r="D98" s="17" t="s">
        <v>1996</v>
      </c>
      <c r="E98" t="s">
        <v>2211</v>
      </c>
    </row>
    <row r="99" spans="1:5">
      <c r="A99" t="s">
        <v>2400</v>
      </c>
      <c r="B99" s="497" t="s">
        <v>1584</v>
      </c>
      <c r="C99" t="s">
        <v>2212</v>
      </c>
      <c r="D99" s="17" t="s">
        <v>1996</v>
      </c>
      <c r="E99" t="s">
        <v>2213</v>
      </c>
    </row>
    <row r="100" spans="1:5">
      <c r="A100" t="s">
        <v>2400</v>
      </c>
      <c r="B100" s="497" t="s">
        <v>1584</v>
      </c>
      <c r="C100" t="s">
        <v>2212</v>
      </c>
      <c r="D100" s="17" t="s">
        <v>1996</v>
      </c>
      <c r="E100" t="s">
        <v>2214</v>
      </c>
    </row>
    <row r="101" spans="1:5">
      <c r="A101" t="s">
        <v>2401</v>
      </c>
      <c r="B101" s="497" t="s">
        <v>14</v>
      </c>
      <c r="C101" t="s">
        <v>2215</v>
      </c>
      <c r="D101" s="17" t="s">
        <v>1996</v>
      </c>
      <c r="E101" t="s">
        <v>2216</v>
      </c>
    </row>
    <row r="102" spans="1:5">
      <c r="A102" t="s">
        <v>2402</v>
      </c>
      <c r="B102" s="497" t="s">
        <v>1928</v>
      </c>
      <c r="C102" t="s">
        <v>2217</v>
      </c>
      <c r="D102" s="17" t="s">
        <v>1996</v>
      </c>
      <c r="E102" t="s">
        <v>2218</v>
      </c>
    </row>
    <row r="103" spans="1:5">
      <c r="A103" t="s">
        <v>2403</v>
      </c>
      <c r="B103" s="497" t="s">
        <v>1503</v>
      </c>
      <c r="C103" t="s">
        <v>2219</v>
      </c>
      <c r="D103" s="17" t="s">
        <v>1996</v>
      </c>
      <c r="E103" t="s">
        <v>2220</v>
      </c>
    </row>
    <row r="104" spans="1:5">
      <c r="A104" t="s">
        <v>2404</v>
      </c>
      <c r="B104" s="497" t="s">
        <v>1443</v>
      </c>
      <c r="C104" t="s">
        <v>2221</v>
      </c>
      <c r="D104" s="17" t="s">
        <v>1996</v>
      </c>
      <c r="E104" t="s">
        <v>2222</v>
      </c>
    </row>
    <row r="105" spans="1:5">
      <c r="A105" t="s">
        <v>2404</v>
      </c>
      <c r="B105" s="497" t="s">
        <v>1443</v>
      </c>
      <c r="C105" t="s">
        <v>2221</v>
      </c>
      <c r="D105" s="17" t="s">
        <v>1996</v>
      </c>
      <c r="E105" t="s">
        <v>2223</v>
      </c>
    </row>
    <row r="106" spans="1:5">
      <c r="A106" t="s">
        <v>2405</v>
      </c>
      <c r="B106" s="497" t="s">
        <v>1912</v>
      </c>
      <c r="C106" t="s">
        <v>2224</v>
      </c>
      <c r="D106" s="17" t="s">
        <v>1996</v>
      </c>
      <c r="E106" t="s">
        <v>2225</v>
      </c>
    </row>
    <row r="107" spans="1:5">
      <c r="A107" t="s">
        <v>2406</v>
      </c>
      <c r="B107" s="497" t="s">
        <v>1899</v>
      </c>
      <c r="C107" t="s">
        <v>2226</v>
      </c>
      <c r="D107" s="17" t="s">
        <v>1996</v>
      </c>
      <c r="E107" t="s">
        <v>2227</v>
      </c>
    </row>
    <row r="108" spans="1:5">
      <c r="A108" t="s">
        <v>2407</v>
      </c>
      <c r="B108" s="497" t="s">
        <v>1960</v>
      </c>
      <c r="C108" t="s">
        <v>2228</v>
      </c>
      <c r="D108" s="17" t="s">
        <v>1996</v>
      </c>
      <c r="E108" t="s">
        <v>2229</v>
      </c>
    </row>
    <row r="109" spans="1:5">
      <c r="A109" t="s">
        <v>2408</v>
      </c>
      <c r="B109" s="497" t="s">
        <v>1448</v>
      </c>
      <c r="C109" t="s">
        <v>2230</v>
      </c>
      <c r="D109" s="17" t="s">
        <v>1996</v>
      </c>
      <c r="E109" t="s">
        <v>2231</v>
      </c>
    </row>
    <row r="110" spans="1:5">
      <c r="A110" t="s">
        <v>2409</v>
      </c>
    </row>
    <row r="111" spans="1:5">
      <c r="D111" s="17" t="s">
        <v>1996</v>
      </c>
    </row>
    <row r="112" spans="1:5">
      <c r="D112" s="17" t="s">
        <v>1996</v>
      </c>
    </row>
    <row r="113" spans="1:5">
      <c r="D113" s="17" t="s">
        <v>1996</v>
      </c>
    </row>
    <row r="114" spans="1:5">
      <c r="A114" t="s">
        <v>2410</v>
      </c>
      <c r="B114" s="497" t="s">
        <v>2232</v>
      </c>
      <c r="C114" t="s">
        <v>2233</v>
      </c>
      <c r="D114" s="17" t="s">
        <v>1996</v>
      </c>
      <c r="E114" t="s">
        <v>2234</v>
      </c>
    </row>
    <row r="115" spans="1:5">
      <c r="A115" t="s">
        <v>2411</v>
      </c>
      <c r="B115" s="497" t="s">
        <v>2235</v>
      </c>
      <c r="C115" t="s">
        <v>2236</v>
      </c>
      <c r="D115" s="17" t="s">
        <v>1996</v>
      </c>
      <c r="E115" t="s">
        <v>2237</v>
      </c>
    </row>
    <row r="116" spans="1:5">
      <c r="A116" t="s">
        <v>2412</v>
      </c>
      <c r="B116" s="497" t="s">
        <v>2238</v>
      </c>
      <c r="C116" t="s">
        <v>2239</v>
      </c>
      <c r="D116" s="17" t="s">
        <v>1996</v>
      </c>
      <c r="E116" t="s">
        <v>2240</v>
      </c>
    </row>
    <row r="117" spans="1:5">
      <c r="A117" t="s">
        <v>2413</v>
      </c>
      <c r="B117" s="497" t="s">
        <v>2241</v>
      </c>
      <c r="C117" t="s">
        <v>2242</v>
      </c>
      <c r="D117" s="17" t="s">
        <v>1996</v>
      </c>
      <c r="E117" t="s">
        <v>2243</v>
      </c>
    </row>
    <row r="118" spans="1:5">
      <c r="A118" t="s">
        <v>2414</v>
      </c>
      <c r="B118" s="497" t="s">
        <v>2244</v>
      </c>
      <c r="C118" t="s">
        <v>2245</v>
      </c>
      <c r="D118" s="17" t="s">
        <v>1996</v>
      </c>
      <c r="E118" t="s">
        <v>2246</v>
      </c>
    </row>
    <row r="119" spans="1:5">
      <c r="C119" t="s">
        <v>2247</v>
      </c>
      <c r="D119" s="17">
        <v>25</v>
      </c>
      <c r="E119" t="s">
        <v>2248</v>
      </c>
    </row>
    <row r="120" spans="1:5">
      <c r="A120" t="s">
        <v>2415</v>
      </c>
      <c r="B120" s="497" t="s">
        <v>2249</v>
      </c>
      <c r="C120" t="s">
        <v>2250</v>
      </c>
      <c r="D120" s="17" t="s">
        <v>1996</v>
      </c>
      <c r="E120" t="s">
        <v>2251</v>
      </c>
    </row>
    <row r="121" spans="1:5">
      <c r="A121" t="s">
        <v>2416</v>
      </c>
      <c r="B121" s="497" t="s">
        <v>2252</v>
      </c>
      <c r="C121" t="s">
        <v>2253</v>
      </c>
      <c r="D121" s="17" t="s">
        <v>1996</v>
      </c>
      <c r="E121" t="s">
        <v>2254</v>
      </c>
    </row>
    <row r="122" spans="1:5">
      <c r="A122" t="s">
        <v>2417</v>
      </c>
      <c r="B122" s="497" t="s">
        <v>2255</v>
      </c>
      <c r="C122" t="s">
        <v>2256</v>
      </c>
      <c r="D122" s="17" t="s">
        <v>1996</v>
      </c>
      <c r="E122" t="s">
        <v>2257</v>
      </c>
    </row>
    <row r="123" spans="1:5">
      <c r="A123" t="s">
        <v>2418</v>
      </c>
      <c r="B123" s="497" t="s">
        <v>2258</v>
      </c>
      <c r="C123" t="s">
        <v>2259</v>
      </c>
      <c r="D123" s="17" t="s">
        <v>1996</v>
      </c>
      <c r="E123" t="s">
        <v>2260</v>
      </c>
    </row>
    <row r="124" spans="1:5">
      <c r="C124" t="s">
        <v>2259</v>
      </c>
      <c r="E124" t="s">
        <v>2260</v>
      </c>
    </row>
    <row r="127" spans="1:5">
      <c r="A127" t="s">
        <v>2419</v>
      </c>
      <c r="B127" s="497" t="s">
        <v>2261</v>
      </c>
      <c r="C127" t="s">
        <v>2262</v>
      </c>
      <c r="D127" s="17" t="s">
        <v>1996</v>
      </c>
      <c r="E127" t="s">
        <v>2263</v>
      </c>
    </row>
    <row r="128" spans="1:5">
      <c r="A128" t="s">
        <v>2420</v>
      </c>
      <c r="B128" s="497" t="s">
        <v>2264</v>
      </c>
      <c r="C128" t="s">
        <v>2265</v>
      </c>
      <c r="D128" s="17" t="s">
        <v>1996</v>
      </c>
      <c r="E128" t="s">
        <v>2266</v>
      </c>
    </row>
    <row r="129" spans="1:5">
      <c r="A129" t="s">
        <v>2421</v>
      </c>
      <c r="B129" s="497" t="s">
        <v>57</v>
      </c>
      <c r="C129" t="s">
        <v>2267</v>
      </c>
      <c r="D129" s="17" t="s">
        <v>1996</v>
      </c>
      <c r="E129" t="s">
        <v>2268</v>
      </c>
    </row>
    <row r="130" spans="1:5">
      <c r="A130" t="s">
        <v>2422</v>
      </c>
      <c r="B130" s="497" t="s">
        <v>2269</v>
      </c>
      <c r="C130" t="s">
        <v>2270</v>
      </c>
      <c r="D130" s="17" t="s">
        <v>1996</v>
      </c>
      <c r="E130" t="s">
        <v>2271</v>
      </c>
    </row>
    <row r="131" spans="1:5">
      <c r="A131" t="s">
        <v>2423</v>
      </c>
      <c r="B131" s="497" t="s">
        <v>2272</v>
      </c>
      <c r="C131" t="s">
        <v>2273</v>
      </c>
      <c r="D131" s="17" t="s">
        <v>1996</v>
      </c>
      <c r="E131" t="s">
        <v>2274</v>
      </c>
    </row>
    <row r="135" spans="1:5">
      <c r="A135" t="s">
        <v>2424</v>
      </c>
      <c r="B135" s="497" t="s">
        <v>126</v>
      </c>
      <c r="C135" t="s">
        <v>2275</v>
      </c>
      <c r="D135" s="17">
        <v>50</v>
      </c>
      <c r="E135" t="s">
        <v>2276</v>
      </c>
    </row>
    <row r="136" spans="1:5">
      <c r="A136" t="s">
        <v>2425</v>
      </c>
      <c r="B136" s="497" t="s">
        <v>128</v>
      </c>
      <c r="C136" t="s">
        <v>2277</v>
      </c>
      <c r="D136" s="17">
        <v>50</v>
      </c>
      <c r="E136" t="s">
        <v>2278</v>
      </c>
    </row>
    <row r="137" spans="1:5">
      <c r="A137" t="s">
        <v>2426</v>
      </c>
      <c r="B137" s="497" t="s">
        <v>129</v>
      </c>
      <c r="C137" t="s">
        <v>2279</v>
      </c>
      <c r="D137" s="17">
        <v>50</v>
      </c>
      <c r="E137" t="s">
        <v>2280</v>
      </c>
    </row>
    <row r="138" spans="1:5">
      <c r="A138" t="s">
        <v>2427</v>
      </c>
      <c r="B138" s="497" t="s">
        <v>70</v>
      </c>
      <c r="C138" t="s">
        <v>2281</v>
      </c>
      <c r="D138" s="17">
        <v>50</v>
      </c>
      <c r="E138" t="s">
        <v>2282</v>
      </c>
    </row>
    <row r="139" spans="1:5">
      <c r="A139" t="s">
        <v>2428</v>
      </c>
      <c r="B139" s="497" t="s">
        <v>105</v>
      </c>
      <c r="C139" t="s">
        <v>2283</v>
      </c>
      <c r="D139" s="17">
        <v>50</v>
      </c>
      <c r="E139" t="s">
        <v>2284</v>
      </c>
    </row>
    <row r="140" spans="1:5">
      <c r="A140" t="s">
        <v>2429</v>
      </c>
      <c r="B140" s="497" t="s">
        <v>107</v>
      </c>
      <c r="C140" t="s">
        <v>2285</v>
      </c>
      <c r="D140" s="17">
        <v>50</v>
      </c>
      <c r="E140" t="s">
        <v>2286</v>
      </c>
    </row>
    <row r="141" spans="1:5">
      <c r="A141" t="s">
        <v>2430</v>
      </c>
      <c r="B141" s="497" t="s">
        <v>104</v>
      </c>
      <c r="C141" t="s">
        <v>2287</v>
      </c>
      <c r="D141" s="17">
        <v>50</v>
      </c>
      <c r="E141" t="s">
        <v>2288</v>
      </c>
    </row>
    <row r="142" spans="1:5">
      <c r="A142" t="s">
        <v>2431</v>
      </c>
      <c r="B142" s="497" t="s">
        <v>58</v>
      </c>
      <c r="C142" t="s">
        <v>2289</v>
      </c>
      <c r="D142" s="17">
        <v>50</v>
      </c>
      <c r="E142" t="s">
        <v>2290</v>
      </c>
    </row>
    <row r="143" spans="1:5">
      <c r="A143" t="s">
        <v>2432</v>
      </c>
      <c r="B143" s="497" t="s">
        <v>54</v>
      </c>
      <c r="C143" t="s">
        <v>2291</v>
      </c>
      <c r="D143" s="17">
        <v>50</v>
      </c>
      <c r="E143" t="s">
        <v>2292</v>
      </c>
    </row>
    <row r="144" spans="1:5">
      <c r="A144" t="s">
        <v>2433</v>
      </c>
      <c r="B144" s="497" t="s">
        <v>120</v>
      </c>
      <c r="C144" t="s">
        <v>2293</v>
      </c>
      <c r="D144" s="17">
        <v>50</v>
      </c>
      <c r="E144" t="s">
        <v>2294</v>
      </c>
    </row>
    <row r="145" spans="1:5">
      <c r="A145" t="s">
        <v>2434</v>
      </c>
      <c r="B145" s="497" t="s">
        <v>24</v>
      </c>
      <c r="C145" t="s">
        <v>2295</v>
      </c>
      <c r="D145" s="17">
        <v>50</v>
      </c>
      <c r="E145" t="s">
        <v>2296</v>
      </c>
    </row>
    <row r="146" spans="1:5">
      <c r="A146" t="s">
        <v>2435</v>
      </c>
      <c r="B146" s="497" t="s">
        <v>23</v>
      </c>
      <c r="C146" t="s">
        <v>2297</v>
      </c>
      <c r="D146" s="17">
        <v>50</v>
      </c>
      <c r="E146" t="s">
        <v>2298</v>
      </c>
    </row>
    <row r="147" spans="1:5">
      <c r="A147" t="s">
        <v>2436</v>
      </c>
      <c r="B147" s="497" t="s">
        <v>125</v>
      </c>
      <c r="C147" t="s">
        <v>2299</v>
      </c>
      <c r="D147" s="17">
        <v>50</v>
      </c>
      <c r="E147" t="s">
        <v>2300</v>
      </c>
    </row>
    <row r="148" spans="1:5">
      <c r="A148" t="s">
        <v>2437</v>
      </c>
      <c r="B148" s="497" t="s">
        <v>65</v>
      </c>
      <c r="C148" t="s">
        <v>2301</v>
      </c>
      <c r="D148" s="17">
        <v>50</v>
      </c>
      <c r="E148" t="s">
        <v>2302</v>
      </c>
    </row>
    <row r="149" spans="1:5">
      <c r="A149" t="s">
        <v>2438</v>
      </c>
      <c r="B149" s="497" t="s">
        <v>84</v>
      </c>
      <c r="C149" t="s">
        <v>2303</v>
      </c>
      <c r="D149" s="17">
        <v>50</v>
      </c>
      <c r="E149" t="s">
        <v>2304</v>
      </c>
    </row>
    <row r="150" spans="1:5">
      <c r="A150" t="s">
        <v>2439</v>
      </c>
      <c r="B150" s="497" t="s">
        <v>49</v>
      </c>
      <c r="C150" t="s">
        <v>2305</v>
      </c>
      <c r="D150" s="17">
        <v>50</v>
      </c>
      <c r="E150" t="s">
        <v>2306</v>
      </c>
    </row>
    <row r="151" spans="1:5">
      <c r="A151" t="s">
        <v>2440</v>
      </c>
      <c r="B151" s="497" t="s">
        <v>50</v>
      </c>
      <c r="C151" t="s">
        <v>2307</v>
      </c>
      <c r="D151" s="17">
        <v>50</v>
      </c>
      <c r="E151" t="s">
        <v>2308</v>
      </c>
    </row>
    <row r="152" spans="1:5">
      <c r="A152" t="s">
        <v>2409</v>
      </c>
    </row>
    <row r="153" spans="1:5">
      <c r="A153" t="s">
        <v>2409</v>
      </c>
    </row>
    <row r="154" spans="1:5">
      <c r="A154" t="s">
        <v>2409</v>
      </c>
      <c r="E154" t="s">
        <v>2309</v>
      </c>
    </row>
    <row r="155" spans="1:5">
      <c r="A155" t="s">
        <v>2409</v>
      </c>
      <c r="E155" t="s">
        <v>70</v>
      </c>
    </row>
    <row r="156" spans="1:5">
      <c r="A156" t="s">
        <v>2441</v>
      </c>
      <c r="B156" s="497" t="s">
        <v>1785</v>
      </c>
      <c r="C156" t="s">
        <v>2279</v>
      </c>
      <c r="D156" s="17">
        <v>50</v>
      </c>
      <c r="E156" t="s">
        <v>2280</v>
      </c>
    </row>
    <row r="157" spans="1:5">
      <c r="A157" t="s">
        <v>2442</v>
      </c>
      <c r="B157" s="497" t="s">
        <v>2310</v>
      </c>
      <c r="C157" t="s">
        <v>2275</v>
      </c>
      <c r="D157" s="17">
        <v>50</v>
      </c>
      <c r="E157" t="s">
        <v>2276</v>
      </c>
    </row>
    <row r="158" spans="1:5">
      <c r="A158" t="s">
        <v>2443</v>
      </c>
      <c r="B158" s="497" t="s">
        <v>1784</v>
      </c>
      <c r="C158" t="s">
        <v>2277</v>
      </c>
      <c r="D158" s="17">
        <v>50</v>
      </c>
      <c r="E158" t="s">
        <v>2278</v>
      </c>
    </row>
    <row r="159" spans="1:5">
      <c r="A159" t="s">
        <v>2444</v>
      </c>
      <c r="B159" s="497" t="s">
        <v>1844</v>
      </c>
      <c r="C159" t="s">
        <v>2281</v>
      </c>
      <c r="D159" s="17">
        <v>50</v>
      </c>
      <c r="E159" t="s">
        <v>2280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2495</v>
      </c>
      <c r="H2" s="14"/>
      <c r="K2" s="511"/>
    </row>
    <row r="3" spans="1:15">
      <c r="A3" s="927" t="s">
        <v>2554</v>
      </c>
      <c r="D3" s="14"/>
      <c r="K3" s="511"/>
    </row>
    <row r="4" spans="1:15">
      <c r="A4" s="927" t="s">
        <v>2565</v>
      </c>
      <c r="D4" s="14"/>
      <c r="H4" s="614"/>
      <c r="K4" s="511"/>
      <c r="O4" s="615"/>
    </row>
    <row r="5" spans="1:15">
      <c r="A5" s="927" t="s">
        <v>2568</v>
      </c>
      <c r="D5" s="14"/>
      <c r="H5" s="614"/>
      <c r="K5" s="511"/>
      <c r="O5" s="615"/>
    </row>
    <row r="6" spans="1:15">
      <c r="A6" s="927" t="s">
        <v>2530</v>
      </c>
      <c r="D6" s="14"/>
      <c r="H6" s="614"/>
      <c r="I6" s="614"/>
      <c r="K6" s="511"/>
      <c r="O6" s="615"/>
    </row>
    <row r="7" spans="1:15">
      <c r="A7" s="927" t="s">
        <v>2530</v>
      </c>
      <c r="D7" s="14"/>
      <c r="H7" s="614"/>
      <c r="I7" s="614"/>
      <c r="K7" s="511"/>
      <c r="O7" s="615"/>
    </row>
    <row r="8" spans="1:15">
      <c r="A8" s="927" t="s">
        <v>2551</v>
      </c>
      <c r="D8" s="14"/>
      <c r="H8" s="614"/>
      <c r="I8" s="614"/>
      <c r="K8" s="511"/>
      <c r="O8" s="615"/>
    </row>
    <row r="9" spans="1:15">
      <c r="A9" s="927" t="s">
        <v>2558</v>
      </c>
      <c r="C9" s="577"/>
      <c r="D9" s="14"/>
      <c r="H9" s="614"/>
      <c r="K9" s="511"/>
      <c r="O9" s="615"/>
    </row>
    <row r="10" spans="1:15">
      <c r="A10" s="927" t="s">
        <v>2535</v>
      </c>
      <c r="D10" s="14"/>
      <c r="H10" s="614"/>
      <c r="I10" s="614"/>
      <c r="K10" s="511"/>
      <c r="O10" s="615"/>
    </row>
    <row r="11" spans="1:15">
      <c r="A11" s="927" t="s">
        <v>2520</v>
      </c>
      <c r="D11" s="14"/>
      <c r="H11" s="614"/>
      <c r="I11" s="614"/>
      <c r="K11" s="511"/>
      <c r="M11" s="614"/>
      <c r="O11" s="615"/>
    </row>
    <row r="12" spans="1:15">
      <c r="A12" s="930" t="s">
        <v>2531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2543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2590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2575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2534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2517</v>
      </c>
      <c r="E17" s="576"/>
      <c r="K17" s="511"/>
      <c r="O17" s="615"/>
    </row>
    <row r="18" spans="1:15">
      <c r="A18" s="658" t="s">
        <v>2562</v>
      </c>
      <c r="K18" s="511"/>
      <c r="O18" s="615"/>
    </row>
    <row r="19" spans="1:15">
      <c r="A19" s="658" t="s">
        <v>2557</v>
      </c>
      <c r="E19" s="576"/>
      <c r="K19" s="511"/>
      <c r="O19" s="615"/>
    </row>
    <row r="20" spans="1:15">
      <c r="A20" s="658" t="s">
        <v>2597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2605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2584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2572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2567</v>
      </c>
      <c r="E24" s="576"/>
      <c r="I24">
        <f>SUM(I20:I23)</f>
        <v>1469</v>
      </c>
      <c r="O24" s="615"/>
    </row>
    <row r="25" spans="1:15">
      <c r="A25" s="927" t="s">
        <v>2548</v>
      </c>
      <c r="E25" s="576"/>
      <c r="O25" s="615"/>
    </row>
    <row r="26" spans="1:15">
      <c r="A26" s="927" t="s">
        <v>2547</v>
      </c>
      <c r="O26" s="615"/>
    </row>
    <row r="27" spans="1:15">
      <c r="A27" s="927" t="s">
        <v>2587</v>
      </c>
      <c r="O27" s="615"/>
    </row>
    <row r="28" spans="1:15">
      <c r="A28" s="927" t="s">
        <v>2501</v>
      </c>
      <c r="O28" s="615"/>
    </row>
    <row r="29" spans="1:15">
      <c r="A29" s="927" t="s">
        <v>2501</v>
      </c>
      <c r="I29">
        <f>1628-I24</f>
        <v>159</v>
      </c>
      <c r="O29" s="615"/>
    </row>
    <row r="30" spans="1:15">
      <c r="A30" s="927" t="s">
        <v>2512</v>
      </c>
      <c r="O30" s="615"/>
    </row>
    <row r="31" spans="1:15">
      <c r="A31" s="927" t="s">
        <v>2555</v>
      </c>
      <c r="O31" s="615"/>
    </row>
    <row r="32" spans="1:15">
      <c r="A32" s="927" t="s">
        <v>2503</v>
      </c>
      <c r="O32" s="615"/>
    </row>
    <row r="33" spans="1:15">
      <c r="A33" s="927" t="s">
        <v>2566</v>
      </c>
      <c r="O33" s="615"/>
    </row>
    <row r="34" spans="1:15">
      <c r="A34" s="927" t="s">
        <v>2571</v>
      </c>
      <c r="O34" s="615"/>
    </row>
    <row r="35" spans="1:15">
      <c r="A35" s="927" t="s">
        <v>2538</v>
      </c>
      <c r="O35" s="615"/>
    </row>
    <row r="36" spans="1:15">
      <c r="A36" s="927" t="s">
        <v>2594</v>
      </c>
    </row>
    <row r="37" spans="1:15">
      <c r="A37" s="927" t="s">
        <v>2496</v>
      </c>
    </row>
    <row r="38" spans="1:15">
      <c r="A38" s="927" t="s">
        <v>2604</v>
      </c>
    </row>
    <row r="39" spans="1:15">
      <c r="A39" s="927" t="s">
        <v>2544</v>
      </c>
    </row>
    <row r="40" spans="1:15">
      <c r="A40" s="927" t="s">
        <v>2602</v>
      </c>
    </row>
    <row r="41" spans="1:15">
      <c r="A41" s="927" t="s">
        <v>2592</v>
      </c>
    </row>
    <row r="42" spans="1:15">
      <c r="A42" s="927" t="s">
        <v>2527</v>
      </c>
    </row>
    <row r="43" spans="1:15">
      <c r="A43" s="927" t="s">
        <v>2513</v>
      </c>
    </row>
    <row r="44" spans="1:15">
      <c r="A44" s="927" t="s">
        <v>2513</v>
      </c>
    </row>
    <row r="45" spans="1:15">
      <c r="A45" s="929" t="s">
        <v>2606</v>
      </c>
    </row>
    <row r="46" spans="1:15">
      <c r="A46" s="929" t="s">
        <v>2570</v>
      </c>
    </row>
    <row r="47" spans="1:15">
      <c r="A47" s="927" t="s">
        <v>2499</v>
      </c>
    </row>
    <row r="48" spans="1:15">
      <c r="A48" s="927" t="s">
        <v>2499</v>
      </c>
    </row>
    <row r="49" spans="1:1">
      <c r="A49" s="927" t="s">
        <v>2524</v>
      </c>
    </row>
    <row r="50" spans="1:1">
      <c r="A50" s="927" t="s">
        <v>2603</v>
      </c>
    </row>
    <row r="51" spans="1:1">
      <c r="A51" s="927" t="s">
        <v>2504</v>
      </c>
    </row>
    <row r="52" spans="1:1">
      <c r="A52" s="927" t="s">
        <v>2504</v>
      </c>
    </row>
    <row r="53" spans="1:1">
      <c r="A53" s="927" t="s">
        <v>2585</v>
      </c>
    </row>
    <row r="54" spans="1:1">
      <c r="A54" s="927" t="s">
        <v>2536</v>
      </c>
    </row>
    <row r="55" spans="1:1">
      <c r="A55" s="927" t="s">
        <v>2577</v>
      </c>
    </row>
    <row r="56" spans="1:1">
      <c r="A56" s="927" t="s">
        <v>2561</v>
      </c>
    </row>
    <row r="57" spans="1:1">
      <c r="A57" s="927" t="s">
        <v>2514</v>
      </c>
    </row>
    <row r="58" spans="1:1">
      <c r="A58" s="927" t="s">
        <v>2514</v>
      </c>
    </row>
    <row r="59" spans="1:1">
      <c r="A59" s="927" t="s">
        <v>2511</v>
      </c>
    </row>
    <row r="60" spans="1:1">
      <c r="A60" s="927" t="s">
        <v>2511</v>
      </c>
    </row>
    <row r="61" spans="1:1">
      <c r="A61" s="927" t="s">
        <v>2576</v>
      </c>
    </row>
    <row r="62" spans="1:1">
      <c r="A62" s="927" t="s">
        <v>2515</v>
      </c>
    </row>
    <row r="63" spans="1:1">
      <c r="A63" s="927" t="s">
        <v>2601</v>
      </c>
    </row>
    <row r="64" spans="1:1">
      <c r="A64" s="927" t="s">
        <v>2541</v>
      </c>
    </row>
    <row r="65" spans="1:1">
      <c r="A65" s="927" t="s">
        <v>2497</v>
      </c>
    </row>
    <row r="66" spans="1:1">
      <c r="A66" s="927" t="s">
        <v>2497</v>
      </c>
    </row>
    <row r="67" spans="1:1">
      <c r="A67" s="927" t="s">
        <v>2542</v>
      </c>
    </row>
    <row r="68" spans="1:1">
      <c r="A68" s="927" t="s">
        <v>2506</v>
      </c>
    </row>
    <row r="69" spans="1:1">
      <c r="A69" s="927" t="s">
        <v>2506</v>
      </c>
    </row>
    <row r="70" spans="1:1">
      <c r="A70" s="927" t="s">
        <v>2507</v>
      </c>
    </row>
    <row r="71" spans="1:1">
      <c r="A71" s="927" t="s">
        <v>2507</v>
      </c>
    </row>
    <row r="72" spans="1:1">
      <c r="A72" s="927" t="s">
        <v>2579</v>
      </c>
    </row>
    <row r="73" spans="1:1">
      <c r="A73" s="927" t="s">
        <v>2502</v>
      </c>
    </row>
    <row r="74" spans="1:1">
      <c r="A74" s="927" t="s">
        <v>2560</v>
      </c>
    </row>
    <row r="75" spans="1:1">
      <c r="A75" s="927" t="s">
        <v>2539</v>
      </c>
    </row>
    <row r="76" spans="1:1">
      <c r="A76" s="927" t="s">
        <v>2580</v>
      </c>
    </row>
    <row r="77" spans="1:1">
      <c r="A77" s="927" t="s">
        <v>2586</v>
      </c>
    </row>
    <row r="78" spans="1:1">
      <c r="A78" s="927" t="s">
        <v>2510</v>
      </c>
    </row>
    <row r="79" spans="1:1">
      <c r="A79" s="927" t="s">
        <v>2523</v>
      </c>
    </row>
    <row r="80" spans="1:1">
      <c r="A80" s="927" t="s">
        <v>2522</v>
      </c>
    </row>
    <row r="81" spans="1:1">
      <c r="A81" s="927" t="s">
        <v>2528</v>
      </c>
    </row>
    <row r="82" spans="1:1">
      <c r="A82" s="927" t="s">
        <v>2556</v>
      </c>
    </row>
    <row r="83" spans="1:1">
      <c r="A83" s="927" t="s">
        <v>2578</v>
      </c>
    </row>
    <row r="84" spans="1:1">
      <c r="A84" s="927" t="s">
        <v>2505</v>
      </c>
    </row>
    <row r="85" spans="1:1">
      <c r="A85" s="927" t="s">
        <v>2505</v>
      </c>
    </row>
    <row r="86" spans="1:1">
      <c r="A86" s="927" t="s">
        <v>2546</v>
      </c>
    </row>
    <row r="87" spans="1:1">
      <c r="A87" s="927" t="s">
        <v>2559</v>
      </c>
    </row>
    <row r="88" spans="1:1">
      <c r="A88" s="927" t="s">
        <v>2573</v>
      </c>
    </row>
    <row r="89" spans="1:1">
      <c r="A89" s="927" t="s">
        <v>2498</v>
      </c>
    </row>
    <row r="90" spans="1:1">
      <c r="A90" s="927" t="s">
        <v>2574</v>
      </c>
    </row>
    <row r="91" spans="1:1">
      <c r="A91" s="927" t="s">
        <v>2553</v>
      </c>
    </row>
    <row r="92" spans="1:1">
      <c r="A92" s="927" t="s">
        <v>2518</v>
      </c>
    </row>
    <row r="93" spans="1:1">
      <c r="A93" s="927" t="s">
        <v>2540</v>
      </c>
    </row>
    <row r="94" spans="1:1">
      <c r="A94" s="927" t="s">
        <v>2545</v>
      </c>
    </row>
    <row r="95" spans="1:1">
      <c r="A95" s="927" t="s">
        <v>2569</v>
      </c>
    </row>
    <row r="96" spans="1:1">
      <c r="A96" s="927" t="s">
        <v>2569</v>
      </c>
    </row>
    <row r="97" spans="1:1">
      <c r="A97" s="927" t="s">
        <v>2516</v>
      </c>
    </row>
    <row r="98" spans="1:1">
      <c r="A98" s="927" t="s">
        <v>2516</v>
      </c>
    </row>
    <row r="99" spans="1:1">
      <c r="A99" s="927" t="s">
        <v>2521</v>
      </c>
    </row>
    <row r="100" spans="1:1">
      <c r="A100" s="927" t="s">
        <v>2521</v>
      </c>
    </row>
    <row r="101" spans="1:1">
      <c r="A101" s="927" t="s">
        <v>2519</v>
      </c>
    </row>
    <row r="102" spans="1:1">
      <c r="A102" s="927" t="s">
        <v>2500</v>
      </c>
    </row>
    <row r="103" spans="1:1">
      <c r="A103" s="927" t="s">
        <v>2500</v>
      </c>
    </row>
    <row r="104" spans="1:1">
      <c r="A104" s="927" t="s">
        <v>2552</v>
      </c>
    </row>
    <row r="105" spans="1:1">
      <c r="A105" s="927" t="s">
        <v>2525</v>
      </c>
    </row>
    <row r="106" spans="1:1">
      <c r="A106" s="927" t="s">
        <v>2526</v>
      </c>
    </row>
    <row r="107" spans="1:1">
      <c r="A107" s="927" t="s">
        <v>2526</v>
      </c>
    </row>
    <row r="108" spans="1:1">
      <c r="A108" s="927" t="s">
        <v>2598</v>
      </c>
    </row>
    <row r="109" spans="1:1">
      <c r="A109" s="927" t="s">
        <v>2532</v>
      </c>
    </row>
    <row r="110" spans="1:1">
      <c r="A110" s="927" t="s">
        <v>2532</v>
      </c>
    </row>
    <row r="111" spans="1:1">
      <c r="A111" s="927" t="s">
        <v>2549</v>
      </c>
    </row>
    <row r="112" spans="1:1">
      <c r="A112" s="927" t="s">
        <v>2508</v>
      </c>
    </row>
    <row r="113" spans="1:1">
      <c r="A113" s="927" t="s">
        <v>2533</v>
      </c>
    </row>
    <row r="114" spans="1:1">
      <c r="A114" s="927" t="s">
        <v>2509</v>
      </c>
    </row>
    <row r="115" spans="1:1">
      <c r="A115" s="927" t="s">
        <v>2529</v>
      </c>
    </row>
    <row r="116" spans="1:1">
      <c r="A116" s="927" t="s">
        <v>2550</v>
      </c>
    </row>
    <row r="117" spans="1:1">
      <c r="A117" s="927" t="s">
        <v>2564</v>
      </c>
    </row>
    <row r="118" spans="1:1">
      <c r="A118" s="927" t="s">
        <v>2537</v>
      </c>
    </row>
    <row r="119" spans="1:1">
      <c r="A119" s="927" t="s">
        <v>2563</v>
      </c>
    </row>
    <row r="120" spans="1:1">
      <c r="A120" s="927" t="s">
        <v>2600</v>
      </c>
    </row>
    <row r="121" spans="1:1">
      <c r="A121" s="927" t="s">
        <v>2588</v>
      </c>
    </row>
    <row r="122" spans="1:1">
      <c r="A122" s="927" t="s">
        <v>2593</v>
      </c>
    </row>
    <row r="123" spans="1:1">
      <c r="A123" s="927" t="s">
        <v>2589</v>
      </c>
    </row>
    <row r="124" spans="1:1">
      <c r="A124" s="927" t="s">
        <v>2596</v>
      </c>
    </row>
    <row r="125" spans="1:1">
      <c r="A125" s="927" t="s">
        <v>2582</v>
      </c>
    </row>
    <row r="126" spans="1:1">
      <c r="A126" s="927" t="s">
        <v>2595</v>
      </c>
    </row>
    <row r="127" spans="1:1">
      <c r="A127" s="927" t="s">
        <v>2599</v>
      </c>
    </row>
    <row r="128" spans="1:1">
      <c r="A128" s="927" t="s">
        <v>2583</v>
      </c>
    </row>
    <row r="129" spans="1:1">
      <c r="A129" s="927" t="s">
        <v>2591</v>
      </c>
    </row>
    <row r="130" spans="1:1">
      <c r="A130" s="927" t="s">
        <v>2581</v>
      </c>
    </row>
    <row r="131" spans="1:1">
      <c r="A131" s="927" t="s">
        <v>2607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2026-05-18T01:46:44Z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