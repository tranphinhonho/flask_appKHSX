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B22E0E41-B1A9-4FA3-B8F7-2A726929C747}" xr6:coauthVersionLast="47" xr6:coauthVersionMax="47" xr10:uidLastSave="{00000000-0000-0000-0000-000000000000}"/>
  <bookViews>
    <workbookView xWindow="-120" yWindow="-120" windowWidth="19440" windowHeight="14880" tabRatio="826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BRAN!$A$162:$T$340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5" i="785" l="1"/>
  <c r="K156" i="785"/>
  <c r="L156" i="785"/>
  <c r="M156" i="785"/>
  <c r="N156" i="785"/>
  <c r="P156" i="785"/>
  <c r="Q156" i="785"/>
  <c r="G154" i="785"/>
  <c r="H154" i="785"/>
  <c r="I154" i="785"/>
  <c r="J154" i="785"/>
  <c r="K154" i="785"/>
  <c r="L154" i="785"/>
  <c r="M154" i="785"/>
  <c r="N154" i="785"/>
  <c r="P154" i="785"/>
  <c r="F154" i="785"/>
  <c r="F155" i="785" s="1"/>
  <c r="G156" i="785"/>
  <c r="H156" i="785"/>
  <c r="I156" i="785"/>
  <c r="J156" i="785"/>
  <c r="F156" i="785"/>
  <c r="BD56" i="785"/>
  <c r="BC56" i="785"/>
  <c r="BE56" i="785" s="1"/>
  <c r="BC57" i="785"/>
  <c r="V56" i="785"/>
  <c r="O56" i="785"/>
  <c r="R56" i="785" s="1"/>
  <c r="S56" i="785" s="1"/>
  <c r="J56" i="785"/>
  <c r="F56" i="785" s="1"/>
  <c r="AF27" i="812"/>
  <c r="AC239" i="785"/>
  <c r="AQ332" i="785" l="1"/>
  <c r="AK262" i="630" l="1"/>
  <c r="BF156" i="630"/>
  <c r="BG156" i="630"/>
  <c r="Q156" i="630"/>
  <c r="T156" i="630" s="1"/>
  <c r="Y156" i="630"/>
  <c r="Y157" i="630"/>
  <c r="AA332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8" i="785"/>
  <c r="BD238" i="785"/>
  <c r="G279" i="785"/>
  <c r="E279" i="785"/>
  <c r="O238" i="785"/>
  <c r="R238" i="785" s="1"/>
  <c r="V238" i="785"/>
  <c r="BE238" i="785" l="1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8" i="785"/>
  <c r="E280" i="785" s="1"/>
  <c r="BF24" i="785" l="1"/>
  <c r="BE176" i="785"/>
  <c r="BE142" i="785"/>
  <c r="BE126" i="785"/>
  <c r="BE49" i="785"/>
  <c r="BE19" i="785"/>
  <c r="BE185" i="785"/>
  <c r="BE181" i="785"/>
  <c r="BE177" i="785"/>
  <c r="BE25" i="785"/>
  <c r="BE88" i="785"/>
  <c r="BE91" i="785"/>
  <c r="BE50" i="785"/>
  <c r="BE90" i="785"/>
  <c r="BE59" i="785"/>
  <c r="BE98" i="785"/>
  <c r="BE269" i="785"/>
  <c r="BE261" i="785"/>
  <c r="BE235" i="785"/>
  <c r="BE251" i="785"/>
  <c r="BE324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2" i="785"/>
  <c r="BE174" i="785"/>
  <c r="BE189" i="785"/>
  <c r="BE191" i="785"/>
  <c r="BE175" i="785"/>
  <c r="BE249" i="785"/>
  <c r="BE232" i="785"/>
  <c r="BE228" i="785"/>
  <c r="BE224" i="785"/>
  <c r="BE276" i="785"/>
  <c r="BE264" i="785"/>
  <c r="BE219" i="785"/>
  <c r="BE331" i="785"/>
  <c r="BE323" i="785"/>
  <c r="BE329" i="785"/>
  <c r="BE325" i="785"/>
  <c r="BE322" i="785"/>
  <c r="BE321" i="785"/>
  <c r="BE326" i="785"/>
  <c r="BE265" i="785"/>
  <c r="BE272" i="785"/>
  <c r="BE268" i="785"/>
  <c r="BE257" i="785"/>
  <c r="BE253" i="785"/>
  <c r="BE245" i="785"/>
  <c r="BE236" i="785"/>
  <c r="BE260" i="785"/>
  <c r="BE256" i="785"/>
  <c r="BE252" i="785"/>
  <c r="BE244" i="785"/>
  <c r="BE231" i="785"/>
  <c r="BE215" i="785"/>
  <c r="BE184" i="785"/>
  <c r="BE173" i="785"/>
  <c r="BE183" i="785"/>
  <c r="BE190" i="785"/>
  <c r="BE193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4" i="785"/>
  <c r="BE216" i="785"/>
  <c r="BE239" i="785"/>
  <c r="BE227" i="785"/>
  <c r="BE223" i="785"/>
  <c r="BE267" i="785"/>
  <c r="BE230" i="785"/>
  <c r="BE226" i="785"/>
  <c r="BE222" i="785"/>
  <c r="BE211" i="785"/>
  <c r="BE270" i="785"/>
  <c r="BE248" i="785"/>
  <c r="BE241" i="785"/>
  <c r="BE229" i="785"/>
  <c r="BE225" i="785"/>
  <c r="BE221" i="785"/>
  <c r="BE273" i="785"/>
  <c r="BE220" i="785"/>
  <c r="BE213" i="785"/>
  <c r="BE209" i="785"/>
  <c r="BE319" i="785"/>
  <c r="BE327" i="785"/>
  <c r="BE318" i="785"/>
  <c r="BE320" i="785"/>
  <c r="BE330" i="785"/>
  <c r="BE328" i="785"/>
  <c r="BE317" i="785"/>
  <c r="BE233" i="785"/>
  <c r="BE217" i="785"/>
  <c r="BE214" i="785"/>
  <c r="BE266" i="785"/>
  <c r="BE263" i="785"/>
  <c r="BE250" i="785"/>
  <c r="BE247" i="785"/>
  <c r="BE240" i="785"/>
  <c r="BE210" i="785"/>
  <c r="BE275" i="785"/>
  <c r="BE262" i="785"/>
  <c r="BE259" i="785"/>
  <c r="BE246" i="785"/>
  <c r="BE243" i="785"/>
  <c r="BE274" i="785"/>
  <c r="BE271" i="785"/>
  <c r="BE258" i="785"/>
  <c r="BE255" i="785"/>
  <c r="BE242" i="785"/>
  <c r="BE212" i="785"/>
  <c r="BE237" i="785"/>
  <c r="BE234" i="785"/>
  <c r="BE218" i="785"/>
  <c r="BE172" i="785"/>
  <c r="BE192" i="785"/>
  <c r="BE178" i="785"/>
  <c r="BE171" i="785"/>
  <c r="BE186" i="785"/>
  <c r="BE188" i="785"/>
  <c r="BE170" i="785"/>
  <c r="BE179" i="785"/>
  <c r="BE187" i="785"/>
  <c r="BE180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8" i="785"/>
  <c r="V239" i="785"/>
  <c r="V240" i="785"/>
  <c r="V241" i="785"/>
  <c r="V242" i="785"/>
  <c r="V243" i="785"/>
  <c r="V244" i="785"/>
  <c r="V245" i="785"/>
  <c r="V246" i="785"/>
  <c r="V247" i="785"/>
  <c r="V248" i="785"/>
  <c r="O239" i="785"/>
  <c r="R239" i="785" s="1"/>
  <c r="S239" i="785" s="1"/>
  <c r="O240" i="785"/>
  <c r="R240" i="785" s="1"/>
  <c r="S240" i="785" s="1"/>
  <c r="O241" i="785"/>
  <c r="R241" i="785" s="1"/>
  <c r="O242" i="785"/>
  <c r="R242" i="785" s="1"/>
  <c r="O243" i="785"/>
  <c r="R243" i="785" s="1"/>
  <c r="S243" i="785" s="1"/>
  <c r="O244" i="785"/>
  <c r="R244" i="785" s="1"/>
  <c r="O245" i="785"/>
  <c r="R245" i="785" s="1"/>
  <c r="S245" i="785" s="1"/>
  <c r="O246" i="785"/>
  <c r="O247" i="785"/>
  <c r="R247" i="785" s="1"/>
  <c r="S247" i="785" s="1"/>
  <c r="G281" i="785"/>
  <c r="AC194" i="785"/>
  <c r="R246" i="785" l="1"/>
  <c r="O256" i="785"/>
  <c r="O255" i="785" l="1"/>
  <c r="O254" i="785"/>
  <c r="R254" i="785" s="1"/>
  <c r="S254" i="785" s="1"/>
  <c r="V254" i="785"/>
  <c r="O253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4" i="785"/>
  <c r="V93" i="785" l="1"/>
  <c r="O93" i="785"/>
  <c r="O94" i="785"/>
  <c r="R94" i="785" s="1"/>
  <c r="R93" i="785" l="1"/>
  <c r="V107" i="785"/>
  <c r="O107" i="785"/>
  <c r="S93" i="785" l="1"/>
  <c r="R107" i="785"/>
  <c r="P279" i="785"/>
  <c r="AV194" i="785"/>
  <c r="BG175" i="630"/>
  <c r="BF175" i="630"/>
  <c r="BC316" i="785"/>
  <c r="BC292" i="785"/>
  <c r="BC293" i="785"/>
  <c r="BC294" i="785"/>
  <c r="BC295" i="785"/>
  <c r="BC296" i="785"/>
  <c r="BC297" i="785"/>
  <c r="BC298" i="785"/>
  <c r="BC299" i="785"/>
  <c r="BC300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5" i="785"/>
  <c r="E196" i="785"/>
  <c r="AA151" i="785"/>
  <c r="N97" i="785"/>
  <c r="O97" i="785"/>
  <c r="O98" i="785"/>
  <c r="R98" i="785" s="1"/>
  <c r="V97" i="785"/>
  <c r="Y175" i="630"/>
  <c r="R97" i="785" l="1"/>
  <c r="S131" i="630"/>
  <c r="E198" i="785"/>
  <c r="S97" i="785"/>
  <c r="E155" i="785"/>
  <c r="E158" i="785" s="1"/>
  <c r="E197" i="785"/>
  <c r="M1" i="811"/>
  <c r="L1" i="811"/>
  <c r="L2" i="811"/>
  <c r="L3" i="811"/>
  <c r="O227" i="785"/>
  <c r="R227" i="785" s="1"/>
  <c r="V227" i="785"/>
  <c r="V323" i="785"/>
  <c r="V324" i="785"/>
  <c r="O323" i="785"/>
  <c r="R323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1" i="785"/>
  <c r="AJ151" i="785"/>
  <c r="O269" i="785"/>
  <c r="R269" i="785" s="1"/>
  <c r="V269" i="785"/>
  <c r="O270" i="785"/>
  <c r="R270" i="785" s="1"/>
  <c r="V270" i="785"/>
  <c r="BF261" i="630" l="1"/>
  <c r="AZ27" i="812"/>
  <c r="AX332" i="785" l="1"/>
  <c r="AX301" i="785"/>
  <c r="AX277" i="785"/>
  <c r="AX194" i="785"/>
  <c r="AX334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4" i="785"/>
  <c r="V249" i="785"/>
  <c r="O249" i="785"/>
  <c r="R249" i="785" s="1"/>
  <c r="S249" i="785" s="1"/>
  <c r="H20" i="800" l="1"/>
  <c r="H21" i="800"/>
  <c r="H19" i="800"/>
  <c r="BC47" i="812"/>
  <c r="BC48" i="812"/>
  <c r="V48" i="812"/>
  <c r="O48" i="812"/>
  <c r="R48" i="812" s="1"/>
  <c r="O50" i="812"/>
  <c r="R50" i="812" s="1"/>
  <c r="O322" i="785"/>
  <c r="R322" i="785" s="1"/>
  <c r="V322" i="785"/>
  <c r="V71" i="785" l="1"/>
  <c r="O71" i="785"/>
  <c r="V214" i="785"/>
  <c r="O214" i="785"/>
  <c r="R214" i="785" s="1"/>
  <c r="S214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6" i="785"/>
  <c r="R216" i="785" s="1"/>
  <c r="V216" i="785"/>
  <c r="AU194" i="785" l="1"/>
  <c r="BD15" i="785"/>
  <c r="BD14" i="785"/>
  <c r="AN194" i="785"/>
  <c r="AM194" i="785"/>
  <c r="AI27" i="812"/>
  <c r="AJ27" i="812"/>
  <c r="V236" i="785"/>
  <c r="G195" i="785"/>
  <c r="V174" i="785"/>
  <c r="O174" i="785"/>
  <c r="R174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19" i="785"/>
  <c r="O319" i="785"/>
  <c r="R319" i="785" s="1"/>
  <c r="O95" i="785"/>
  <c r="R95" i="785" s="1"/>
  <c r="O90" i="785"/>
  <c r="R90" i="785" s="1"/>
  <c r="O78" i="785"/>
  <c r="R78" i="785" s="1"/>
  <c r="O36" i="785"/>
  <c r="R36" i="785" s="1"/>
  <c r="R152" i="785" s="1"/>
  <c r="V237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6" i="785"/>
  <c r="V50" i="785"/>
  <c r="O50" i="785"/>
  <c r="R50" i="785" s="1"/>
  <c r="S50" i="785" s="1"/>
  <c r="N50" i="785"/>
  <c r="E265" i="630"/>
  <c r="AY194" i="785"/>
  <c r="O321" i="785"/>
  <c r="R321" i="785" s="1"/>
  <c r="AR194" i="785"/>
  <c r="V213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7" i="785"/>
  <c r="E269" i="630"/>
  <c r="V215" i="785"/>
  <c r="BD168" i="785"/>
  <c r="BD167" i="785"/>
  <c r="V221" i="785"/>
  <c r="V220" i="785"/>
  <c r="BA194" i="785"/>
  <c r="BD292" i="785"/>
  <c r="BD293" i="785"/>
  <c r="BD294" i="785"/>
  <c r="BD295" i="785"/>
  <c r="BD296" i="785"/>
  <c r="BD297" i="785"/>
  <c r="BD298" i="785"/>
  <c r="BD299" i="785"/>
  <c r="BD300" i="785"/>
  <c r="BD316" i="785"/>
  <c r="BD315" i="785"/>
  <c r="BD291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5" i="785"/>
  <c r="R295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2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4" i="785"/>
  <c r="V230" i="785"/>
  <c r="O180" i="785"/>
  <c r="R180" i="785" s="1"/>
  <c r="S180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1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7" i="785"/>
  <c r="AR301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5" i="785"/>
  <c r="V228" i="785"/>
  <c r="V115" i="785"/>
  <c r="N20" i="800"/>
  <c r="O20" i="800" s="1"/>
  <c r="V219" i="785"/>
  <c r="U278" i="785"/>
  <c r="U282" i="785" s="1"/>
  <c r="J20" i="800"/>
  <c r="X301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5" i="785"/>
  <c r="V175" i="785"/>
  <c r="V176" i="785"/>
  <c r="O177" i="785"/>
  <c r="R177" i="785" s="1"/>
  <c r="V177" i="785"/>
  <c r="O178" i="785"/>
  <c r="R178" i="785" s="1"/>
  <c r="V178" i="785"/>
  <c r="O179" i="785"/>
  <c r="V179" i="785"/>
  <c r="V180" i="785"/>
  <c r="O181" i="785"/>
  <c r="R181" i="785" s="1"/>
  <c r="V181" i="785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V192" i="785"/>
  <c r="O193" i="785"/>
  <c r="R193" i="785" s="1"/>
  <c r="V193" i="785"/>
  <c r="V194" i="785"/>
  <c r="X194" i="785"/>
  <c r="Y194" i="785"/>
  <c r="Z194" i="785"/>
  <c r="AA194" i="785"/>
  <c r="AD194" i="785"/>
  <c r="AE194" i="785"/>
  <c r="AF194" i="785"/>
  <c r="AG194" i="785"/>
  <c r="AH194" i="785"/>
  <c r="AK194" i="785"/>
  <c r="AL194" i="785"/>
  <c r="AO194" i="785"/>
  <c r="AP194" i="785"/>
  <c r="AQ194" i="785"/>
  <c r="AS194" i="785"/>
  <c r="AT194" i="785"/>
  <c r="AW194" i="785"/>
  <c r="AZ194" i="785"/>
  <c r="BB194" i="785"/>
  <c r="U195" i="785"/>
  <c r="V195" i="785"/>
  <c r="G196" i="785"/>
  <c r="P196" i="785"/>
  <c r="U196" i="785"/>
  <c r="V196" i="785"/>
  <c r="U197" i="785"/>
  <c r="V197" i="785"/>
  <c r="V198" i="785"/>
  <c r="V199" i="785"/>
  <c r="V200" i="785"/>
  <c r="V201" i="785"/>
  <c r="V202" i="785"/>
  <c r="V203" i="785"/>
  <c r="V205" i="785"/>
  <c r="V206" i="785"/>
  <c r="V207" i="785"/>
  <c r="V208" i="785"/>
  <c r="V209" i="785"/>
  <c r="N210" i="785"/>
  <c r="V210" i="785"/>
  <c r="N211" i="785"/>
  <c r="V211" i="785"/>
  <c r="V212" i="785"/>
  <c r="V217" i="785"/>
  <c r="V218" i="785"/>
  <c r="V222" i="785"/>
  <c r="V223" i="785"/>
  <c r="V224" i="785"/>
  <c r="V229" i="785"/>
  <c r="V233" i="785"/>
  <c r="V234" i="785"/>
  <c r="V235" i="785"/>
  <c r="V250" i="785"/>
  <c r="V251" i="785"/>
  <c r="V252" i="785"/>
  <c r="V253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71" i="785"/>
  <c r="V272" i="785"/>
  <c r="V273" i="785"/>
  <c r="V274" i="785"/>
  <c r="V275" i="785"/>
  <c r="V276" i="785"/>
  <c r="V277" i="785"/>
  <c r="X277" i="785"/>
  <c r="Y277" i="785"/>
  <c r="Z277" i="785"/>
  <c r="AA277" i="785"/>
  <c r="AB277" i="785"/>
  <c r="AD277" i="785"/>
  <c r="AE277" i="785"/>
  <c r="AF277" i="785"/>
  <c r="AG277" i="785"/>
  <c r="AH277" i="785"/>
  <c r="AI277" i="785"/>
  <c r="AJ277" i="785"/>
  <c r="AK277" i="785"/>
  <c r="AL277" i="785"/>
  <c r="AM277" i="785"/>
  <c r="AN277" i="785"/>
  <c r="AO277" i="785"/>
  <c r="AP277" i="785"/>
  <c r="AQ277" i="785"/>
  <c r="AR277" i="785"/>
  <c r="AS277" i="785"/>
  <c r="AV277" i="785"/>
  <c r="AW277" i="785"/>
  <c r="AY277" i="785"/>
  <c r="AZ277" i="785"/>
  <c r="BA277" i="785"/>
  <c r="BB277" i="785"/>
  <c r="V278" i="785"/>
  <c r="U279" i="785"/>
  <c r="V279" i="785"/>
  <c r="U280" i="785"/>
  <c r="V280" i="785"/>
  <c r="V282" i="785"/>
  <c r="V283" i="785"/>
  <c r="V284" i="785"/>
  <c r="V285" i="785"/>
  <c r="V286" i="785"/>
  <c r="V287" i="785"/>
  <c r="V289" i="785"/>
  <c r="V290" i="785"/>
  <c r="O291" i="785"/>
  <c r="R291" i="785" s="1"/>
  <c r="S291" i="785" s="1"/>
  <c r="V291" i="785"/>
  <c r="BC291" i="785"/>
  <c r="O292" i="785"/>
  <c r="R292" i="785" s="1"/>
  <c r="S292" i="785" s="1"/>
  <c r="V292" i="785"/>
  <c r="O293" i="785"/>
  <c r="R293" i="785" s="1"/>
  <c r="S293" i="785" s="1"/>
  <c r="V293" i="785"/>
  <c r="O294" i="785"/>
  <c r="R294" i="785" s="1"/>
  <c r="S294" i="785" s="1"/>
  <c r="V294" i="785"/>
  <c r="V295" i="785"/>
  <c r="O296" i="785"/>
  <c r="V296" i="785"/>
  <c r="O297" i="785"/>
  <c r="R297" i="785" s="1"/>
  <c r="V297" i="785"/>
  <c r="O298" i="785"/>
  <c r="R298" i="785" s="1"/>
  <c r="S298" i="785" s="1"/>
  <c r="V298" i="785"/>
  <c r="O299" i="785"/>
  <c r="R299" i="785" s="1"/>
  <c r="V299" i="785"/>
  <c r="O300" i="785"/>
  <c r="R300" i="785" s="1"/>
  <c r="V300" i="785"/>
  <c r="V301" i="785"/>
  <c r="Y301" i="785"/>
  <c r="Z301" i="785"/>
  <c r="AA301" i="785"/>
  <c r="AB301" i="785"/>
  <c r="AC301" i="785"/>
  <c r="AD301" i="785"/>
  <c r="AE301" i="785"/>
  <c r="AF301" i="785"/>
  <c r="AG301" i="785"/>
  <c r="AH301" i="785"/>
  <c r="AI301" i="785"/>
  <c r="AK301" i="785"/>
  <c r="AL301" i="785"/>
  <c r="AM301" i="785"/>
  <c r="AN301" i="785"/>
  <c r="AO301" i="785"/>
  <c r="AP301" i="785"/>
  <c r="AQ301" i="785"/>
  <c r="AS301" i="785"/>
  <c r="AT301" i="785"/>
  <c r="AU301" i="785"/>
  <c r="AV301" i="785"/>
  <c r="AW301" i="785"/>
  <c r="AY301" i="785"/>
  <c r="AZ301" i="785"/>
  <c r="BA301" i="785"/>
  <c r="BB301" i="785"/>
  <c r="E302" i="785"/>
  <c r="E306" i="785" s="1"/>
  <c r="G302" i="785"/>
  <c r="G304" i="785" s="1"/>
  <c r="U302" i="785"/>
  <c r="U306" i="785" s="1"/>
  <c r="V302" i="785"/>
  <c r="V303" i="785"/>
  <c r="U304" i="785"/>
  <c r="V304" i="785"/>
  <c r="G305" i="785"/>
  <c r="M305" i="785"/>
  <c r="N305" i="785"/>
  <c r="V306" i="785"/>
  <c r="V307" i="785"/>
  <c r="V308" i="785"/>
  <c r="V309" i="785"/>
  <c r="V310" i="785"/>
  <c r="V311" i="785"/>
  <c r="V313" i="785"/>
  <c r="V314" i="785"/>
  <c r="N315" i="785"/>
  <c r="O315" i="785"/>
  <c r="R315" i="785" s="1"/>
  <c r="S315" i="785" s="1"/>
  <c r="V315" i="785"/>
  <c r="BC315" i="785"/>
  <c r="O316" i="785"/>
  <c r="R316" i="785" s="1"/>
  <c r="S316" i="785" s="1"/>
  <c r="V316" i="785"/>
  <c r="V317" i="785"/>
  <c r="O318" i="785"/>
  <c r="R318" i="785" s="1"/>
  <c r="V318" i="785"/>
  <c r="O320" i="785"/>
  <c r="Q320" i="785" s="1"/>
  <c r="V320" i="785"/>
  <c r="V321" i="785"/>
  <c r="O324" i="785"/>
  <c r="R324" i="785" s="1"/>
  <c r="O325" i="785"/>
  <c r="R325" i="785" s="1"/>
  <c r="V325" i="785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X332" i="785"/>
  <c r="Y332" i="785"/>
  <c r="Z332" i="785"/>
  <c r="AB332" i="785"/>
  <c r="AC332" i="785"/>
  <c r="AD332" i="785"/>
  <c r="AE332" i="785"/>
  <c r="AF332" i="785"/>
  <c r="AG332" i="785"/>
  <c r="AH332" i="785"/>
  <c r="AI332" i="785"/>
  <c r="AJ332" i="785"/>
  <c r="AK332" i="785"/>
  <c r="AL332" i="785"/>
  <c r="AM332" i="785"/>
  <c r="AN332" i="785"/>
  <c r="AO332" i="785"/>
  <c r="AP332" i="785"/>
  <c r="AR332" i="785"/>
  <c r="AS332" i="785"/>
  <c r="AT332" i="785"/>
  <c r="AU332" i="785"/>
  <c r="AV332" i="785"/>
  <c r="AW332" i="785"/>
  <c r="AY332" i="785"/>
  <c r="AZ332" i="785"/>
  <c r="BA332" i="785"/>
  <c r="BB332" i="785"/>
  <c r="E333" i="785"/>
  <c r="E336" i="785" s="1"/>
  <c r="G333" i="785"/>
  <c r="G337" i="785" s="1"/>
  <c r="U333" i="785"/>
  <c r="U337" i="785" s="1"/>
  <c r="G335" i="785"/>
  <c r="U336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9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8" i="785"/>
  <c r="R188" i="785" s="1"/>
  <c r="S188" i="785" s="1"/>
  <c r="O182" i="785"/>
  <c r="R182" i="785" s="1"/>
  <c r="O176" i="785"/>
  <c r="R176" i="785" s="1"/>
  <c r="S176" i="785" s="1"/>
  <c r="AB194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6" i="785"/>
  <c r="R326" i="785" s="1"/>
  <c r="O317" i="785"/>
  <c r="Q324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19" i="785"/>
  <c r="R219" i="785" s="1"/>
  <c r="S219" i="785" s="1"/>
  <c r="O261" i="785"/>
  <c r="R261" i="785" s="1"/>
  <c r="O257" i="785"/>
  <c r="O225" i="785"/>
  <c r="R225" i="785" s="1"/>
  <c r="S225" i="785" s="1"/>
  <c r="O260" i="785"/>
  <c r="R260" i="785" s="1"/>
  <c r="S260" i="785" s="1"/>
  <c r="O252" i="785"/>
  <c r="R252" i="785" s="1"/>
  <c r="O274" i="785"/>
  <c r="R274" i="785" s="1"/>
  <c r="O231" i="785"/>
  <c r="R231" i="785" s="1"/>
  <c r="O273" i="785"/>
  <c r="R273" i="785" s="1"/>
  <c r="S273" i="785" s="1"/>
  <c r="O223" i="785"/>
  <c r="R223" i="785" s="1"/>
  <c r="S223" i="785" s="1"/>
  <c r="O228" i="785"/>
  <c r="O224" i="785"/>
  <c r="O248" i="785"/>
  <c r="R248" i="785" s="1"/>
  <c r="S248" i="785" s="1"/>
  <c r="O266" i="785"/>
  <c r="R266" i="785" s="1"/>
  <c r="BD207" i="785"/>
  <c r="BC207" i="785"/>
  <c r="O207" i="785"/>
  <c r="AU277" i="785"/>
  <c r="O222" i="785"/>
  <c r="R222" i="785" s="1"/>
  <c r="O263" i="785"/>
  <c r="R263" i="785" s="1"/>
  <c r="O268" i="785"/>
  <c r="R268" i="785" s="1"/>
  <c r="O233" i="785"/>
  <c r="R233" i="785" s="1"/>
  <c r="S233" i="785" s="1"/>
  <c r="O265" i="785"/>
  <c r="R265" i="785" s="1"/>
  <c r="O264" i="785"/>
  <c r="R264" i="785" s="1"/>
  <c r="S264" i="785" s="1"/>
  <c r="O221" i="785"/>
  <c r="R221" i="785" s="1"/>
  <c r="O271" i="785"/>
  <c r="R271" i="785" s="1"/>
  <c r="O250" i="785"/>
  <c r="R250" i="785" s="1"/>
  <c r="O226" i="785"/>
  <c r="R226" i="785" s="1"/>
  <c r="O251" i="785"/>
  <c r="R251" i="785" s="1"/>
  <c r="O213" i="785"/>
  <c r="R213" i="785" s="1"/>
  <c r="S213" i="785" s="1"/>
  <c r="R256" i="785"/>
  <c r="O210" i="785"/>
  <c r="R210" i="785" s="1"/>
  <c r="S210" i="785" s="1"/>
  <c r="O235" i="785"/>
  <c r="R235" i="785" s="1"/>
  <c r="O258" i="785"/>
  <c r="R258" i="785" s="1"/>
  <c r="S258" i="785" s="1"/>
  <c r="O275" i="785"/>
  <c r="R275" i="785" s="1"/>
  <c r="S275" i="785" s="1"/>
  <c r="O215" i="785"/>
  <c r="O229" i="785"/>
  <c r="R229" i="785" s="1"/>
  <c r="R253" i="785"/>
  <c r="S253" i="785" s="1"/>
  <c r="O272" i="785"/>
  <c r="R272" i="785" s="1"/>
  <c r="R255" i="785"/>
  <c r="O220" i="785"/>
  <c r="R220" i="785" s="1"/>
  <c r="S220" i="785" s="1"/>
  <c r="O209" i="785"/>
  <c r="R209" i="785" s="1"/>
  <c r="S209" i="785" s="1"/>
  <c r="O232" i="785"/>
  <c r="R232" i="785" s="1"/>
  <c r="S232" i="785" s="1"/>
  <c r="O212" i="785"/>
  <c r="R212" i="785" s="1"/>
  <c r="O267" i="785"/>
  <c r="R267" i="785" s="1"/>
  <c r="O237" i="785"/>
  <c r="R237" i="785" s="1"/>
  <c r="O230" i="785"/>
  <c r="BD208" i="785"/>
  <c r="O208" i="785"/>
  <c r="BC208" i="785"/>
  <c r="BF33" i="785" s="1"/>
  <c r="O234" i="785"/>
  <c r="O211" i="785"/>
  <c r="R211" i="785" s="1"/>
  <c r="S211" i="785" s="1"/>
  <c r="O262" i="785"/>
  <c r="R262" i="785" s="1"/>
  <c r="S262" i="785" s="1"/>
  <c r="O218" i="785"/>
  <c r="O236" i="785"/>
  <c r="R236" i="785" s="1"/>
  <c r="O259" i="785"/>
  <c r="R259" i="785" s="1"/>
  <c r="O276" i="785"/>
  <c r="O217" i="785"/>
  <c r="R217" i="785" s="1"/>
  <c r="S217" i="785" s="1"/>
  <c r="R63" i="785" l="1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7" i="785"/>
  <c r="Q234" i="785"/>
  <c r="S95" i="785"/>
  <c r="Q233" i="785"/>
  <c r="Q217" i="785"/>
  <c r="P23" i="800"/>
  <c r="P24" i="800"/>
  <c r="N24" i="800"/>
  <c r="N23" i="800"/>
  <c r="BF25" i="785"/>
  <c r="BI35" i="785" s="1"/>
  <c r="F238" i="785"/>
  <c r="O279" i="785"/>
  <c r="F244" i="785"/>
  <c r="F242" i="785"/>
  <c r="F245" i="785"/>
  <c r="F246" i="785"/>
  <c r="R224" i="785"/>
  <c r="R234" i="785"/>
  <c r="R257" i="785"/>
  <c r="R207" i="785"/>
  <c r="S207" i="785" s="1"/>
  <c r="R218" i="785"/>
  <c r="F107" i="785"/>
  <c r="F241" i="785"/>
  <c r="R276" i="785"/>
  <c r="R279" i="785" s="1"/>
  <c r="S279" i="785" s="1"/>
  <c r="F259" i="785"/>
  <c r="F120" i="785"/>
  <c r="F175" i="630"/>
  <c r="X108" i="630"/>
  <c r="BF27" i="785"/>
  <c r="F227" i="785"/>
  <c r="BF18" i="785"/>
  <c r="S135" i="785"/>
  <c r="S119" i="785"/>
  <c r="F49" i="812"/>
  <c r="F323" i="785"/>
  <c r="AX263" i="630"/>
  <c r="F269" i="785"/>
  <c r="F270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79" i="785"/>
  <c r="Q171" i="785"/>
  <c r="R16" i="785"/>
  <c r="S16" i="785" s="1"/>
  <c r="R228" i="785"/>
  <c r="S228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8" i="785"/>
  <c r="S113" i="785"/>
  <c r="F13" i="812"/>
  <c r="F66" i="785"/>
  <c r="BF22" i="785"/>
  <c r="F249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2" i="785"/>
  <c r="BH90" i="630"/>
  <c r="BH152" i="630"/>
  <c r="BH215" i="630"/>
  <c r="BH256" i="630"/>
  <c r="BH183" i="630"/>
  <c r="G198" i="785"/>
  <c r="G63" i="812"/>
  <c r="G34" i="812"/>
  <c r="AR334" i="785"/>
  <c r="BE16" i="785"/>
  <c r="BF20" i="785"/>
  <c r="G336" i="785"/>
  <c r="BE293" i="785"/>
  <c r="G197" i="785"/>
  <c r="G306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4" i="785"/>
  <c r="AV334" i="785"/>
  <c r="AO334" i="785"/>
  <c r="AG334" i="785"/>
  <c r="AC334" i="785"/>
  <c r="BE297" i="785"/>
  <c r="G155" i="785"/>
  <c r="G157" i="785" s="1"/>
  <c r="AO263" i="630"/>
  <c r="BC301" i="785"/>
  <c r="G280" i="785"/>
  <c r="BH95" i="630"/>
  <c r="BH79" i="630"/>
  <c r="BH75" i="630"/>
  <c r="BH171" i="630"/>
  <c r="BH119" i="630"/>
  <c r="BH170" i="630"/>
  <c r="BH149" i="630"/>
  <c r="BE316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4" i="785"/>
  <c r="AK334" i="785"/>
  <c r="AQ334" i="785"/>
  <c r="AA334" i="785"/>
  <c r="AE263" i="630"/>
  <c r="AD334" i="785"/>
  <c r="AA263" i="630"/>
  <c r="AS334" i="785"/>
  <c r="AT263" i="630"/>
  <c r="BE294" i="785"/>
  <c r="AG263" i="630"/>
  <c r="BE299" i="785"/>
  <c r="BB263" i="630"/>
  <c r="X334" i="785"/>
  <c r="BE315" i="785"/>
  <c r="AY263" i="630"/>
  <c r="Y334" i="785"/>
  <c r="R320" i="785"/>
  <c r="AC263" i="630"/>
  <c r="AN263" i="630"/>
  <c r="AF334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6" i="785"/>
  <c r="R175" i="785"/>
  <c r="S175" i="785" s="1"/>
  <c r="BE263" i="630"/>
  <c r="BE14" i="785"/>
  <c r="BE15" i="785"/>
  <c r="BE13" i="785"/>
  <c r="E107" i="630"/>
  <c r="E267" i="630" s="1"/>
  <c r="E282" i="785"/>
  <c r="O59" i="812"/>
  <c r="O30" i="812"/>
  <c r="O32" i="812"/>
  <c r="BF26" i="785"/>
  <c r="M315" i="630" s="1"/>
  <c r="BA334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6" i="785"/>
  <c r="E270" i="630"/>
  <c r="E271" i="630"/>
  <c r="E62" i="812"/>
  <c r="E266" i="630"/>
  <c r="R32" i="812"/>
  <c r="S108" i="785"/>
  <c r="R59" i="812"/>
  <c r="R33" i="812"/>
  <c r="R62" i="812"/>
  <c r="R230" i="785"/>
  <c r="BE207" i="785"/>
  <c r="O305" i="785"/>
  <c r="R317" i="785"/>
  <c r="S317" i="785" s="1"/>
  <c r="AF263" i="630"/>
  <c r="AP334" i="785"/>
  <c r="AL334" i="785"/>
  <c r="Z334" i="785"/>
  <c r="U198" i="785"/>
  <c r="AW334" i="785"/>
  <c r="AS263" i="630"/>
  <c r="AJ334" i="785"/>
  <c r="S106" i="785"/>
  <c r="S103" i="785"/>
  <c r="BF21" i="785"/>
  <c r="G282" i="785"/>
  <c r="Q325" i="785"/>
  <c r="BF23" i="785"/>
  <c r="AR263" i="630"/>
  <c r="BE295" i="785"/>
  <c r="BB334" i="785"/>
  <c r="AT334" i="785"/>
  <c r="BE291" i="785"/>
  <c r="O333" i="785"/>
  <c r="P304" i="630" s="1"/>
  <c r="BE208" i="785"/>
  <c r="O152" i="785"/>
  <c r="O155" i="785" s="1"/>
  <c r="S34" i="785"/>
  <c r="O195" i="785"/>
  <c r="AH334" i="785"/>
  <c r="Q326" i="785"/>
  <c r="AQ263" i="630"/>
  <c r="AM263" i="630"/>
  <c r="S142" i="785"/>
  <c r="BE168" i="785"/>
  <c r="R30" i="812"/>
  <c r="O33" i="812"/>
  <c r="O62" i="812"/>
  <c r="O336" i="785"/>
  <c r="BC332" i="785"/>
  <c r="Q297" i="785"/>
  <c r="Q298" i="785"/>
  <c r="BE292" i="785"/>
  <c r="O306" i="785"/>
  <c r="BE300" i="785"/>
  <c r="O302" i="785"/>
  <c r="P302" i="630" s="1"/>
  <c r="BE296" i="785"/>
  <c r="O281" i="785"/>
  <c r="BC263" i="630"/>
  <c r="Q169" i="785"/>
  <c r="BE167" i="785"/>
  <c r="AZ334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7" i="785"/>
  <c r="F144" i="785"/>
  <c r="F275" i="785"/>
  <c r="F144" i="630"/>
  <c r="F125" i="630"/>
  <c r="F43" i="630"/>
  <c r="F54" i="785"/>
  <c r="F81" i="785"/>
  <c r="F173" i="785"/>
  <c r="F12" i="812"/>
  <c r="F159" i="630"/>
  <c r="F320" i="785"/>
  <c r="F193" i="785"/>
  <c r="F319" i="785"/>
  <c r="F51" i="812"/>
  <c r="F166" i="630"/>
  <c r="F20" i="630"/>
  <c r="F261" i="785"/>
  <c r="F132" i="630"/>
  <c r="F69" i="785"/>
  <c r="F142" i="630"/>
  <c r="F174" i="785"/>
  <c r="F222" i="785"/>
  <c r="F297" i="785"/>
  <c r="F37" i="785"/>
  <c r="F191" i="630"/>
  <c r="F60" i="785"/>
  <c r="F26" i="785"/>
  <c r="F136" i="630"/>
  <c r="F141" i="630"/>
  <c r="F100" i="785"/>
  <c r="F82" i="785"/>
  <c r="F176" i="785"/>
  <c r="F150" i="785"/>
  <c r="F188" i="785"/>
  <c r="F16" i="630"/>
  <c r="F104" i="785"/>
  <c r="F53" i="630"/>
  <c r="F138" i="785"/>
  <c r="F58" i="785"/>
  <c r="F171" i="785"/>
  <c r="F134" i="630"/>
  <c r="F179" i="630"/>
  <c r="F23" i="630"/>
  <c r="F250" i="785"/>
  <c r="F127" i="630"/>
  <c r="F179" i="785"/>
  <c r="F47" i="812"/>
  <c r="F128" i="630"/>
  <c r="F317" i="785"/>
  <c r="F19" i="630"/>
  <c r="F28" i="630"/>
  <c r="F300" i="785"/>
  <c r="F265" i="785"/>
  <c r="F11" i="630"/>
  <c r="F101" i="785"/>
  <c r="F27" i="630"/>
  <c r="F12" i="630"/>
  <c r="F62" i="785"/>
  <c r="F318" i="785"/>
  <c r="F17" i="785"/>
  <c r="F331" i="785"/>
  <c r="F51" i="630"/>
  <c r="F36" i="630"/>
  <c r="F155" i="630"/>
  <c r="F23" i="785"/>
  <c r="F49" i="630"/>
  <c r="F18" i="630"/>
  <c r="F73" i="785"/>
  <c r="F168" i="630"/>
  <c r="F178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29" i="785"/>
  <c r="F133" i="630"/>
  <c r="F178" i="630"/>
  <c r="F60" i="630"/>
  <c r="F57" i="785"/>
  <c r="F131" i="630"/>
  <c r="F274" i="785"/>
  <c r="F32" i="785"/>
  <c r="F255" i="785"/>
  <c r="F174" i="630"/>
  <c r="F138" i="630"/>
  <c r="F79" i="785"/>
  <c r="F148" i="630"/>
  <c r="F13" i="785"/>
  <c r="F44" i="630"/>
  <c r="F315" i="785"/>
  <c r="F190" i="630"/>
  <c r="F45" i="785"/>
  <c r="F276" i="785"/>
  <c r="F87" i="785"/>
  <c r="F207" i="785"/>
  <c r="F30" i="630"/>
  <c r="F184" i="785"/>
  <c r="F193" i="630"/>
  <c r="F23" i="812"/>
  <c r="F132" i="785"/>
  <c r="F15" i="630"/>
  <c r="F183" i="785"/>
  <c r="F75" i="785"/>
  <c r="F33" i="630"/>
  <c r="F43" i="785"/>
  <c r="F54" i="630"/>
  <c r="F294" i="785"/>
  <c r="F47" i="785"/>
  <c r="F114" i="785"/>
  <c r="F36" i="785"/>
  <c r="F152" i="785" s="1"/>
  <c r="F233" i="785"/>
  <c r="F80" i="785"/>
  <c r="F164" i="630"/>
  <c r="F24" i="785"/>
  <c r="F157" i="630"/>
  <c r="F57" i="812"/>
  <c r="F140" i="630"/>
  <c r="F72" i="785"/>
  <c r="F37" i="630"/>
  <c r="F127" i="785"/>
  <c r="F191" i="785"/>
  <c r="F187" i="785"/>
  <c r="F195" i="630"/>
  <c r="F44" i="785"/>
  <c r="F18" i="785"/>
  <c r="F321" i="785"/>
  <c r="F88" i="785"/>
  <c r="F55" i="630"/>
  <c r="F230" i="785"/>
  <c r="F236" i="785"/>
  <c r="F145" i="630"/>
  <c r="F180" i="785"/>
  <c r="F25" i="785"/>
  <c r="F45" i="812"/>
  <c r="F137" i="630"/>
  <c r="F44" i="812"/>
  <c r="F167" i="630"/>
  <c r="F324" i="785"/>
  <c r="F119" i="630"/>
  <c r="F177" i="785"/>
  <c r="F170" i="630"/>
  <c r="F256" i="785"/>
  <c r="F94" i="785"/>
  <c r="F295" i="785"/>
  <c r="F194" i="630"/>
  <c r="F10" i="630"/>
  <c r="F154" i="630"/>
  <c r="F263" i="785"/>
  <c r="F64" i="785"/>
  <c r="F16" i="785"/>
  <c r="F215" i="785"/>
  <c r="F253" i="785"/>
  <c r="F15" i="812"/>
  <c r="F35" i="630"/>
  <c r="F14" i="785"/>
  <c r="F327" i="785"/>
  <c r="F130" i="785"/>
  <c r="F43" i="812"/>
  <c r="F139" i="630"/>
  <c r="F20" i="785"/>
  <c r="F170" i="785"/>
  <c r="F175" i="785"/>
  <c r="F218" i="785"/>
  <c r="F16" i="812"/>
  <c r="F39" i="630"/>
  <c r="F42" i="785"/>
  <c r="F153" i="630"/>
  <c r="F40" i="785"/>
  <c r="F134" i="785"/>
  <c r="F160" i="630"/>
  <c r="F96" i="785"/>
  <c r="F42" i="630"/>
  <c r="F98" i="785"/>
  <c r="F186" i="785"/>
  <c r="F76" i="785"/>
  <c r="F91" i="785"/>
  <c r="F40" i="630"/>
  <c r="F149" i="785"/>
  <c r="F22" i="630"/>
  <c r="F329" i="785"/>
  <c r="F149" i="630"/>
  <c r="F176" i="630"/>
  <c r="F135" i="630"/>
  <c r="F188" i="630"/>
  <c r="F51" i="785"/>
  <c r="F224" i="785"/>
  <c r="F34" i="630"/>
  <c r="F129" i="630"/>
  <c r="F26" i="812"/>
  <c r="F189" i="785"/>
  <c r="F18" i="812"/>
  <c r="F161" i="630"/>
  <c r="F38" i="630"/>
  <c r="F59" i="630"/>
  <c r="F41" i="812"/>
  <c r="F21" i="630"/>
  <c r="F15" i="785"/>
  <c r="F251" i="785"/>
  <c r="F299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8" i="785"/>
  <c r="F173" i="630"/>
  <c r="F150" i="630"/>
  <c r="F192" i="630"/>
  <c r="F182" i="785"/>
  <c r="F29" i="785"/>
  <c r="F124" i="630"/>
  <c r="F84" i="785"/>
  <c r="F117" i="785"/>
  <c r="F325" i="785"/>
  <c r="F163" i="630"/>
  <c r="F189" i="630"/>
  <c r="F39" i="785"/>
  <c r="F26" i="630"/>
  <c r="F226" i="785"/>
  <c r="F61" i="785"/>
  <c r="F235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2" i="785"/>
  <c r="F145" i="785"/>
  <c r="F19" i="812"/>
  <c r="F105" i="785"/>
  <c r="F184" i="630"/>
  <c r="F165" i="630"/>
  <c r="F89" i="785"/>
  <c r="F266" i="785"/>
  <c r="F169" i="785"/>
  <c r="F231" i="785"/>
  <c r="F92" i="785"/>
  <c r="F22" i="812"/>
  <c r="F326" i="785"/>
  <c r="F187" i="630"/>
  <c r="F52" i="812"/>
  <c r="F47" i="630"/>
  <c r="F328" i="785"/>
  <c r="F118" i="785"/>
  <c r="F121" i="630"/>
  <c r="F130" i="630"/>
  <c r="F55" i="785"/>
  <c r="F122" i="785"/>
  <c r="F56" i="812"/>
  <c r="F53" i="812"/>
  <c r="F181" i="785"/>
  <c r="F112" i="785"/>
  <c r="F171" i="630"/>
  <c r="F183" i="630"/>
  <c r="F48" i="785"/>
  <c r="F185" i="785"/>
  <c r="F141" i="785"/>
  <c r="F190" i="785"/>
  <c r="F78" i="785"/>
  <c r="F27" i="785"/>
  <c r="F221" i="785"/>
  <c r="F38" i="785"/>
  <c r="F49" i="785"/>
  <c r="F158" i="630"/>
  <c r="F181" i="630"/>
  <c r="F22" i="785"/>
  <c r="F48" i="630"/>
  <c r="F192" i="785"/>
  <c r="F45" i="630"/>
  <c r="F147" i="785"/>
  <c r="F29" i="630"/>
  <c r="F152" i="630"/>
  <c r="F186" i="630"/>
  <c r="F126" i="630"/>
  <c r="F123" i="630"/>
  <c r="F133" i="785"/>
  <c r="F296" i="785"/>
  <c r="F120" i="630"/>
  <c r="F330" i="785"/>
  <c r="F25" i="812"/>
  <c r="F298" i="785"/>
  <c r="F58" i="630"/>
  <c r="F122" i="630"/>
  <c r="F234" i="785"/>
  <c r="E34" i="812"/>
  <c r="E337" i="785"/>
  <c r="BF17" i="785"/>
  <c r="S15" i="785"/>
  <c r="R215" i="785"/>
  <c r="BF34" i="785"/>
  <c r="R100" i="785"/>
  <c r="R19" i="785"/>
  <c r="O157" i="785"/>
  <c r="O153" i="785"/>
  <c r="S27" i="785"/>
  <c r="O282" i="785"/>
  <c r="O278" i="785"/>
  <c r="R208" i="785"/>
  <c r="BC277" i="785"/>
  <c r="AU334" i="785"/>
  <c r="BF16" i="785"/>
  <c r="O197" i="785"/>
  <c r="R167" i="785"/>
  <c r="Q168" i="785"/>
  <c r="Q13" i="785"/>
  <c r="T261" i="630"/>
  <c r="BC58" i="812"/>
  <c r="AY334" i="785"/>
  <c r="Q299" i="785"/>
  <c r="R296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4" i="785"/>
  <c r="AB334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4" i="785"/>
  <c r="AE334" i="785"/>
  <c r="BC194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R156" i="785" l="1"/>
  <c r="S63" i="785"/>
  <c r="R154" i="785"/>
  <c r="H36" i="785"/>
  <c r="H35" i="785"/>
  <c r="H37" i="785"/>
  <c r="H38" i="785"/>
  <c r="H118" i="630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6" i="785"/>
  <c r="Q278" i="785" s="1"/>
  <c r="Q280" i="785" s="1"/>
  <c r="O23" i="800"/>
  <c r="O24" i="800"/>
  <c r="N315" i="630"/>
  <c r="F279" i="785"/>
  <c r="I238" i="785"/>
  <c r="M238" i="785" s="1"/>
  <c r="N238" i="785" s="1"/>
  <c r="J238" i="785"/>
  <c r="S276" i="785"/>
  <c r="BC333" i="785"/>
  <c r="BF264" i="630" s="1"/>
  <c r="BC334" i="785"/>
  <c r="BJ37" i="785"/>
  <c r="BI25" i="785"/>
  <c r="J245" i="785"/>
  <c r="I242" i="785"/>
  <c r="M242" i="785" s="1"/>
  <c r="N242" i="785" s="1"/>
  <c r="S242" i="785" s="1"/>
  <c r="J242" i="785"/>
  <c r="I243" i="785"/>
  <c r="J243" i="785"/>
  <c r="I244" i="785"/>
  <c r="M244" i="785" s="1"/>
  <c r="N244" i="785" s="1"/>
  <c r="S244" i="785" s="1"/>
  <c r="J244" i="785"/>
  <c r="I245" i="785"/>
  <c r="I254" i="785"/>
  <c r="J254" i="785"/>
  <c r="F254" i="785" s="1"/>
  <c r="I239" i="785"/>
  <c r="J239" i="785"/>
  <c r="F253" i="630"/>
  <c r="J95" i="785"/>
  <c r="F95" i="785" s="1"/>
  <c r="J93" i="785"/>
  <c r="I93" i="785"/>
  <c r="J94" i="785"/>
  <c r="I107" i="785"/>
  <c r="J107" i="785"/>
  <c r="I240" i="785"/>
  <c r="J240" i="785"/>
  <c r="L107" i="785"/>
  <c r="L241" i="785"/>
  <c r="H241" i="785"/>
  <c r="I241" i="785"/>
  <c r="J241" i="785"/>
  <c r="E274" i="630"/>
  <c r="BI263" i="630"/>
  <c r="S144" i="630"/>
  <c r="S263" i="630" s="1"/>
  <c r="H97" i="785"/>
  <c r="J97" i="785"/>
  <c r="I97" i="785"/>
  <c r="K97" i="785"/>
  <c r="L97" i="785"/>
  <c r="M175" i="630"/>
  <c r="N175" i="630"/>
  <c r="I175" i="630"/>
  <c r="L175" i="630"/>
  <c r="H34" i="785"/>
  <c r="L227" i="785"/>
  <c r="K227" i="785"/>
  <c r="H227" i="785"/>
  <c r="I227" i="785"/>
  <c r="J227" i="785"/>
  <c r="L323" i="785"/>
  <c r="K323" i="785"/>
  <c r="J323" i="785"/>
  <c r="I323" i="785"/>
  <c r="K49" i="812"/>
  <c r="I49" i="812"/>
  <c r="J49" i="812"/>
  <c r="L49" i="812"/>
  <c r="F262" i="630"/>
  <c r="F261" i="630"/>
  <c r="F263" i="630"/>
  <c r="H41" i="785"/>
  <c r="K322" i="785"/>
  <c r="L269" i="785"/>
  <c r="L322" i="785"/>
  <c r="L327" i="785"/>
  <c r="L325" i="785"/>
  <c r="L326" i="785"/>
  <c r="L324" i="785"/>
  <c r="L328" i="785"/>
  <c r="I268" i="785"/>
  <c r="J269" i="785"/>
  <c r="J268" i="785"/>
  <c r="F268" i="785" s="1"/>
  <c r="M268" i="785" s="1"/>
  <c r="S268" i="785" s="1"/>
  <c r="I269" i="785"/>
  <c r="K326" i="785"/>
  <c r="K324" i="785"/>
  <c r="K325" i="785"/>
  <c r="K321" i="785"/>
  <c r="K320" i="785"/>
  <c r="K327" i="785"/>
  <c r="K328" i="785"/>
  <c r="K269" i="785"/>
  <c r="K270" i="785"/>
  <c r="H270" i="785"/>
  <c r="H269" i="785"/>
  <c r="L270" i="785"/>
  <c r="I270" i="785"/>
  <c r="J270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6" i="785"/>
  <c r="L246" i="785"/>
  <c r="L249" i="785"/>
  <c r="L247" i="785"/>
  <c r="L248" i="785"/>
  <c r="H21" i="785"/>
  <c r="H23" i="785"/>
  <c r="H22" i="785"/>
  <c r="H17" i="785"/>
  <c r="H18" i="785"/>
  <c r="H19" i="785"/>
  <c r="H20" i="785"/>
  <c r="K249" i="785"/>
  <c r="H249" i="785"/>
  <c r="J249" i="785"/>
  <c r="I249" i="785"/>
  <c r="J316" i="785"/>
  <c r="I250" i="785"/>
  <c r="I251" i="785"/>
  <c r="I252" i="785"/>
  <c r="I253" i="785"/>
  <c r="I255" i="785"/>
  <c r="J322" i="785"/>
  <c r="I322" i="785"/>
  <c r="K50" i="812"/>
  <c r="K48" i="812"/>
  <c r="L50" i="812"/>
  <c r="J50" i="812"/>
  <c r="I48" i="812"/>
  <c r="I50" i="812"/>
  <c r="J48" i="812"/>
  <c r="N306" i="630"/>
  <c r="L48" i="812"/>
  <c r="J71" i="785"/>
  <c r="L214" i="785"/>
  <c r="BK19" i="630"/>
  <c r="Q321" i="785"/>
  <c r="Q333" i="785" s="1"/>
  <c r="J214" i="785"/>
  <c r="Q302" i="785"/>
  <c r="O304" i="785"/>
  <c r="G272" i="630"/>
  <c r="G158" i="785"/>
  <c r="G274" i="630" s="1"/>
  <c r="R336" i="785"/>
  <c r="R196" i="785"/>
  <c r="S196" i="785" s="1"/>
  <c r="T264" i="630"/>
  <c r="R333" i="785"/>
  <c r="BK20" i="630"/>
  <c r="Q265" i="630"/>
  <c r="T265" i="630" s="1"/>
  <c r="P298" i="630"/>
  <c r="P315" i="630"/>
  <c r="T262" i="630"/>
  <c r="O315" i="630"/>
  <c r="Q315" i="630"/>
  <c r="I216" i="785"/>
  <c r="J216" i="785"/>
  <c r="O280" i="785"/>
  <c r="S156" i="785"/>
  <c r="BI22" i="785"/>
  <c r="BI34" i="785" s="1"/>
  <c r="H183" i="785"/>
  <c r="BI20" i="785"/>
  <c r="BI33" i="785" s="1"/>
  <c r="U315" i="630"/>
  <c r="BI147" i="630"/>
  <c r="F302" i="785"/>
  <c r="D302" i="630" s="1"/>
  <c r="F195" i="785"/>
  <c r="F59" i="812"/>
  <c r="F63" i="812" s="1"/>
  <c r="F103" i="630"/>
  <c r="F153" i="785"/>
  <c r="B296" i="630" s="1"/>
  <c r="F105" i="630"/>
  <c r="F306" i="630" s="1"/>
  <c r="F104" i="630"/>
  <c r="F196" i="785"/>
  <c r="N193" i="630"/>
  <c r="L230" i="785"/>
  <c r="N10" i="630"/>
  <c r="N143" i="630"/>
  <c r="L316" i="785"/>
  <c r="N20" i="630"/>
  <c r="N179" i="630"/>
  <c r="L86" i="785"/>
  <c r="N127" i="630"/>
  <c r="N140" i="630"/>
  <c r="N32" i="630"/>
  <c r="L183" i="785"/>
  <c r="N214" i="630"/>
  <c r="N189" i="630"/>
  <c r="L23" i="812"/>
  <c r="L85" i="785"/>
  <c r="L15" i="812"/>
  <c r="L189" i="785"/>
  <c r="N226" i="630"/>
  <c r="L88" i="785"/>
  <c r="N27" i="630"/>
  <c r="L58" i="785"/>
  <c r="L80" i="785"/>
  <c r="N24" i="630"/>
  <c r="L295" i="785"/>
  <c r="N174" i="630"/>
  <c r="L265" i="785"/>
  <c r="L87" i="785"/>
  <c r="N34" i="630"/>
  <c r="L179" i="785"/>
  <c r="N128" i="630"/>
  <c r="N142" i="630"/>
  <c r="L175" i="785"/>
  <c r="L172" i="785"/>
  <c r="N217" i="630"/>
  <c r="N225" i="630"/>
  <c r="L119" i="785"/>
  <c r="N197" i="630"/>
  <c r="L26" i="812"/>
  <c r="N59" i="630"/>
  <c r="N153" i="630"/>
  <c r="N94" i="630"/>
  <c r="L318" i="785"/>
  <c r="L185" i="785"/>
  <c r="L209" i="785"/>
  <c r="N17" i="630"/>
  <c r="L54" i="785"/>
  <c r="N173" i="630"/>
  <c r="L72" i="785"/>
  <c r="N56" i="630"/>
  <c r="L182" i="785"/>
  <c r="N195" i="630"/>
  <c r="N47" i="630"/>
  <c r="L260" i="785"/>
  <c r="L211" i="785"/>
  <c r="L13" i="785"/>
  <c r="N209" i="630"/>
  <c r="N196" i="630"/>
  <c r="N131" i="630"/>
  <c r="N102" i="630"/>
  <c r="L147" i="785"/>
  <c r="L128" i="785"/>
  <c r="L43" i="812"/>
  <c r="L221" i="785"/>
  <c r="L167" i="785"/>
  <c r="L255" i="785"/>
  <c r="L12" i="812"/>
  <c r="L65" i="785"/>
  <c r="N227" i="630"/>
  <c r="L117" i="785"/>
  <c r="N219" i="630"/>
  <c r="L26" i="785"/>
  <c r="N101" i="630"/>
  <c r="L67" i="785"/>
  <c r="N212" i="630"/>
  <c r="L317" i="785"/>
  <c r="N192" i="630"/>
  <c r="L138" i="785"/>
  <c r="N126" i="630"/>
  <c r="N21" i="630"/>
  <c r="L59" i="785"/>
  <c r="N141" i="630"/>
  <c r="L13" i="812"/>
  <c r="N165" i="630"/>
  <c r="L297" i="785"/>
  <c r="N164" i="630"/>
  <c r="L224" i="785"/>
  <c r="L126" i="785"/>
  <c r="L229" i="785"/>
  <c r="N36" i="630"/>
  <c r="N44" i="630"/>
  <c r="N235" i="630"/>
  <c r="N58" i="630"/>
  <c r="N191" i="630"/>
  <c r="N151" i="630"/>
  <c r="L142" i="785"/>
  <c r="L79" i="785"/>
  <c r="L275" i="785"/>
  <c r="N188" i="630"/>
  <c r="L330" i="785"/>
  <c r="L44" i="785"/>
  <c r="N194" i="630"/>
  <c r="N169" i="630"/>
  <c r="L219" i="785"/>
  <c r="N55" i="630"/>
  <c r="N122" i="630"/>
  <c r="L319" i="785"/>
  <c r="L14" i="812"/>
  <c r="N49" i="630"/>
  <c r="N231" i="630"/>
  <c r="L105" i="785"/>
  <c r="L61" i="785"/>
  <c r="N12" i="630"/>
  <c r="L207" i="785"/>
  <c r="L188" i="785"/>
  <c r="L27" i="785"/>
  <c r="L43" i="785"/>
  <c r="L218" i="785"/>
  <c r="L14" i="785"/>
  <c r="L53" i="812"/>
  <c r="N168" i="630"/>
  <c r="L118" i="785"/>
  <c r="L141" i="785"/>
  <c r="L113" i="785"/>
  <c r="N213" i="630"/>
  <c r="L253" i="785"/>
  <c r="N97" i="630"/>
  <c r="N253" i="630"/>
  <c r="L57" i="812"/>
  <c r="L110" i="785"/>
  <c r="L106" i="785"/>
  <c r="L35" i="785"/>
  <c r="N183" i="630"/>
  <c r="L133" i="785"/>
  <c r="L291" i="785"/>
  <c r="N199" i="630"/>
  <c r="L18" i="812"/>
  <c r="L215" i="785"/>
  <c r="N148" i="630"/>
  <c r="N149" i="630"/>
  <c r="L268" i="785"/>
  <c r="L46" i="812"/>
  <c r="L171" i="785"/>
  <c r="N230" i="630"/>
  <c r="N134" i="630"/>
  <c r="L145" i="785"/>
  <c r="L261" i="785"/>
  <c r="L81" i="785"/>
  <c r="L66" i="785"/>
  <c r="L120" i="785"/>
  <c r="L184" i="785"/>
  <c r="L94" i="785"/>
  <c r="N137" i="630"/>
  <c r="N177" i="630"/>
  <c r="L90" i="785"/>
  <c r="N51" i="630"/>
  <c r="L144" i="785"/>
  <c r="L190" i="785"/>
  <c r="L180" i="785"/>
  <c r="L258" i="785"/>
  <c r="L294" i="785"/>
  <c r="N255" i="630"/>
  <c r="N147" i="630"/>
  <c r="L112" i="785"/>
  <c r="L212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7" i="785"/>
  <c r="N16" i="630"/>
  <c r="L262" i="785"/>
  <c r="N92" i="630"/>
  <c r="N176" i="630"/>
  <c r="L16" i="785"/>
  <c r="L38" i="785"/>
  <c r="L181" i="785"/>
  <c r="L68" i="785"/>
  <c r="L89" i="785"/>
  <c r="L299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2" i="785"/>
  <c r="L20" i="785"/>
  <c r="N98" i="630"/>
  <c r="N14" i="630"/>
  <c r="N223" i="630"/>
  <c r="L69" i="785"/>
  <c r="L64" i="785"/>
  <c r="L296" i="785"/>
  <c r="L42" i="785"/>
  <c r="L267" i="785"/>
  <c r="L174" i="785"/>
  <c r="N234" i="630"/>
  <c r="L25" i="785"/>
  <c r="L149" i="785"/>
  <c r="N93" i="630"/>
  <c r="N31" i="630"/>
  <c r="N160" i="630"/>
  <c r="L251" i="785"/>
  <c r="N201" i="630"/>
  <c r="L134" i="785"/>
  <c r="N244" i="630"/>
  <c r="N40" i="630"/>
  <c r="L217" i="785"/>
  <c r="L37" i="785"/>
  <c r="N155" i="630"/>
  <c r="N184" i="630"/>
  <c r="N203" i="630"/>
  <c r="N35" i="630"/>
  <c r="N119" i="630"/>
  <c r="L235" i="785"/>
  <c r="N43" i="630"/>
  <c r="L84" i="785"/>
  <c r="L273" i="785"/>
  <c r="L47" i="812"/>
  <c r="L47" i="785"/>
  <c r="N171" i="630"/>
  <c r="N30" i="630"/>
  <c r="N157" i="630"/>
  <c r="L19" i="785"/>
  <c r="L122" i="785"/>
  <c r="N186" i="630"/>
  <c r="L271" i="785"/>
  <c r="L55" i="812"/>
  <c r="L17" i="785"/>
  <c r="L150" i="785"/>
  <c r="N19" i="630"/>
  <c r="L245" i="785"/>
  <c r="L24" i="785"/>
  <c r="N208" i="630"/>
  <c r="N18" i="630"/>
  <c r="N138" i="630"/>
  <c r="N29" i="630"/>
  <c r="N240" i="630"/>
  <c r="N146" i="630"/>
  <c r="L292" i="785"/>
  <c r="N25" i="630"/>
  <c r="L191" i="785"/>
  <c r="L178" i="785"/>
  <c r="N224" i="630"/>
  <c r="N180" i="630"/>
  <c r="N15" i="630"/>
  <c r="L176" i="785"/>
  <c r="L44" i="812"/>
  <c r="L210" i="785"/>
  <c r="N238" i="630"/>
  <c r="L24" i="812"/>
  <c r="L264" i="785"/>
  <c r="L250" i="785"/>
  <c r="L234" i="785"/>
  <c r="L177" i="785"/>
  <c r="L257" i="785"/>
  <c r="N178" i="630"/>
  <c r="L22" i="785"/>
  <c r="N11" i="630"/>
  <c r="L45" i="785"/>
  <c r="L52" i="785"/>
  <c r="L263" i="785"/>
  <c r="L104" i="785"/>
  <c r="L103" i="785"/>
  <c r="L48" i="785"/>
  <c r="N222" i="630"/>
  <c r="N152" i="630"/>
  <c r="L73" i="785"/>
  <c r="L52" i="812"/>
  <c r="N129" i="630"/>
  <c r="N200" i="630"/>
  <c r="N120" i="630"/>
  <c r="L231" i="785"/>
  <c r="L21" i="812"/>
  <c r="L276" i="785"/>
  <c r="N250" i="630"/>
  <c r="L266" i="785"/>
  <c r="N145" i="630"/>
  <c r="L21" i="785"/>
  <c r="N45" i="630"/>
  <c r="L78" i="785"/>
  <c r="L274" i="785"/>
  <c r="N210" i="630"/>
  <c r="N159" i="630"/>
  <c r="N130" i="630"/>
  <c r="L18" i="785"/>
  <c r="N28" i="630"/>
  <c r="L83" i="785"/>
  <c r="L16" i="812"/>
  <c r="L237" i="785"/>
  <c r="L213" i="785"/>
  <c r="L41" i="812"/>
  <c r="L132" i="785"/>
  <c r="L329" i="785"/>
  <c r="L32" i="785"/>
  <c r="L146" i="785"/>
  <c r="L41" i="785"/>
  <c r="N172" i="630"/>
  <c r="N60" i="630"/>
  <c r="N170" i="630"/>
  <c r="L74" i="785"/>
  <c r="L193" i="785"/>
  <c r="L124" i="785"/>
  <c r="L236" i="785"/>
  <c r="L123" i="785"/>
  <c r="L51" i="785"/>
  <c r="N198" i="630"/>
  <c r="L76" i="785"/>
  <c r="L82" i="785"/>
  <c r="L101" i="785"/>
  <c r="N118" i="630"/>
  <c r="L321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6" i="785"/>
  <c r="L169" i="785"/>
  <c r="N257" i="630"/>
  <c r="L272" i="785"/>
  <c r="L109" i="785"/>
  <c r="N53" i="630"/>
  <c r="N41" i="630"/>
  <c r="N95" i="630"/>
  <c r="L17" i="812"/>
  <c r="N187" i="630"/>
  <c r="L192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5" i="785"/>
  <c r="N91" i="630"/>
  <c r="L57" i="785"/>
  <c r="L256" i="785"/>
  <c r="L298" i="785"/>
  <c r="N90" i="630"/>
  <c r="N150" i="630"/>
  <c r="L130" i="785"/>
  <c r="L148" i="785"/>
  <c r="N190" i="630"/>
  <c r="L92" i="785"/>
  <c r="L300" i="785"/>
  <c r="L45" i="812"/>
  <c r="L331" i="785"/>
  <c r="L252" i="785"/>
  <c r="N50" i="630"/>
  <c r="N22" i="630"/>
  <c r="N185" i="630"/>
  <c r="N161" i="630"/>
  <c r="L320" i="785"/>
  <c r="N166" i="630"/>
  <c r="N54" i="630"/>
  <c r="L233" i="785"/>
  <c r="L91" i="785"/>
  <c r="N132" i="630"/>
  <c r="N144" i="630"/>
  <c r="L100" i="785"/>
  <c r="L75" i="785"/>
  <c r="N215" i="630"/>
  <c r="L170" i="785"/>
  <c r="N135" i="630"/>
  <c r="L259" i="785"/>
  <c r="N99" i="630"/>
  <c r="N251" i="630"/>
  <c r="L77" i="785"/>
  <c r="L33" i="785"/>
  <c r="L62" i="785"/>
  <c r="N124" i="630"/>
  <c r="L102" i="785"/>
  <c r="L98" i="785"/>
  <c r="L40" i="785"/>
  <c r="L186" i="785"/>
  <c r="Q25" i="785"/>
  <c r="BF263" i="630"/>
  <c r="Q172" i="785"/>
  <c r="Q195" i="785" s="1"/>
  <c r="AA315" i="630"/>
  <c r="T263" i="630"/>
  <c r="M165" i="630"/>
  <c r="K89" i="785"/>
  <c r="M11" i="630"/>
  <c r="M149" i="630"/>
  <c r="K187" i="785"/>
  <c r="K173" i="785"/>
  <c r="K27" i="785"/>
  <c r="K70" i="785"/>
  <c r="K36" i="785"/>
  <c r="K152" i="785" s="1"/>
  <c r="K224" i="785"/>
  <c r="K231" i="785"/>
  <c r="K264" i="785"/>
  <c r="K318" i="785"/>
  <c r="M10" i="630"/>
  <c r="M123" i="630"/>
  <c r="K266" i="785"/>
  <c r="M34" i="630"/>
  <c r="K295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7" i="785"/>
  <c r="M144" i="630"/>
  <c r="K53" i="812"/>
  <c r="M91" i="630"/>
  <c r="K170" i="785"/>
  <c r="M248" i="630"/>
  <c r="K233" i="785"/>
  <c r="M31" i="630"/>
  <c r="K299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3" i="785"/>
  <c r="M128" i="630"/>
  <c r="M100" i="630"/>
  <c r="M57" i="630"/>
  <c r="M166" i="630"/>
  <c r="K134" i="785"/>
  <c r="K146" i="785"/>
  <c r="M157" i="630"/>
  <c r="K331" i="785"/>
  <c r="K43" i="812"/>
  <c r="M138" i="630"/>
  <c r="M193" i="630"/>
  <c r="M235" i="630"/>
  <c r="M134" i="630"/>
  <c r="K120" i="785"/>
  <c r="K133" i="785"/>
  <c r="K252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5" i="785"/>
  <c r="M14" i="630"/>
  <c r="K49" i="785"/>
  <c r="K219" i="785"/>
  <c r="K317" i="785"/>
  <c r="M95" i="630"/>
  <c r="K50" i="785"/>
  <c r="M256" i="630"/>
  <c r="K210" i="785"/>
  <c r="M217" i="630"/>
  <c r="K130" i="785"/>
  <c r="M142" i="630"/>
  <c r="M46" i="630"/>
  <c r="K221" i="785"/>
  <c r="M159" i="630"/>
  <c r="M25" i="630"/>
  <c r="M216" i="630"/>
  <c r="K212" i="785"/>
  <c r="M121" i="630"/>
  <c r="K329" i="785"/>
  <c r="M236" i="630"/>
  <c r="K30" i="785"/>
  <c r="K69" i="785"/>
  <c r="M52" i="630"/>
  <c r="K132" i="785"/>
  <c r="K102" i="785"/>
  <c r="K226" i="785"/>
  <c r="M227" i="630"/>
  <c r="M51" i="630"/>
  <c r="K145" i="785"/>
  <c r="K169" i="785"/>
  <c r="M250" i="630"/>
  <c r="M242" i="630"/>
  <c r="K22" i="785"/>
  <c r="K20" i="785"/>
  <c r="K110" i="785"/>
  <c r="K230" i="785"/>
  <c r="M118" i="630"/>
  <c r="K135" i="785"/>
  <c r="K106" i="785"/>
  <c r="K246" i="785"/>
  <c r="K40" i="785"/>
  <c r="K260" i="785"/>
  <c r="M194" i="630"/>
  <c r="K150" i="785"/>
  <c r="M40" i="630"/>
  <c r="M189" i="630"/>
  <c r="K182" i="785"/>
  <c r="K75" i="785"/>
  <c r="K129" i="785"/>
  <c r="M249" i="630"/>
  <c r="K181" i="785"/>
  <c r="K193" i="785"/>
  <c r="K94" i="785"/>
  <c r="K256" i="785"/>
  <c r="K65" i="785"/>
  <c r="K251" i="785"/>
  <c r="M201" i="630"/>
  <c r="K137" i="785"/>
  <c r="M37" i="630"/>
  <c r="M186" i="630"/>
  <c r="K54" i="812"/>
  <c r="M219" i="630"/>
  <c r="M209" i="630"/>
  <c r="K248" i="785"/>
  <c r="M48" i="630"/>
  <c r="K175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1" i="785"/>
  <c r="K57" i="812"/>
  <c r="K262" i="785"/>
  <c r="M60" i="630"/>
  <c r="M200" i="630"/>
  <c r="K77" i="785"/>
  <c r="M173" i="630"/>
  <c r="K298" i="785"/>
  <c r="M150" i="630"/>
  <c r="K14" i="812"/>
  <c r="M158" i="630"/>
  <c r="M119" i="630"/>
  <c r="M36" i="630"/>
  <c r="M177" i="630"/>
  <c r="M202" i="630"/>
  <c r="K258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2" i="785"/>
  <c r="K316" i="785"/>
  <c r="K124" i="785"/>
  <c r="M143" i="630"/>
  <c r="K52" i="812"/>
  <c r="M223" i="630"/>
  <c r="M169" i="630"/>
  <c r="M218" i="630"/>
  <c r="M33" i="630"/>
  <c r="M161" i="630"/>
  <c r="K319" i="785"/>
  <c r="M94" i="630"/>
  <c r="K61" i="785"/>
  <c r="M22" i="630"/>
  <c r="K23" i="785"/>
  <c r="M183" i="630"/>
  <c r="M140" i="630"/>
  <c r="M238" i="630"/>
  <c r="M197" i="630"/>
  <c r="K45" i="812"/>
  <c r="K259" i="785"/>
  <c r="K113" i="785"/>
  <c r="M252" i="630"/>
  <c r="K330" i="785"/>
  <c r="K25" i="812"/>
  <c r="M17" i="630"/>
  <c r="M97" i="630"/>
  <c r="K73" i="785"/>
  <c r="K42" i="785"/>
  <c r="K125" i="785"/>
  <c r="K82" i="785"/>
  <c r="K174" i="785"/>
  <c r="M18" i="630"/>
  <c r="M148" i="630"/>
  <c r="K186" i="785"/>
  <c r="K60" i="785"/>
  <c r="K190" i="785"/>
  <c r="K15" i="812"/>
  <c r="K37" i="785"/>
  <c r="M137" i="630"/>
  <c r="K24" i="812"/>
  <c r="K32" i="812" s="1"/>
  <c r="M16" i="630"/>
  <c r="K58" i="785"/>
  <c r="M54" i="630"/>
  <c r="M127" i="630"/>
  <c r="K257" i="785"/>
  <c r="M253" i="630"/>
  <c r="K291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2" i="785"/>
  <c r="M15" i="630"/>
  <c r="K105" i="785"/>
  <c r="M234" i="630"/>
  <c r="K218" i="785"/>
  <c r="K92" i="785"/>
  <c r="K185" i="785"/>
  <c r="M224" i="630"/>
  <c r="K128" i="785"/>
  <c r="K103" i="785"/>
  <c r="K18" i="785"/>
  <c r="M153" i="630"/>
  <c r="K16" i="812"/>
  <c r="K55" i="812"/>
  <c r="K86" i="785"/>
  <c r="K67" i="785"/>
  <c r="M184" i="630"/>
  <c r="K23" i="812"/>
  <c r="M90" i="630"/>
  <c r="M42" i="630"/>
  <c r="K19" i="785"/>
  <c r="M41" i="630"/>
  <c r="M162" i="630"/>
  <c r="M155" i="630"/>
  <c r="M12" i="630"/>
  <c r="K215" i="785"/>
  <c r="K255" i="785"/>
  <c r="K51" i="785"/>
  <c r="M49" i="630"/>
  <c r="M178" i="630"/>
  <c r="K250" i="785"/>
  <c r="K29" i="785"/>
  <c r="K142" i="785"/>
  <c r="K268" i="785"/>
  <c r="M181" i="630"/>
  <c r="M257" i="630"/>
  <c r="M241" i="630"/>
  <c r="K147" i="785"/>
  <c r="K26" i="812"/>
  <c r="K54" i="785"/>
  <c r="K225" i="785"/>
  <c r="M19" i="630"/>
  <c r="K217" i="785"/>
  <c r="M59" i="630"/>
  <c r="K189" i="785"/>
  <c r="M132" i="630"/>
  <c r="M32" i="630"/>
  <c r="K35" i="785"/>
  <c r="K51" i="812"/>
  <c r="K66" i="785"/>
  <c r="M101" i="630"/>
  <c r="K16" i="785"/>
  <c r="M152" i="630"/>
  <c r="K64" i="785"/>
  <c r="K265" i="785"/>
  <c r="K17" i="812"/>
  <c r="M129" i="630"/>
  <c r="K47" i="785"/>
  <c r="K180" i="785"/>
  <c r="M53" i="630"/>
  <c r="M122" i="630"/>
  <c r="K101" i="785"/>
  <c r="K104" i="785"/>
  <c r="M167" i="630"/>
  <c r="M47" i="630"/>
  <c r="K253" i="785"/>
  <c r="K24" i="785"/>
  <c r="K191" i="785"/>
  <c r="K184" i="785"/>
  <c r="K228" i="785"/>
  <c r="K275" i="785"/>
  <c r="K72" i="785"/>
  <c r="K272" i="785"/>
  <c r="M237" i="630"/>
  <c r="K297" i="785"/>
  <c r="M228" i="630"/>
  <c r="M222" i="630"/>
  <c r="K176" i="785"/>
  <c r="M136" i="630"/>
  <c r="K213" i="785"/>
  <c r="M44" i="630"/>
  <c r="M130" i="630"/>
  <c r="K34" i="785"/>
  <c r="M171" i="630"/>
  <c r="M21" i="630"/>
  <c r="M163" i="630"/>
  <c r="K235" i="785"/>
  <c r="K96" i="785"/>
  <c r="K149" i="785"/>
  <c r="K148" i="785"/>
  <c r="M146" i="630"/>
  <c r="K222" i="785"/>
  <c r="K81" i="785"/>
  <c r="K47" i="812"/>
  <c r="M207" i="630"/>
  <c r="M195" i="630"/>
  <c r="K296" i="785"/>
  <c r="K17" i="785"/>
  <c r="K108" i="785"/>
  <c r="M141" i="630"/>
  <c r="M226" i="630"/>
  <c r="K46" i="812"/>
  <c r="K87" i="785"/>
  <c r="K19" i="812"/>
  <c r="K179" i="785"/>
  <c r="K294" i="785"/>
  <c r="K245" i="785"/>
  <c r="M196" i="630"/>
  <c r="K74" i="785"/>
  <c r="M120" i="630"/>
  <c r="K188" i="785"/>
  <c r="K271" i="785"/>
  <c r="K171" i="785"/>
  <c r="K234" i="785"/>
  <c r="K300" i="785"/>
  <c r="K276" i="785"/>
  <c r="K279" i="785" s="1"/>
  <c r="K177" i="785"/>
  <c r="M58" i="630"/>
  <c r="K100" i="785"/>
  <c r="M225" i="630"/>
  <c r="K26" i="785"/>
  <c r="M190" i="630"/>
  <c r="M198" i="630"/>
  <c r="K95" i="785"/>
  <c r="M26" i="630"/>
  <c r="K274" i="785"/>
  <c r="K117" i="785"/>
  <c r="K183" i="785"/>
  <c r="K141" i="785"/>
  <c r="M133" i="630"/>
  <c r="M56" i="630"/>
  <c r="M30" i="630"/>
  <c r="M125" i="630"/>
  <c r="K123" i="785"/>
  <c r="M230" i="630"/>
  <c r="M210" i="630"/>
  <c r="K138" i="785"/>
  <c r="K229" i="785"/>
  <c r="K207" i="785"/>
  <c r="K261" i="785"/>
  <c r="K39" i="785"/>
  <c r="K90" i="785"/>
  <c r="H65" i="785"/>
  <c r="H141" i="630"/>
  <c r="H80" i="785"/>
  <c r="H58" i="630"/>
  <c r="H48" i="630"/>
  <c r="H16" i="785"/>
  <c r="H298" i="785"/>
  <c r="H218" i="785"/>
  <c r="H92" i="785"/>
  <c r="H138" i="630"/>
  <c r="H42" i="785"/>
  <c r="H176" i="785"/>
  <c r="H87" i="785"/>
  <c r="H200" i="630"/>
  <c r="H24" i="630"/>
  <c r="H100" i="785"/>
  <c r="H273" i="785"/>
  <c r="H112" i="785"/>
  <c r="H180" i="630"/>
  <c r="H272" i="785"/>
  <c r="H92" i="630"/>
  <c r="H108" i="785"/>
  <c r="H60" i="630"/>
  <c r="H55" i="630"/>
  <c r="H131" i="630"/>
  <c r="H18" i="812"/>
  <c r="H179" i="785"/>
  <c r="H22" i="630"/>
  <c r="H148" i="630"/>
  <c r="H157" i="630"/>
  <c r="H167" i="785"/>
  <c r="H255" i="630"/>
  <c r="H127" i="630"/>
  <c r="H222" i="785"/>
  <c r="H171" i="630"/>
  <c r="H161" i="630"/>
  <c r="H189" i="785"/>
  <c r="H82" i="785"/>
  <c r="H191" i="630"/>
  <c r="H78" i="785"/>
  <c r="H188" i="630"/>
  <c r="H35" i="630"/>
  <c r="H16" i="812"/>
  <c r="H250" i="785"/>
  <c r="H195" i="630"/>
  <c r="H274" i="785"/>
  <c r="H236" i="630"/>
  <c r="H214" i="630"/>
  <c r="H170" i="630"/>
  <c r="H19" i="812"/>
  <c r="H134" i="785"/>
  <c r="H122" i="630"/>
  <c r="H150" i="785"/>
  <c r="H236" i="785"/>
  <c r="H141" i="785"/>
  <c r="H244" i="630"/>
  <c r="H230" i="785"/>
  <c r="H164" i="630"/>
  <c r="H226" i="785"/>
  <c r="H81" i="785"/>
  <c r="H33" i="630"/>
  <c r="H25" i="785"/>
  <c r="H97" i="630"/>
  <c r="H118" i="785"/>
  <c r="H329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2" i="785"/>
  <c r="H153" i="630"/>
  <c r="H216" i="630"/>
  <c r="H50" i="630"/>
  <c r="H43" i="630"/>
  <c r="H295" i="785"/>
  <c r="H172" i="785"/>
  <c r="H22" i="812"/>
  <c r="H178" i="785"/>
  <c r="H20" i="630"/>
  <c r="H190" i="785"/>
  <c r="H11" i="630"/>
  <c r="H235" i="785"/>
  <c r="H194" i="630"/>
  <c r="H95" i="630"/>
  <c r="H256" i="785"/>
  <c r="H145" i="785"/>
  <c r="H207" i="630"/>
  <c r="H28" i="630"/>
  <c r="H12" i="630"/>
  <c r="H48" i="785"/>
  <c r="H17" i="630"/>
  <c r="H98" i="785"/>
  <c r="H130" i="785"/>
  <c r="H91" i="630"/>
  <c r="H29" i="785"/>
  <c r="H233" i="785"/>
  <c r="H30" i="630"/>
  <c r="H45" i="630"/>
  <c r="H91" i="785"/>
  <c r="H213" i="630"/>
  <c r="H320" i="785"/>
  <c r="H129" i="785"/>
  <c r="H36" i="630"/>
  <c r="H31" i="785"/>
  <c r="H18" i="630"/>
  <c r="H173" i="630"/>
  <c r="H95" i="785"/>
  <c r="H291" i="785"/>
  <c r="H155" i="630"/>
  <c r="H229" i="785"/>
  <c r="H299" i="785"/>
  <c r="H76" i="785"/>
  <c r="H261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1" i="785"/>
  <c r="H262" i="785"/>
  <c r="H63" i="785"/>
  <c r="H177" i="785"/>
  <c r="H193" i="630"/>
  <c r="H15" i="785"/>
  <c r="H252" i="785"/>
  <c r="H192" i="785"/>
  <c r="H85" i="785"/>
  <c r="H129" i="630"/>
  <c r="H27" i="630"/>
  <c r="H75" i="785"/>
  <c r="H255" i="785"/>
  <c r="H94" i="630"/>
  <c r="H207" i="785"/>
  <c r="H327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8" i="785"/>
  <c r="H137" i="785"/>
  <c r="H137" i="630"/>
  <c r="H241" i="630"/>
  <c r="H147" i="630"/>
  <c r="H179" i="630"/>
  <c r="H99" i="630"/>
  <c r="H131" i="785"/>
  <c r="H67" i="785"/>
  <c r="H276" i="785"/>
  <c r="H149" i="630"/>
  <c r="H103" i="785"/>
  <c r="H169" i="630"/>
  <c r="H73" i="785"/>
  <c r="H133" i="785"/>
  <c r="H257" i="785"/>
  <c r="H72" i="785"/>
  <c r="H173" i="785"/>
  <c r="H124" i="785"/>
  <c r="H60" i="785"/>
  <c r="H149" i="785"/>
  <c r="H264" i="785"/>
  <c r="H40" i="630"/>
  <c r="H180" i="785"/>
  <c r="H132" i="630"/>
  <c r="H203" i="630"/>
  <c r="H61" i="785"/>
  <c r="H172" i="630"/>
  <c r="H58" i="785"/>
  <c r="H140" i="630"/>
  <c r="H191" i="785"/>
  <c r="H54" i="630"/>
  <c r="H41" i="630"/>
  <c r="H253" i="785"/>
  <c r="H326" i="785"/>
  <c r="H32" i="630"/>
  <c r="H10" i="630"/>
  <c r="H44" i="630"/>
  <c r="H93" i="630"/>
  <c r="H109" i="785"/>
  <c r="H234" i="630"/>
  <c r="H25" i="812"/>
  <c r="H42" i="630"/>
  <c r="H126" i="785"/>
  <c r="H211" i="785"/>
  <c r="H318" i="785"/>
  <c r="H111" i="785"/>
  <c r="H132" i="785"/>
  <c r="H88" i="785"/>
  <c r="H42" i="812"/>
  <c r="H59" i="812" s="1"/>
  <c r="H187" i="785"/>
  <c r="H33" i="785"/>
  <c r="H212" i="630"/>
  <c r="H177" i="630"/>
  <c r="H143" i="630"/>
  <c r="H62" i="785"/>
  <c r="H234" i="785"/>
  <c r="H146" i="630"/>
  <c r="H34" i="630"/>
  <c r="H59" i="785"/>
  <c r="H23" i="630"/>
  <c r="H16" i="630"/>
  <c r="H317" i="785"/>
  <c r="H96" i="630"/>
  <c r="H69" i="785"/>
  <c r="H135" i="630"/>
  <c r="H159" i="630"/>
  <c r="H49" i="785"/>
  <c r="H90" i="785"/>
  <c r="H184" i="630"/>
  <c r="H51" i="785"/>
  <c r="H315" i="785"/>
  <c r="H37" i="630"/>
  <c r="H190" i="630"/>
  <c r="H268" i="785"/>
  <c r="H104" i="785"/>
  <c r="H125" i="785"/>
  <c r="H23" i="812"/>
  <c r="H49" i="630"/>
  <c r="H260" i="785"/>
  <c r="H17" i="812"/>
  <c r="H150" i="630"/>
  <c r="H224" i="785"/>
  <c r="H181" i="630"/>
  <c r="H319" i="785"/>
  <c r="H316" i="785"/>
  <c r="H54" i="785"/>
  <c r="H55" i="785"/>
  <c r="H185" i="785"/>
  <c r="H253" i="630"/>
  <c r="H70" i="785"/>
  <c r="H266" i="785"/>
  <c r="H256" i="630"/>
  <c r="H151" i="630"/>
  <c r="H324" i="785"/>
  <c r="H117" i="785"/>
  <c r="H38" i="630"/>
  <c r="H110" i="785"/>
  <c r="H53" i="630"/>
  <c r="H166" i="630"/>
  <c r="H192" i="630"/>
  <c r="H223" i="630"/>
  <c r="H257" i="630"/>
  <c r="H175" i="785"/>
  <c r="H94" i="785"/>
  <c r="H181" i="785"/>
  <c r="H296" i="785"/>
  <c r="H193" i="785"/>
  <c r="H121" i="630"/>
  <c r="H152" i="630"/>
  <c r="H202" i="630"/>
  <c r="H328" i="785"/>
  <c r="H113" i="785"/>
  <c r="H330" i="785"/>
  <c r="H83" i="785"/>
  <c r="H51" i="630"/>
  <c r="H170" i="785"/>
  <c r="H217" i="785"/>
  <c r="H260" i="630"/>
  <c r="H263" i="785"/>
  <c r="H123" i="630"/>
  <c r="H184" i="785"/>
  <c r="H321" i="785"/>
  <c r="H294" i="785"/>
  <c r="H325" i="785"/>
  <c r="H66" i="785"/>
  <c r="H174" i="785"/>
  <c r="H186" i="785"/>
  <c r="H174" i="630"/>
  <c r="H186" i="630"/>
  <c r="H169" i="785"/>
  <c r="H217" i="630"/>
  <c r="H121" i="785"/>
  <c r="H14" i="785"/>
  <c r="H84" i="785"/>
  <c r="H24" i="785"/>
  <c r="H115" i="785"/>
  <c r="H297" i="785"/>
  <c r="H231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7" i="785"/>
  <c r="H47" i="630"/>
  <c r="H47" i="785"/>
  <c r="H158" i="630"/>
  <c r="H199" i="630"/>
  <c r="H246" i="785"/>
  <c r="H79" i="785"/>
  <c r="H125" i="630"/>
  <c r="H25" i="630"/>
  <c r="H126" i="630"/>
  <c r="H39" i="630"/>
  <c r="H188" i="785"/>
  <c r="H15" i="812"/>
  <c r="H248" i="785"/>
  <c r="H168" i="630"/>
  <c r="H120" i="630"/>
  <c r="H331" i="785"/>
  <c r="H14" i="630"/>
  <c r="H96" i="785"/>
  <c r="H21" i="630"/>
  <c r="H26" i="785"/>
  <c r="H165" i="630"/>
  <c r="H292" i="785"/>
  <c r="H138" i="785"/>
  <c r="H102" i="785"/>
  <c r="H100" i="630"/>
  <c r="H267" i="785"/>
  <c r="H27" i="785"/>
  <c r="H144" i="785"/>
  <c r="H275" i="785"/>
  <c r="H24" i="812"/>
  <c r="H57" i="630"/>
  <c r="H240" i="630"/>
  <c r="H26" i="812"/>
  <c r="H182" i="785"/>
  <c r="H265" i="785"/>
  <c r="H300" i="785"/>
  <c r="H259" i="785"/>
  <c r="H128" i="785"/>
  <c r="H247" i="785"/>
  <c r="H162" i="630"/>
  <c r="H53" i="785"/>
  <c r="H250" i="630"/>
  <c r="H251" i="785"/>
  <c r="H196" i="630"/>
  <c r="H29" i="630"/>
  <c r="H77" i="785"/>
  <c r="I200" i="630"/>
  <c r="I141" i="630"/>
  <c r="I26" i="785"/>
  <c r="I48" i="785"/>
  <c r="J228" i="785"/>
  <c r="F228" i="785" s="1"/>
  <c r="I223" i="630"/>
  <c r="L180" i="630"/>
  <c r="I150" i="785"/>
  <c r="J87" i="785"/>
  <c r="I188" i="785"/>
  <c r="I133" i="785"/>
  <c r="J132" i="785"/>
  <c r="I23" i="630"/>
  <c r="I15" i="812"/>
  <c r="I83" i="785"/>
  <c r="J175" i="785"/>
  <c r="I49" i="785"/>
  <c r="F238" i="630"/>
  <c r="L200" i="630"/>
  <c r="I92" i="785"/>
  <c r="J91" i="785"/>
  <c r="I170" i="630"/>
  <c r="J263" i="785"/>
  <c r="F252" i="630"/>
  <c r="J168" i="785"/>
  <c r="L36" i="630"/>
  <c r="J182" i="785"/>
  <c r="I291" i="785"/>
  <c r="L96" i="630"/>
  <c r="F96" i="630" s="1"/>
  <c r="P96" i="630" s="1"/>
  <c r="L12" i="630"/>
  <c r="I318" i="785"/>
  <c r="L99" i="630"/>
  <c r="F99" i="630" s="1"/>
  <c r="P99" i="630" s="1"/>
  <c r="J275" i="785"/>
  <c r="I261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5" i="785"/>
  <c r="J221" i="785"/>
  <c r="J262" i="785"/>
  <c r="F262" i="785" s="1"/>
  <c r="F245" i="630"/>
  <c r="L189" i="630"/>
  <c r="I234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1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1" i="785"/>
  <c r="F271" i="785" s="1"/>
  <c r="M271" i="785" s="1"/>
  <c r="S271" i="785" s="1"/>
  <c r="I246" i="785"/>
  <c r="J231" i="785"/>
  <c r="J14" i="812"/>
  <c r="J56" i="812"/>
  <c r="J65" i="785"/>
  <c r="F65" i="785" s="1"/>
  <c r="J192" i="785"/>
  <c r="I15" i="630"/>
  <c r="L181" i="630"/>
  <c r="I62" i="785"/>
  <c r="J256" i="785"/>
  <c r="I69" i="785"/>
  <c r="J258" i="785"/>
  <c r="L223" i="630"/>
  <c r="I184" i="630"/>
  <c r="L182" i="630"/>
  <c r="L221" i="630"/>
  <c r="I170" i="785"/>
  <c r="L60" i="630"/>
  <c r="I123" i="785"/>
  <c r="I120" i="630"/>
  <c r="I189" i="785"/>
  <c r="J223" i="785"/>
  <c r="F223" i="785" s="1"/>
  <c r="I25" i="785"/>
  <c r="J145" i="785"/>
  <c r="L53" i="630"/>
  <c r="I16" i="785"/>
  <c r="J85" i="785"/>
  <c r="F85" i="785" s="1"/>
  <c r="I193" i="785"/>
  <c r="I17" i="812"/>
  <c r="F229" i="630"/>
  <c r="I193" i="630"/>
  <c r="J15" i="812"/>
  <c r="J250" i="785"/>
  <c r="I18" i="812"/>
  <c r="I15" i="785"/>
  <c r="I190" i="630"/>
  <c r="I19" i="630"/>
  <c r="J300" i="785"/>
  <c r="L130" i="630"/>
  <c r="L121" i="630"/>
  <c r="I187" i="785"/>
  <c r="L196" i="630"/>
  <c r="I38" i="785"/>
  <c r="J46" i="812"/>
  <c r="I47" i="812"/>
  <c r="L155" i="630"/>
  <c r="I238" i="630"/>
  <c r="F251" i="630"/>
  <c r="I162" i="630"/>
  <c r="L154" i="630"/>
  <c r="I317" i="785"/>
  <c r="L173" i="630"/>
  <c r="I298" i="785"/>
  <c r="F198" i="630"/>
  <c r="I34" i="785"/>
  <c r="L250" i="630"/>
  <c r="L16" i="630"/>
  <c r="I30" i="630"/>
  <c r="I299" i="785"/>
  <c r="I253" i="630"/>
  <c r="L14" i="630"/>
  <c r="I56" i="812"/>
  <c r="L153" i="630"/>
  <c r="I315" i="785"/>
  <c r="L21" i="630"/>
  <c r="I222" i="630"/>
  <c r="I45" i="812"/>
  <c r="L44" i="630"/>
  <c r="I231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59" i="785"/>
  <c r="I126" i="630"/>
  <c r="L148" i="630"/>
  <c r="L222" i="630"/>
  <c r="I60" i="630"/>
  <c r="I41" i="812"/>
  <c r="I183" i="785"/>
  <c r="F220" i="630"/>
  <c r="J142" i="785"/>
  <c r="F142" i="785" s="1"/>
  <c r="J177" i="785"/>
  <c r="I145" i="630"/>
  <c r="J327" i="785"/>
  <c r="J181" i="785"/>
  <c r="J189" i="785"/>
  <c r="J63" i="785"/>
  <c r="I180" i="785"/>
  <c r="J20" i="812"/>
  <c r="I272" i="785"/>
  <c r="I327" i="785"/>
  <c r="I159" i="630"/>
  <c r="J122" i="785"/>
  <c r="F201" i="630"/>
  <c r="I43" i="785"/>
  <c r="J117" i="785"/>
  <c r="L207" i="630"/>
  <c r="L28" i="630"/>
  <c r="J315" i="785"/>
  <c r="J125" i="785"/>
  <c r="F125" i="785" s="1"/>
  <c r="F235" i="630"/>
  <c r="I54" i="785"/>
  <c r="J88" i="785"/>
  <c r="J40" i="785"/>
  <c r="I95" i="630"/>
  <c r="L243" i="630"/>
  <c r="J237" i="785"/>
  <c r="I158" i="630"/>
  <c r="L55" i="630"/>
  <c r="I54" i="630"/>
  <c r="J212" i="785"/>
  <c r="I249" i="630"/>
  <c r="J246" i="785"/>
  <c r="J252" i="785"/>
  <c r="F252" i="785" s="1"/>
  <c r="I169" i="785"/>
  <c r="J76" i="785"/>
  <c r="I75" i="785"/>
  <c r="I316" i="785"/>
  <c r="I335" i="785" s="1"/>
  <c r="I73" i="785"/>
  <c r="I51" i="630"/>
  <c r="J298" i="785"/>
  <c r="I223" i="785"/>
  <c r="I276" i="785"/>
  <c r="I258" i="785"/>
  <c r="I160" i="630"/>
  <c r="I296" i="785"/>
  <c r="I233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5" i="785"/>
  <c r="J274" i="785"/>
  <c r="L98" i="630"/>
  <c r="F98" i="630" s="1"/>
  <c r="P98" i="630" s="1"/>
  <c r="I199" i="630"/>
  <c r="I220" i="785"/>
  <c r="I130" i="630"/>
  <c r="L37" i="630"/>
  <c r="I248" i="630"/>
  <c r="J167" i="785"/>
  <c r="J247" i="785"/>
  <c r="F247" i="785" s="1"/>
  <c r="J127" i="785"/>
  <c r="J52" i="812"/>
  <c r="I210" i="785"/>
  <c r="L139" i="630"/>
  <c r="I273" i="785"/>
  <c r="J128" i="785"/>
  <c r="F128" i="785" s="1"/>
  <c r="I139" i="630"/>
  <c r="J54" i="812"/>
  <c r="J295" i="785"/>
  <c r="I119" i="630"/>
  <c r="L239" i="630"/>
  <c r="I35" i="785"/>
  <c r="L135" i="630"/>
  <c r="L178" i="630"/>
  <c r="I87" i="785"/>
  <c r="I218" i="785"/>
  <c r="J232" i="785"/>
  <c r="F232" i="785" s="1"/>
  <c r="L213" i="630"/>
  <c r="I209" i="785"/>
  <c r="F240" i="630"/>
  <c r="I59" i="630"/>
  <c r="J32" i="785"/>
  <c r="J176" i="785"/>
  <c r="J328" i="785"/>
  <c r="I85" i="785"/>
  <c r="I197" i="630"/>
  <c r="I28" i="630"/>
  <c r="J255" i="785"/>
  <c r="J78" i="785"/>
  <c r="J51" i="785"/>
  <c r="J110" i="785"/>
  <c r="L237" i="630"/>
  <c r="J253" i="785"/>
  <c r="L46" i="630"/>
  <c r="L233" i="630"/>
  <c r="J193" i="785"/>
  <c r="I52" i="812"/>
  <c r="J190" i="785"/>
  <c r="I36" i="785"/>
  <c r="I152" i="785" s="1"/>
  <c r="L216" i="630"/>
  <c r="I65" i="785"/>
  <c r="J169" i="785"/>
  <c r="I11" i="630"/>
  <c r="I226" i="785"/>
  <c r="L244" i="630"/>
  <c r="I246" i="630"/>
  <c r="I300" i="785"/>
  <c r="I208" i="785"/>
  <c r="L211" i="630"/>
  <c r="I241" i="630"/>
  <c r="I136" i="630"/>
  <c r="L224" i="630"/>
  <c r="I331" i="785"/>
  <c r="I168" i="785"/>
  <c r="J38" i="785"/>
  <c r="J124" i="785"/>
  <c r="F124" i="785" s="1"/>
  <c r="I221" i="785"/>
  <c r="I252" i="630"/>
  <c r="I224" i="630"/>
  <c r="J129" i="785"/>
  <c r="F129" i="785" s="1"/>
  <c r="L186" i="630"/>
  <c r="I27" i="630"/>
  <c r="I59" i="785"/>
  <c r="I326" i="785"/>
  <c r="I105" i="785"/>
  <c r="I216" i="630"/>
  <c r="L127" i="630"/>
  <c r="J26" i="785"/>
  <c r="I217" i="785"/>
  <c r="I17" i="630"/>
  <c r="F260" i="630"/>
  <c r="L169" i="630"/>
  <c r="I264" i="785"/>
  <c r="J80" i="785"/>
  <c r="F232" i="630"/>
  <c r="I207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3" i="785"/>
  <c r="F273" i="785" s="1"/>
  <c r="M273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3" i="785"/>
  <c r="F293" i="785" s="1"/>
  <c r="J251" i="785"/>
  <c r="F200" i="630"/>
  <c r="I295" i="785"/>
  <c r="I57" i="630"/>
  <c r="F246" i="630"/>
  <c r="F223" i="630"/>
  <c r="L50" i="630"/>
  <c r="L232" i="630"/>
  <c r="I328" i="785"/>
  <c r="J213" i="785"/>
  <c r="I54" i="812"/>
  <c r="I321" i="785"/>
  <c r="J30" i="785"/>
  <c r="F236" i="630"/>
  <c r="J325" i="785"/>
  <c r="L160" i="630"/>
  <c r="I210" i="630"/>
  <c r="L124" i="630"/>
  <c r="L254" i="630"/>
  <c r="I188" i="630"/>
  <c r="I37" i="785"/>
  <c r="I222" i="785"/>
  <c r="J220" i="785"/>
  <c r="F220" i="785" s="1"/>
  <c r="J109" i="785"/>
  <c r="J106" i="785"/>
  <c r="F106" i="785" s="1"/>
  <c r="J55" i="812"/>
  <c r="I154" i="630"/>
  <c r="L11" i="630"/>
  <c r="J13" i="812"/>
  <c r="I22" i="812"/>
  <c r="I294" i="785"/>
  <c r="L142" i="630"/>
  <c r="J326" i="785"/>
  <c r="I84" i="785"/>
  <c r="J226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6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2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4" i="785"/>
  <c r="I35" i="630"/>
  <c r="J25" i="812"/>
  <c r="F222" i="630"/>
  <c r="F196" i="630"/>
  <c r="F256" i="630"/>
  <c r="I163" i="630"/>
  <c r="I32" i="785"/>
  <c r="J75" i="785"/>
  <c r="I185" i="630"/>
  <c r="J141" i="785"/>
  <c r="J299" i="785"/>
  <c r="J101" i="785"/>
  <c r="L31" i="630"/>
  <c r="I77" i="785"/>
  <c r="J59" i="785"/>
  <c r="I14" i="785"/>
  <c r="J174" i="785"/>
  <c r="I123" i="630"/>
  <c r="J23" i="812"/>
  <c r="J140" i="785"/>
  <c r="F140" i="785" s="1"/>
  <c r="I27" i="785"/>
  <c r="I226" i="630"/>
  <c r="L218" i="630"/>
  <c r="F250" i="630"/>
  <c r="J43" i="785"/>
  <c r="J58" i="785"/>
  <c r="J229" i="785"/>
  <c r="I61" i="785"/>
  <c r="J234" i="785"/>
  <c r="L202" i="630"/>
  <c r="I55" i="785"/>
  <c r="I142" i="785"/>
  <c r="I247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0" i="785"/>
  <c r="L51" i="630"/>
  <c r="I181" i="630"/>
  <c r="J139" i="785"/>
  <c r="I172" i="785"/>
  <c r="J179" i="785"/>
  <c r="I100" i="630"/>
  <c r="I135" i="630"/>
  <c r="L126" i="630"/>
  <c r="I265" i="785"/>
  <c r="I16" i="812"/>
  <c r="J324" i="785"/>
  <c r="I329" i="785"/>
  <c r="J60" i="785"/>
  <c r="F199" i="630"/>
  <c r="J131" i="785"/>
  <c r="F131" i="785" s="1"/>
  <c r="L29" i="630"/>
  <c r="J211" i="785"/>
  <c r="F211" i="785" s="1"/>
  <c r="I44" i="785"/>
  <c r="I230" i="785"/>
  <c r="I179" i="630"/>
  <c r="I182" i="785"/>
  <c r="I96" i="630"/>
  <c r="J72" i="785"/>
  <c r="L217" i="630"/>
  <c r="J45" i="812"/>
  <c r="L41" i="630"/>
  <c r="L230" i="630"/>
  <c r="J42" i="812"/>
  <c r="J207" i="785"/>
  <c r="J82" i="785"/>
  <c r="L47" i="630"/>
  <c r="I236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0" i="785"/>
  <c r="F260" i="785" s="1"/>
  <c r="I31" i="785"/>
  <c r="I207" i="630"/>
  <c r="I138" i="785"/>
  <c r="L52" i="630"/>
  <c r="I274" i="785"/>
  <c r="I44" i="812"/>
  <c r="L163" i="630"/>
  <c r="I149" i="630"/>
  <c r="I260" i="630"/>
  <c r="I122" i="785"/>
  <c r="I52" i="630"/>
  <c r="I45" i="630"/>
  <c r="J33" i="785"/>
  <c r="L204" i="630"/>
  <c r="J230" i="785"/>
  <c r="I139" i="785"/>
  <c r="I44" i="630"/>
  <c r="I250" i="630"/>
  <c r="J266" i="785"/>
  <c r="J208" i="785"/>
  <c r="F208" i="785" s="1"/>
  <c r="L229" i="630"/>
  <c r="I198" i="630"/>
  <c r="J57" i="785"/>
  <c r="I266" i="785"/>
  <c r="J44" i="812"/>
  <c r="I86" i="785"/>
  <c r="J21" i="785"/>
  <c r="I137" i="630"/>
  <c r="J37" i="785"/>
  <c r="J320" i="785"/>
  <c r="J115" i="785"/>
  <c r="F115" i="785" s="1"/>
  <c r="J130" i="785"/>
  <c r="I26" i="630"/>
  <c r="I184" i="785"/>
  <c r="I219" i="785"/>
  <c r="J26" i="812"/>
  <c r="J147" i="785"/>
  <c r="J191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3" i="785"/>
  <c r="I237" i="785"/>
  <c r="F255" i="630"/>
  <c r="J188" i="785"/>
  <c r="I324" i="785"/>
  <c r="I248" i="785"/>
  <c r="L176" i="630"/>
  <c r="I255" i="630"/>
  <c r="I132" i="785"/>
  <c r="I292" i="785"/>
  <c r="J96" i="785"/>
  <c r="I176" i="785"/>
  <c r="L137" i="630"/>
  <c r="J215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6" i="785"/>
  <c r="I41" i="630"/>
  <c r="I26" i="812"/>
  <c r="I131" i="630"/>
  <c r="I257" i="785"/>
  <c r="I187" i="630"/>
  <c r="L20" i="630"/>
  <c r="J183" i="785"/>
  <c r="I39" i="630"/>
  <c r="I20" i="630"/>
  <c r="I49" i="630"/>
  <c r="I89" i="785"/>
  <c r="I47" i="785"/>
  <c r="F248" i="630"/>
  <c r="F243" i="630"/>
  <c r="I18" i="630"/>
  <c r="J180" i="785"/>
  <c r="J41" i="785"/>
  <c r="L192" i="630"/>
  <c r="I128" i="630"/>
  <c r="J73" i="785"/>
  <c r="J133" i="785"/>
  <c r="I231" i="630"/>
  <c r="I271" i="785"/>
  <c r="I119" i="785"/>
  <c r="L39" i="630"/>
  <c r="J119" i="785"/>
  <c r="F119" i="785" s="1"/>
  <c r="I48" i="630"/>
  <c r="L257" i="630"/>
  <c r="J69" i="785"/>
  <c r="L246" i="630"/>
  <c r="I19" i="785"/>
  <c r="J62" i="785"/>
  <c r="J321" i="785"/>
  <c r="I80" i="785"/>
  <c r="J24" i="812"/>
  <c r="F24" i="812" s="1"/>
  <c r="L214" i="630"/>
  <c r="L122" i="630"/>
  <c r="I256" i="785"/>
  <c r="L33" i="630"/>
  <c r="J184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5" i="785"/>
  <c r="F239" i="630"/>
  <c r="I192" i="630"/>
  <c r="L185" i="630"/>
  <c r="L255" i="630"/>
  <c r="F205" i="630"/>
  <c r="I212" i="785"/>
  <c r="L158" i="630"/>
  <c r="I259" i="785"/>
  <c r="I172" i="630"/>
  <c r="F213" i="630"/>
  <c r="L177" i="630"/>
  <c r="I153" i="630"/>
  <c r="L172" i="630"/>
  <c r="I235" i="785"/>
  <c r="I190" i="785"/>
  <c r="I46" i="812"/>
  <c r="I144" i="630"/>
  <c r="J225" i="785"/>
  <c r="F225" i="785" s="1"/>
  <c r="I127" i="785"/>
  <c r="I182" i="630"/>
  <c r="J17" i="785"/>
  <c r="I82" i="785"/>
  <c r="L248" i="630"/>
  <c r="L225" i="630"/>
  <c r="I178" i="785"/>
  <c r="I111" i="785"/>
  <c r="J217" i="785"/>
  <c r="F217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7" i="785"/>
  <c r="I164" i="630"/>
  <c r="I19" i="812"/>
  <c r="F228" i="630"/>
  <c r="I37" i="630"/>
  <c r="I224" i="785"/>
  <c r="I101" i="785"/>
  <c r="I169" i="630"/>
  <c r="L120" i="630"/>
  <c r="I215" i="785"/>
  <c r="I148" i="785"/>
  <c r="I195" i="630"/>
  <c r="J35" i="785"/>
  <c r="F35" i="785" s="1"/>
  <c r="L42" i="630"/>
  <c r="J148" i="785"/>
  <c r="I93" i="630"/>
  <c r="J248" i="785"/>
  <c r="F248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0" i="785"/>
  <c r="I50" i="630"/>
  <c r="J46" i="785"/>
  <c r="F46" i="785" s="1"/>
  <c r="J79" i="785"/>
  <c r="I118" i="630"/>
  <c r="I236" i="630"/>
  <c r="I14" i="812"/>
  <c r="J209" i="785"/>
  <c r="F209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0" i="785"/>
  <c r="F210" i="785" s="1"/>
  <c r="I67" i="785"/>
  <c r="L38" i="630"/>
  <c r="J331" i="785"/>
  <c r="I150" i="630"/>
  <c r="J294" i="785"/>
  <c r="I212" i="630"/>
  <c r="I325" i="785"/>
  <c r="I275" i="785"/>
  <c r="J319" i="785"/>
  <c r="I179" i="785"/>
  <c r="L219" i="630"/>
  <c r="I55" i="812"/>
  <c r="I194" i="630"/>
  <c r="I33" i="785"/>
  <c r="I201" i="630"/>
  <c r="I293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5" i="785"/>
  <c r="I76" i="785"/>
  <c r="J222" i="785"/>
  <c r="I232" i="785"/>
  <c r="I149" i="785"/>
  <c r="F207" i="630"/>
  <c r="I209" i="630"/>
  <c r="J236" i="785"/>
  <c r="L40" i="630"/>
  <c r="F258" i="630"/>
  <c r="I40" i="785"/>
  <c r="J329" i="785"/>
  <c r="L183" i="630"/>
  <c r="I104" i="785"/>
  <c r="I66" i="785"/>
  <c r="J292" i="785"/>
  <c r="F292" i="785" s="1"/>
  <c r="F244" i="630"/>
  <c r="J330" i="785"/>
  <c r="I98" i="630"/>
  <c r="I233" i="630"/>
  <c r="J317" i="785"/>
  <c r="I177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2" i="785"/>
  <c r="J41" i="812"/>
  <c r="J20" i="785"/>
  <c r="I186" i="630"/>
  <c r="I147" i="630"/>
  <c r="J19" i="812"/>
  <c r="L32" i="630"/>
  <c r="I229" i="785"/>
  <c r="J48" i="785"/>
  <c r="J53" i="785"/>
  <c r="F53" i="785" s="1"/>
  <c r="I42" i="630"/>
  <c r="I58" i="630"/>
  <c r="F221" i="630"/>
  <c r="L171" i="630"/>
  <c r="F249" i="630"/>
  <c r="F202" i="630"/>
  <c r="J218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4" i="785"/>
  <c r="L18" i="630"/>
  <c r="L26" i="630"/>
  <c r="L164" i="630"/>
  <c r="L245" i="630"/>
  <c r="I130" i="785"/>
  <c r="L247" i="630"/>
  <c r="L146" i="630"/>
  <c r="J297" i="785"/>
  <c r="I34" i="630"/>
  <c r="I157" i="630"/>
  <c r="I97" i="630"/>
  <c r="J296" i="785"/>
  <c r="F214" i="630"/>
  <c r="I235" i="630"/>
  <c r="I217" i="630"/>
  <c r="I173" i="630"/>
  <c r="J27" i="785"/>
  <c r="I95" i="785"/>
  <c r="I102" i="785"/>
  <c r="J267" i="785"/>
  <c r="F267" i="785" s="1"/>
  <c r="M267" i="785" s="1"/>
  <c r="S267" i="785" s="1"/>
  <c r="I129" i="630"/>
  <c r="J138" i="785"/>
  <c r="I152" i="630"/>
  <c r="J17" i="812"/>
  <c r="J272" i="785"/>
  <c r="F272" i="785" s="1"/>
  <c r="M272" i="785" s="1"/>
  <c r="S272" i="785" s="1"/>
  <c r="I320" i="785"/>
  <c r="I189" i="630"/>
  <c r="L187" i="630"/>
  <c r="L253" i="630"/>
  <c r="J39" i="785"/>
  <c r="I181" i="785"/>
  <c r="L27" i="630"/>
  <c r="I211" i="785"/>
  <c r="J178" i="785"/>
  <c r="I161" i="630"/>
  <c r="F215" i="630"/>
  <c r="L35" i="630"/>
  <c r="L258" i="630"/>
  <c r="L151" i="630"/>
  <c r="J291" i="785"/>
  <c r="J47" i="785"/>
  <c r="F216" i="630"/>
  <c r="L195" i="630"/>
  <c r="J18" i="785"/>
  <c r="I191" i="785"/>
  <c r="I63" i="785"/>
  <c r="I21" i="630"/>
  <c r="I43" i="812"/>
  <c r="L159" i="630"/>
  <c r="J18" i="812"/>
  <c r="I165" i="630"/>
  <c r="J233" i="785"/>
  <c r="I98" i="785"/>
  <c r="L56" i="630"/>
  <c r="I121" i="630"/>
  <c r="I297" i="785"/>
  <c r="J135" i="785"/>
  <c r="F135" i="785" s="1"/>
  <c r="J144" i="785"/>
  <c r="L215" i="630"/>
  <c r="J318" i="785"/>
  <c r="F203" i="630"/>
  <c r="J103" i="785"/>
  <c r="F103" i="785" s="1"/>
  <c r="J257" i="785"/>
  <c r="F257" i="785" s="1"/>
  <c r="J13" i="785"/>
  <c r="I90" i="630"/>
  <c r="I23" i="812"/>
  <c r="I138" i="630"/>
  <c r="L23" i="630"/>
  <c r="I53" i="812"/>
  <c r="I267" i="785"/>
  <c r="L236" i="630"/>
  <c r="I319" i="785"/>
  <c r="I102" i="630"/>
  <c r="I240" i="630"/>
  <c r="I56" i="630"/>
  <c r="I57" i="785"/>
  <c r="I13" i="785"/>
  <c r="J264" i="785"/>
  <c r="F264" i="785" s="1"/>
  <c r="J149" i="785"/>
  <c r="L231" i="630"/>
  <c r="I185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6" i="785"/>
  <c r="I137" i="785"/>
  <c r="J219" i="785"/>
  <c r="F219" i="785" s="1"/>
  <c r="I109" i="785"/>
  <c r="L144" i="630"/>
  <c r="L97" i="630"/>
  <c r="F97" i="630" s="1"/>
  <c r="P97" i="630" s="1"/>
  <c r="I167" i="630"/>
  <c r="I129" i="785"/>
  <c r="J98" i="785"/>
  <c r="L251" i="630"/>
  <c r="K52" i="785"/>
  <c r="R304" i="785"/>
  <c r="R302" i="785"/>
  <c r="K78" i="785"/>
  <c r="Y315" i="630"/>
  <c r="R197" i="785"/>
  <c r="R195" i="785"/>
  <c r="S19" i="785"/>
  <c r="R153" i="785"/>
  <c r="Q105" i="630"/>
  <c r="T306" i="630" s="1"/>
  <c r="P306" i="630"/>
  <c r="K178" i="785"/>
  <c r="BI16" i="785"/>
  <c r="BI30" i="785" s="1"/>
  <c r="S208" i="785"/>
  <c r="R280" i="785"/>
  <c r="R278" i="785"/>
  <c r="Q23" i="785"/>
  <c r="Q154" i="785" s="1"/>
  <c r="T315" i="630"/>
  <c r="BI32" i="785"/>
  <c r="W315" i="630"/>
  <c r="L23" i="785"/>
  <c r="K267" i="785"/>
  <c r="O296" i="630"/>
  <c r="R157" i="785"/>
  <c r="Q155" i="785" l="1"/>
  <c r="D298" i="630"/>
  <c r="M12" i="812"/>
  <c r="M41" i="812"/>
  <c r="O128" i="630"/>
  <c r="P128" i="630" s="1"/>
  <c r="M331" i="785"/>
  <c r="N331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8" i="785"/>
  <c r="Q279" i="785"/>
  <c r="J279" i="785"/>
  <c r="H279" i="785"/>
  <c r="M212" i="785"/>
  <c r="N212" i="785" s="1"/>
  <c r="S212" i="785" s="1"/>
  <c r="L279" i="785"/>
  <c r="I279" i="785"/>
  <c r="P216" i="630"/>
  <c r="U216" i="630" s="1"/>
  <c r="H281" i="785"/>
  <c r="K278" i="785"/>
  <c r="K280" i="785" s="1"/>
  <c r="H278" i="785"/>
  <c r="M245" i="785"/>
  <c r="N245" i="785" s="1"/>
  <c r="M246" i="785"/>
  <c r="N246" i="785" s="1"/>
  <c r="J282" i="785"/>
  <c r="M247" i="785"/>
  <c r="F243" i="785"/>
  <c r="J281" i="785"/>
  <c r="I278" i="785"/>
  <c r="I281" i="785"/>
  <c r="M241" i="785"/>
  <c r="N241" i="785" s="1"/>
  <c r="P233" i="630"/>
  <c r="U233" i="630" s="1"/>
  <c r="F239" i="785"/>
  <c r="M107" i="785"/>
  <c r="N107" i="785" s="1"/>
  <c r="S107" i="785" s="1"/>
  <c r="P237" i="630"/>
  <c r="F93" i="785"/>
  <c r="L278" i="785"/>
  <c r="F240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4" i="785"/>
  <c r="F97" i="785"/>
  <c r="M227" i="785"/>
  <c r="L261" i="630"/>
  <c r="M323" i="785"/>
  <c r="N323" i="785" s="1"/>
  <c r="S323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6" i="785"/>
  <c r="I262" i="630"/>
  <c r="I263" i="630"/>
  <c r="L263" i="630"/>
  <c r="L262" i="630"/>
  <c r="I261" i="630"/>
  <c r="M221" i="785"/>
  <c r="M234" i="785"/>
  <c r="N234" i="785" s="1"/>
  <c r="M231" i="785"/>
  <c r="M233" i="785"/>
  <c r="N233" i="785" s="1"/>
  <c r="M218" i="785"/>
  <c r="N218" i="785" s="1"/>
  <c r="M226" i="785"/>
  <c r="M207" i="785"/>
  <c r="N207" i="785" s="1"/>
  <c r="M222" i="785"/>
  <c r="M230" i="785"/>
  <c r="N230" i="785" s="1"/>
  <c r="M217" i="785"/>
  <c r="M224" i="785"/>
  <c r="M215" i="785"/>
  <c r="M229" i="785"/>
  <c r="N229" i="785" s="1"/>
  <c r="M208" i="785"/>
  <c r="M13" i="785"/>
  <c r="S103" i="630"/>
  <c r="S105" i="630"/>
  <c r="AD315" i="630"/>
  <c r="M322" i="785"/>
  <c r="N322" i="785" s="1"/>
  <c r="S322" i="785" s="1"/>
  <c r="M269" i="785"/>
  <c r="S269" i="785" s="1"/>
  <c r="M270" i="785"/>
  <c r="AE315" i="630"/>
  <c r="Q151" i="785"/>
  <c r="O13" i="630"/>
  <c r="P13" i="630" s="1"/>
  <c r="U13" i="630" s="1"/>
  <c r="M54" i="812"/>
  <c r="N54" i="812" s="1"/>
  <c r="S54" i="812" s="1"/>
  <c r="M249" i="785"/>
  <c r="N249" i="785" s="1"/>
  <c r="M53" i="812"/>
  <c r="N53" i="812" s="1"/>
  <c r="S53" i="812" s="1"/>
  <c r="M50" i="812"/>
  <c r="N50" i="812" s="1"/>
  <c r="S50" i="812" s="1"/>
  <c r="L104" i="630"/>
  <c r="M52" i="812"/>
  <c r="N52" i="812" s="1"/>
  <c r="F198" i="785"/>
  <c r="M48" i="812"/>
  <c r="N48" i="812" s="1"/>
  <c r="S48" i="812" s="1"/>
  <c r="M43" i="812"/>
  <c r="N43" i="812" s="1"/>
  <c r="M34" i="785"/>
  <c r="N34" i="785" s="1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3" i="785"/>
  <c r="M45" i="812"/>
  <c r="N45" i="812" s="1"/>
  <c r="S45" i="812" s="1"/>
  <c r="F197" i="785"/>
  <c r="M14" i="812"/>
  <c r="N14" i="812" s="1"/>
  <c r="S14" i="812" s="1"/>
  <c r="M46" i="812"/>
  <c r="N46" i="812" s="1"/>
  <c r="M47" i="812"/>
  <c r="N47" i="812" s="1"/>
  <c r="S47" i="812" s="1"/>
  <c r="F304" i="785"/>
  <c r="F62" i="812"/>
  <c r="M104" i="630"/>
  <c r="K196" i="785"/>
  <c r="L32" i="812"/>
  <c r="S257" i="785"/>
  <c r="M57" i="812"/>
  <c r="N57" i="812" s="1"/>
  <c r="S57" i="812" s="1"/>
  <c r="H264" i="630"/>
  <c r="BC336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8" i="785"/>
  <c r="M26" i="785"/>
  <c r="N26" i="785" s="1"/>
  <c r="S26" i="785" s="1"/>
  <c r="M79" i="785"/>
  <c r="N79" i="785" s="1"/>
  <c r="O15" i="630"/>
  <c r="P15" i="630" s="1"/>
  <c r="M170" i="785"/>
  <c r="N170" i="785" s="1"/>
  <c r="M187" i="785"/>
  <c r="M180" i="785"/>
  <c r="N180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89" i="785"/>
  <c r="N189" i="785" s="1"/>
  <c r="L266" i="630"/>
  <c r="J302" i="785"/>
  <c r="J304" i="785" s="1"/>
  <c r="M68" i="785"/>
  <c r="N68" i="785" s="1"/>
  <c r="J195" i="785"/>
  <c r="F20" i="812"/>
  <c r="J32" i="812"/>
  <c r="L264" i="630"/>
  <c r="I264" i="630"/>
  <c r="M77" i="785"/>
  <c r="N77" i="785" s="1"/>
  <c r="M265" i="785"/>
  <c r="M26" i="812"/>
  <c r="N26" i="812" s="1"/>
  <c r="S26" i="812" s="1"/>
  <c r="M275" i="785"/>
  <c r="N275" i="785" s="1"/>
  <c r="M96" i="785"/>
  <c r="N96" i="785" s="1"/>
  <c r="M40" i="785"/>
  <c r="N40" i="785" s="1"/>
  <c r="S40" i="785" s="1"/>
  <c r="M237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4" i="785"/>
  <c r="N174" i="785" s="1"/>
  <c r="M321" i="785"/>
  <c r="N321" i="785" s="1"/>
  <c r="S321" i="785" s="1"/>
  <c r="M83" i="785"/>
  <c r="N83" i="785" s="1"/>
  <c r="M328" i="785"/>
  <c r="N328" i="785" s="1"/>
  <c r="M193" i="785"/>
  <c r="H196" i="785"/>
  <c r="M175" i="785"/>
  <c r="N175" i="785" s="1"/>
  <c r="M117" i="785"/>
  <c r="N117" i="785" s="1"/>
  <c r="S117" i="785" s="1"/>
  <c r="M266" i="785"/>
  <c r="M55" i="785"/>
  <c r="N55" i="785" s="1"/>
  <c r="S55" i="785" s="1"/>
  <c r="M51" i="785"/>
  <c r="N51" i="785" s="1"/>
  <c r="M317" i="785"/>
  <c r="M59" i="785"/>
  <c r="N59" i="785" s="1"/>
  <c r="M62" i="785"/>
  <c r="N62" i="785" s="1"/>
  <c r="M33" i="785"/>
  <c r="N33" i="785" s="1"/>
  <c r="M88" i="785"/>
  <c r="N88" i="785" s="1"/>
  <c r="M253" i="785"/>
  <c r="N253" i="785" s="1"/>
  <c r="M20" i="785"/>
  <c r="N20" i="785" s="1"/>
  <c r="S20" i="785" s="1"/>
  <c r="M22" i="785"/>
  <c r="N22" i="785" s="1"/>
  <c r="M148" i="785"/>
  <c r="N148" i="785" s="1"/>
  <c r="O27" i="630"/>
  <c r="P27" i="630" s="1"/>
  <c r="M177" i="785"/>
  <c r="M17" i="785"/>
  <c r="N17" i="785" s="1"/>
  <c r="M44" i="785"/>
  <c r="N44" i="785" s="1"/>
  <c r="S44" i="785" s="1"/>
  <c r="O18" i="630"/>
  <c r="P18" i="630" s="1"/>
  <c r="M320" i="785"/>
  <c r="N320" i="785" s="1"/>
  <c r="O30" i="630"/>
  <c r="P30" i="630" s="1"/>
  <c r="M145" i="785"/>
  <c r="N145" i="785" s="1"/>
  <c r="S145" i="785" s="1"/>
  <c r="M235" i="785"/>
  <c r="M178" i="785"/>
  <c r="M295" i="785"/>
  <c r="N295" i="785" s="1"/>
  <c r="S295" i="785" s="1"/>
  <c r="M89" i="785"/>
  <c r="N89" i="785" s="1"/>
  <c r="O52" i="630"/>
  <c r="P52" i="630" s="1"/>
  <c r="M101" i="785"/>
  <c r="N101" i="785" s="1"/>
  <c r="S101" i="785" s="1"/>
  <c r="M329" i="785"/>
  <c r="N329" i="785" s="1"/>
  <c r="S329" i="785" s="1"/>
  <c r="M25" i="785"/>
  <c r="N25" i="785" s="1"/>
  <c r="M141" i="785"/>
  <c r="N141" i="785" s="1"/>
  <c r="S141" i="785" s="1"/>
  <c r="H195" i="785"/>
  <c r="M167" i="785"/>
  <c r="N167" i="785" s="1"/>
  <c r="M179" i="785"/>
  <c r="N179" i="785" s="1"/>
  <c r="O60" i="630"/>
  <c r="P60" i="630" s="1"/>
  <c r="M100" i="785"/>
  <c r="N100" i="785" s="1"/>
  <c r="S100" i="785" s="1"/>
  <c r="M176" i="785"/>
  <c r="N176" i="785" s="1"/>
  <c r="O58" i="630"/>
  <c r="P58" i="630" s="1"/>
  <c r="K302" i="785"/>
  <c r="K304" i="785" s="1"/>
  <c r="K333" i="785"/>
  <c r="K336" i="785" s="1"/>
  <c r="K337" i="785" s="1"/>
  <c r="K59" i="812"/>
  <c r="K62" i="812" s="1"/>
  <c r="K63" i="812" s="1"/>
  <c r="L333" i="785"/>
  <c r="L195" i="785"/>
  <c r="N105" i="630"/>
  <c r="I153" i="785"/>
  <c r="I269" i="630" s="1"/>
  <c r="I158" i="785"/>
  <c r="F291" i="785"/>
  <c r="F305" i="785" s="1"/>
  <c r="C302" i="630" s="1"/>
  <c r="J305" i="785"/>
  <c r="L103" i="630"/>
  <c r="I302" i="785"/>
  <c r="I304" i="785" s="1"/>
  <c r="I104" i="630"/>
  <c r="I195" i="785"/>
  <c r="I333" i="785"/>
  <c r="I32" i="812"/>
  <c r="M65" i="785"/>
  <c r="N65" i="785" s="1"/>
  <c r="I196" i="785"/>
  <c r="I305" i="785"/>
  <c r="J196" i="785"/>
  <c r="O29" i="630"/>
  <c r="P29" i="630" s="1"/>
  <c r="U29" i="630" s="1"/>
  <c r="M21" i="785"/>
  <c r="N21" i="785" s="1"/>
  <c r="O14" i="630"/>
  <c r="P14" i="630" s="1"/>
  <c r="U14" i="630" s="1"/>
  <c r="M188" i="785"/>
  <c r="N188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4" i="785"/>
  <c r="M330" i="785"/>
  <c r="N330" i="785" s="1"/>
  <c r="S330" i="785" s="1"/>
  <c r="M296" i="785"/>
  <c r="N296" i="785" s="1"/>
  <c r="O53" i="630"/>
  <c r="P53" i="630" s="1"/>
  <c r="M324" i="785"/>
  <c r="N324" i="785" s="1"/>
  <c r="S324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5" i="785"/>
  <c r="M130" i="785"/>
  <c r="N130" i="785" s="1"/>
  <c r="S130" i="785" s="1"/>
  <c r="O12" i="630"/>
  <c r="P12" i="630" s="1"/>
  <c r="U12" i="630" s="1"/>
  <c r="M256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0" i="785"/>
  <c r="M82" i="785"/>
  <c r="N82" i="785" s="1"/>
  <c r="S82" i="785" s="1"/>
  <c r="H32" i="812"/>
  <c r="O24" i="630"/>
  <c r="P24" i="630" s="1"/>
  <c r="U24" i="630" s="1"/>
  <c r="M42" i="785"/>
  <c r="N42" i="785" s="1"/>
  <c r="M298" i="785"/>
  <c r="N298" i="785" s="1"/>
  <c r="M80" i="785"/>
  <c r="N80" i="785" s="1"/>
  <c r="K281" i="785"/>
  <c r="K305" i="785"/>
  <c r="L59" i="812"/>
  <c r="L302" i="785"/>
  <c r="L304" i="785" s="1"/>
  <c r="L153" i="785"/>
  <c r="N269" i="630" s="1"/>
  <c r="O308" i="630"/>
  <c r="O297" i="630" s="1"/>
  <c r="J158" i="785"/>
  <c r="J153" i="785"/>
  <c r="L269" i="630" s="1"/>
  <c r="J335" i="785"/>
  <c r="F316" i="785"/>
  <c r="F335" i="785" s="1"/>
  <c r="F333" i="785" s="1"/>
  <c r="D304" i="630" s="1"/>
  <c r="I30" i="812"/>
  <c r="F264" i="630"/>
  <c r="L105" i="630"/>
  <c r="P260" i="630"/>
  <c r="S252" i="785"/>
  <c r="F63" i="785"/>
  <c r="I103" i="630"/>
  <c r="M259" i="785"/>
  <c r="M182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5" i="785"/>
  <c r="N325" i="785" s="1"/>
  <c r="S325" i="785" s="1"/>
  <c r="M181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6" i="785"/>
  <c r="M57" i="785"/>
  <c r="N57" i="785" s="1"/>
  <c r="M127" i="785"/>
  <c r="N127" i="785" s="1"/>
  <c r="S127" i="785" s="1"/>
  <c r="M255" i="785"/>
  <c r="M15" i="785"/>
  <c r="N15" i="785" s="1"/>
  <c r="M122" i="785"/>
  <c r="N122" i="785" s="1"/>
  <c r="S122" i="785" s="1"/>
  <c r="M30" i="785"/>
  <c r="N30" i="785" s="1"/>
  <c r="M299" i="785"/>
  <c r="N299" i="785" s="1"/>
  <c r="S299" i="785" s="1"/>
  <c r="M91" i="785"/>
  <c r="N91" i="785" s="1"/>
  <c r="S91" i="785" s="1"/>
  <c r="M98" i="785"/>
  <c r="N98" i="785" s="1"/>
  <c r="S98" i="785" s="1"/>
  <c r="O28" i="630"/>
  <c r="P28" i="630" s="1"/>
  <c r="M190" i="785"/>
  <c r="N190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6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5" i="785"/>
  <c r="N103" i="630"/>
  <c r="L281" i="785"/>
  <c r="L30" i="812"/>
  <c r="N104" i="630"/>
  <c r="T308" i="630"/>
  <c r="T307" i="630" s="1"/>
  <c r="J59" i="812"/>
  <c r="F213" i="785"/>
  <c r="L106" i="630"/>
  <c r="I106" i="630"/>
  <c r="I105" i="630"/>
  <c r="I59" i="812"/>
  <c r="J30" i="812"/>
  <c r="M74" i="785"/>
  <c r="N74" i="785" s="1"/>
  <c r="M251" i="785"/>
  <c r="M41" i="785"/>
  <c r="N41" i="785" s="1"/>
  <c r="S41" i="785" s="1"/>
  <c r="M300" i="785"/>
  <c r="N300" i="785" s="1"/>
  <c r="S300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7" i="785"/>
  <c r="N297" i="785" s="1"/>
  <c r="M84" i="785"/>
  <c r="N84" i="785" s="1"/>
  <c r="M186" i="785"/>
  <c r="H302" i="785"/>
  <c r="H304" i="785" s="1"/>
  <c r="M294" i="785"/>
  <c r="M263" i="785"/>
  <c r="O51" i="630"/>
  <c r="P51" i="630" s="1"/>
  <c r="M94" i="785"/>
  <c r="N94" i="785" s="1"/>
  <c r="S94" i="785" s="1"/>
  <c r="O38" i="630"/>
  <c r="P38" i="630" s="1"/>
  <c r="M185" i="785"/>
  <c r="M319" i="785"/>
  <c r="N319" i="785" s="1"/>
  <c r="S319" i="785" s="1"/>
  <c r="M17" i="812"/>
  <c r="N17" i="812" s="1"/>
  <c r="M23" i="812"/>
  <c r="N23" i="812" s="1"/>
  <c r="S23" i="812" s="1"/>
  <c r="H333" i="785"/>
  <c r="M49" i="785"/>
  <c r="N49" i="785" s="1"/>
  <c r="S49" i="785" s="1"/>
  <c r="O23" i="630"/>
  <c r="P23" i="630" s="1"/>
  <c r="U23" i="630" s="1"/>
  <c r="H62" i="812"/>
  <c r="H63" i="812"/>
  <c r="M318" i="785"/>
  <c r="N318" i="785" s="1"/>
  <c r="M25" i="812"/>
  <c r="N25" i="812" s="1"/>
  <c r="S25" i="812" s="1"/>
  <c r="O44" i="630"/>
  <c r="P44" i="630" s="1"/>
  <c r="M326" i="785"/>
  <c r="N326" i="785" s="1"/>
  <c r="S326" i="785" s="1"/>
  <c r="M191" i="785"/>
  <c r="N191" i="785" s="1"/>
  <c r="M61" i="785"/>
  <c r="N61" i="785" s="1"/>
  <c r="O40" i="630"/>
  <c r="P40" i="630" s="1"/>
  <c r="U40" i="630" s="1"/>
  <c r="M60" i="785"/>
  <c r="N60" i="785" s="1"/>
  <c r="M67" i="785"/>
  <c r="M258" i="785"/>
  <c r="N258" i="785" s="1"/>
  <c r="M105" i="785"/>
  <c r="N105" i="785" s="1"/>
  <c r="S105" i="785" s="1"/>
  <c r="M43" i="785"/>
  <c r="N43" i="785" s="1"/>
  <c r="M327" i="785"/>
  <c r="N327" i="785" s="1"/>
  <c r="S327" i="785" s="1"/>
  <c r="M75" i="785"/>
  <c r="N75" i="785" s="1"/>
  <c r="M192" i="785"/>
  <c r="M146" i="785"/>
  <c r="N146" i="785" s="1"/>
  <c r="S146" i="785" s="1"/>
  <c r="M261" i="785"/>
  <c r="N261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4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5" i="785"/>
  <c r="N264" i="630"/>
  <c r="L196" i="785"/>
  <c r="U119" i="630" l="1"/>
  <c r="R131" i="630"/>
  <c r="P320" i="785"/>
  <c r="S320" i="785"/>
  <c r="S246" i="785"/>
  <c r="F281" i="785"/>
  <c r="C300" i="630" s="1"/>
  <c r="N276" i="785"/>
  <c r="M279" i="785"/>
  <c r="J278" i="785"/>
  <c r="J280" i="785" s="1"/>
  <c r="N178" i="785"/>
  <c r="S178" i="785" s="1"/>
  <c r="N169" i="785"/>
  <c r="P170" i="785" s="1"/>
  <c r="N177" i="785"/>
  <c r="S177" i="785" s="1"/>
  <c r="N186" i="785"/>
  <c r="S186" i="785" s="1"/>
  <c r="N193" i="785"/>
  <c r="S193" i="785" s="1"/>
  <c r="N183" i="785"/>
  <c r="S183" i="785" s="1"/>
  <c r="N181" i="785"/>
  <c r="S181" i="785" s="1"/>
  <c r="N192" i="785"/>
  <c r="S192" i="785" s="1"/>
  <c r="S182" i="785"/>
  <c r="N182" i="785"/>
  <c r="N184" i="785"/>
  <c r="S184" i="785" s="1"/>
  <c r="N185" i="785"/>
  <c r="S185" i="785" s="1"/>
  <c r="N187" i="785"/>
  <c r="S187" i="785" s="1"/>
  <c r="N255" i="785"/>
  <c r="S255" i="785" s="1"/>
  <c r="N235" i="785"/>
  <c r="S235" i="785" s="1"/>
  <c r="N270" i="785"/>
  <c r="S270" i="785" s="1"/>
  <c r="N274" i="785"/>
  <c r="S274" i="785" s="1"/>
  <c r="N226" i="785"/>
  <c r="S226" i="785" s="1"/>
  <c r="N227" i="785"/>
  <c r="S227" i="785" s="1"/>
  <c r="S236" i="785"/>
  <c r="N236" i="785"/>
  <c r="N215" i="785"/>
  <c r="S215" i="785" s="1"/>
  <c r="N224" i="785"/>
  <c r="S224" i="785" s="1"/>
  <c r="N259" i="785"/>
  <c r="S259" i="785" s="1"/>
  <c r="N231" i="785"/>
  <c r="S216" i="785"/>
  <c r="N216" i="785"/>
  <c r="S265" i="785"/>
  <c r="N265" i="785"/>
  <c r="N251" i="785"/>
  <c r="N250" i="785"/>
  <c r="S250" i="785" s="1"/>
  <c r="N266" i="785"/>
  <c r="S266" i="785" s="1"/>
  <c r="N221" i="785"/>
  <c r="N263" i="785"/>
  <c r="S263" i="785" s="1"/>
  <c r="N256" i="785"/>
  <c r="S237" i="785"/>
  <c r="N237" i="785"/>
  <c r="N222" i="785"/>
  <c r="S222" i="785" s="1"/>
  <c r="I280" i="785"/>
  <c r="C296" i="630"/>
  <c r="P15" i="785"/>
  <c r="P17" i="785"/>
  <c r="S62" i="785"/>
  <c r="H315" i="630"/>
  <c r="O262" i="630"/>
  <c r="O261" i="630"/>
  <c r="O263" i="630"/>
  <c r="AG315" i="630"/>
  <c r="AG314" i="630" s="1"/>
  <c r="P169" i="785"/>
  <c r="R13" i="630"/>
  <c r="P19" i="785"/>
  <c r="S42" i="785"/>
  <c r="S179" i="785"/>
  <c r="S229" i="785"/>
  <c r="BI37" i="785"/>
  <c r="S64" i="785"/>
  <c r="H282" i="785"/>
  <c r="N266" i="630"/>
  <c r="H34" i="812"/>
  <c r="K306" i="785"/>
  <c r="L280" i="785"/>
  <c r="L306" i="785"/>
  <c r="S59" i="812"/>
  <c r="I306" i="785"/>
  <c r="J198" i="785"/>
  <c r="L34" i="812"/>
  <c r="H198" i="785"/>
  <c r="L198" i="785"/>
  <c r="I155" i="785"/>
  <c r="I157" i="785" s="1"/>
  <c r="I282" i="785"/>
  <c r="L282" i="785"/>
  <c r="L273" i="630"/>
  <c r="B308" i="630"/>
  <c r="B297" i="630" s="1"/>
  <c r="F308" i="630"/>
  <c r="F307" i="630" s="1"/>
  <c r="I273" i="630"/>
  <c r="I33" i="812"/>
  <c r="I197" i="785"/>
  <c r="S30" i="812"/>
  <c r="M270" i="630"/>
  <c r="M265" i="630"/>
  <c r="M266" i="630"/>
  <c r="N294" i="785"/>
  <c r="M302" i="785"/>
  <c r="P297" i="785"/>
  <c r="S297" i="785"/>
  <c r="N41" i="812"/>
  <c r="N59" i="812" s="1"/>
  <c r="M59" i="812"/>
  <c r="J63" i="812"/>
  <c r="J62" i="812"/>
  <c r="N271" i="630"/>
  <c r="F265" i="630"/>
  <c r="L63" i="812"/>
  <c r="L62" i="812"/>
  <c r="H33" i="812"/>
  <c r="S230" i="785"/>
  <c r="H273" i="630"/>
  <c r="P299" i="785"/>
  <c r="S296" i="785"/>
  <c r="J155" i="785"/>
  <c r="J272" i="630" s="1"/>
  <c r="L108" i="630"/>
  <c r="L268" i="630" s="1"/>
  <c r="N273" i="630"/>
  <c r="H197" i="785"/>
  <c r="M333" i="785"/>
  <c r="N317" i="785"/>
  <c r="P324" i="785" s="1"/>
  <c r="S328" i="785"/>
  <c r="P325" i="785"/>
  <c r="P104" i="630"/>
  <c r="O104" i="630"/>
  <c r="J33" i="812"/>
  <c r="J34" i="812" s="1"/>
  <c r="I270" i="630"/>
  <c r="L270" i="630" s="1"/>
  <c r="I266" i="630"/>
  <c r="I265" i="630"/>
  <c r="H271" i="630"/>
  <c r="S234" i="785"/>
  <c r="U56" i="630"/>
  <c r="S18" i="785"/>
  <c r="S153" i="785" s="1"/>
  <c r="S261" i="785"/>
  <c r="P326" i="785"/>
  <c r="S318" i="785"/>
  <c r="I63" i="812"/>
  <c r="I62" i="812"/>
  <c r="N107" i="630"/>
  <c r="N108" i="630"/>
  <c r="N36" i="785"/>
  <c r="P14" i="785" s="1"/>
  <c r="M152" i="785"/>
  <c r="H265" i="630"/>
  <c r="H266" i="630"/>
  <c r="H270" i="630"/>
  <c r="P264" i="630"/>
  <c r="F337" i="785"/>
  <c r="F336" i="785"/>
  <c r="K33" i="812"/>
  <c r="K282" i="785"/>
  <c r="H306" i="785"/>
  <c r="S173" i="785"/>
  <c r="S58" i="785"/>
  <c r="J306" i="785"/>
  <c r="N13" i="785"/>
  <c r="M157" i="785"/>
  <c r="M153" i="785"/>
  <c r="O269" i="630" s="1"/>
  <c r="P269" i="630" s="1"/>
  <c r="L197" i="785"/>
  <c r="N265" i="630"/>
  <c r="K155" i="785"/>
  <c r="N196" i="785"/>
  <c r="M196" i="785"/>
  <c r="F32" i="812"/>
  <c r="F30" i="812"/>
  <c r="J197" i="785"/>
  <c r="K198" i="785"/>
  <c r="K197" i="785"/>
  <c r="H155" i="785"/>
  <c r="H158" i="785" s="1"/>
  <c r="O103" i="630"/>
  <c r="U57" i="630"/>
  <c r="I108" i="630"/>
  <c r="I107" i="630"/>
  <c r="N12" i="812"/>
  <c r="M30" i="812"/>
  <c r="J333" i="785"/>
  <c r="J336" i="785" s="1"/>
  <c r="C304" i="630"/>
  <c r="N304" i="630" s="1"/>
  <c r="O299" i="630"/>
  <c r="L155" i="785"/>
  <c r="L158" i="785" s="1"/>
  <c r="L33" i="812"/>
  <c r="S218" i="785"/>
  <c r="H280" i="785"/>
  <c r="M281" i="785"/>
  <c r="S76" i="785"/>
  <c r="F306" i="785"/>
  <c r="M108" i="630"/>
  <c r="M273" i="630"/>
  <c r="N67" i="785"/>
  <c r="H336" i="785"/>
  <c r="H337" i="785"/>
  <c r="F106" i="630"/>
  <c r="C306" i="630" s="1"/>
  <c r="H107" i="630"/>
  <c r="H108" i="630"/>
  <c r="S331" i="785"/>
  <c r="I34" i="812"/>
  <c r="M271" i="630"/>
  <c r="P10" i="630"/>
  <c r="O105" i="630"/>
  <c r="S123" i="785"/>
  <c r="I198" i="785"/>
  <c r="I336" i="785"/>
  <c r="I337" i="785"/>
  <c r="L337" i="785"/>
  <c r="L336" i="785"/>
  <c r="M195" i="785"/>
  <c r="S59" i="785"/>
  <c r="S174" i="785"/>
  <c r="I271" i="630"/>
  <c r="P261" i="630"/>
  <c r="L265" i="630"/>
  <c r="L267" i="630" s="1"/>
  <c r="P233" i="785" l="1"/>
  <c r="N278" i="785"/>
  <c r="P207" i="785"/>
  <c r="N282" i="785"/>
  <c r="P234" i="785"/>
  <c r="P217" i="785"/>
  <c r="P23" i="785" s="1"/>
  <c r="M278" i="785"/>
  <c r="M282" i="785" s="1"/>
  <c r="N279" i="785"/>
  <c r="G315" i="630"/>
  <c r="A315" i="630"/>
  <c r="C315" i="630"/>
  <c r="S231" i="785"/>
  <c r="F278" i="785"/>
  <c r="D300" i="630" s="1"/>
  <c r="P171" i="785"/>
  <c r="S251" i="785"/>
  <c r="S221" i="785"/>
  <c r="S256" i="785"/>
  <c r="S241" i="785"/>
  <c r="D296" i="630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8" i="785"/>
  <c r="N268" i="630"/>
  <c r="L157" i="785"/>
  <c r="I268" i="630"/>
  <c r="AH315" i="630"/>
  <c r="M268" i="630"/>
  <c r="M197" i="785"/>
  <c r="S302" i="785"/>
  <c r="I272" i="630"/>
  <c r="L272" i="630" s="1"/>
  <c r="I267" i="630"/>
  <c r="H274" i="630"/>
  <c r="H267" i="630"/>
  <c r="J337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6" i="785"/>
  <c r="M304" i="785"/>
  <c r="M198" i="785"/>
  <c r="N296" i="630"/>
  <c r="P321" i="785"/>
  <c r="P333" i="785" s="1"/>
  <c r="N333" i="785"/>
  <c r="N300" i="630"/>
  <c r="P300" i="630" s="1"/>
  <c r="N302" i="785"/>
  <c r="N304" i="785" s="1"/>
  <c r="N306" i="785" s="1"/>
  <c r="T302" i="785" s="1"/>
  <c r="P298" i="785"/>
  <c r="P302" i="785" s="1"/>
  <c r="N302" i="630"/>
  <c r="N281" i="785"/>
  <c r="O108" i="630"/>
  <c r="O107" i="630"/>
  <c r="K158" i="785"/>
  <c r="K272" i="630"/>
  <c r="M272" i="630"/>
  <c r="M274" i="630" s="1"/>
  <c r="N267" i="630"/>
  <c r="M337" i="785"/>
  <c r="M336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5" i="785"/>
  <c r="N197" i="785" s="1"/>
  <c r="S167" i="785"/>
  <c r="S195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3" i="785"/>
  <c r="N62" i="812"/>
  <c r="N63" i="812"/>
  <c r="P246" i="785" l="1"/>
  <c r="P278" i="785" s="1"/>
  <c r="O271" i="630"/>
  <c r="P271" i="630" s="1"/>
  <c r="M280" i="785"/>
  <c r="S278" i="785"/>
  <c r="F280" i="785"/>
  <c r="F271" i="630"/>
  <c r="F282" i="785"/>
  <c r="P296" i="630"/>
  <c r="N308" i="630"/>
  <c r="N297" i="630" s="1"/>
  <c r="N280" i="785"/>
  <c r="P16" i="785"/>
  <c r="P151" i="785" s="1"/>
  <c r="F158" i="785"/>
  <c r="R265" i="630"/>
  <c r="L315" i="630"/>
  <c r="D316" i="630" s="1"/>
  <c r="F272" i="630"/>
  <c r="P25" i="785"/>
  <c r="R107" i="630"/>
  <c r="R105" i="630"/>
  <c r="P108" i="630"/>
  <c r="W103" i="630" s="1"/>
  <c r="P107" i="630"/>
  <c r="U103" i="630"/>
  <c r="P172" i="785"/>
  <c r="P195" i="785" s="1"/>
  <c r="T277" i="785"/>
  <c r="N337" i="785"/>
  <c r="N336" i="785"/>
  <c r="Q283" i="630"/>
  <c r="N155" i="785"/>
  <c r="F157" i="785"/>
  <c r="S155" i="785"/>
  <c r="Q282" i="630"/>
  <c r="P266" i="630"/>
  <c r="P265" i="630"/>
  <c r="U261" i="630"/>
  <c r="N198" i="785"/>
  <c r="O272" i="630"/>
  <c r="P272" i="630" s="1"/>
  <c r="M158" i="785"/>
  <c r="C308" i="630"/>
  <c r="C297" i="630" s="1"/>
  <c r="P281" i="785" l="1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0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7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7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8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6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8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9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0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1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4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<sst xmlns="http://schemas.openxmlformats.org/spreadsheetml/2006/main" count="6934" uniqueCount="2768">
  <si>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</si>
  <si>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</si>
  <si>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</si>
  <si>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</si>
  <si>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</si>
  <si>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</si>
  <si>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</si>
  <si>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</si>
  <si>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</si>
  <si>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</si>
  <si>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</si>
  <si>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</si>
  <si>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</si>
  <si>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</si>
  <si>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</si>
  <si>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</si>
  <si>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</si>
  <si>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</si>
  <si>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</si>
  <si>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</si>
  <si>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</si>
  <si>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</si>
  <si>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</si>
  <si>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</si>
  <si>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</si>
  <si>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</si>
  <si>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</si>
  <si>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</si>
  <si>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</si>
  <si>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</si>
  <si>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</si>
  <si>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</si>
  <si>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</si>
  <si>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</si>
  <si>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</si>
  <si>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</si>
  <si>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</si>
  <si>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</si>
  <si>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</si>
  <si>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</si>
  <si>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</si>
  <si>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</si>
  <si>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</si>
  <si>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</si>
  <si>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</si>
  <si>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</si>
  <si>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</si>
  <si>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</si>
  <si>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</si>
  <si>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</si>
  <si>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</si>
  <si>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</si>
  <si>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</si>
  <si>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</si>
  <si>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</si>
  <si>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</si>
  <si>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</si>
  <si>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</si>
  <si>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</si>
  <si>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</si>
  <si>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</si>
  <si>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</si>
  <si>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</si>
  <si>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</si>
  <si>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</si>
  <si>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</si>
  <si>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</si>
  <si>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</si>
  <si>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</si>
  <si>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</si>
  <si>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</si>
  <si>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</si>
  <si>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</si>
  <si>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</si>
  <si>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</si>
  <si>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</si>
  <si>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</si>
  <si>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</si>
  <si>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</si>
  <si>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</si>
  <si>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</si>
  <si>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</si>
  <si>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</si>
  <si>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</si>
  <si>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</si>
  <si>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</si>
  <si>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</si>
  <si>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</si>
  <si>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</si>
  <si>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</si>
  <si>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</si>
  <si>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</si>
  <si>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</si>
  <si>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</si>
  <si>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</si>
  <si>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</si>
  <si>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</si>
  <si>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</si>
  <si>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</si>
  <si>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</si>
  <si>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</si>
  <si>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</si>
  <si>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</si>
  <si>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</si>
  <si>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</si>
  <si>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</si>
  <si>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</si>
  <si>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</si>
  <si>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</si>
  <si>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</si>
  <si>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</si>
  <si>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</si>
  <si>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</si>
  <si>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</si>
  <si>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</si>
  <si>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</si>
  <si>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</si>
  <si>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</si>
  <si>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</si>
  <si>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</si>
  <si>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</si>
  <si>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</si>
  <si>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</si>
  <si>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</si>
  <si>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</si>
  <si>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</si>
  <si>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</si>
  <si>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</si>
  <si>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</si>
  <si>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</si>
  <si>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</si>
  <si>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</si>
  <si>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</si>
  <si>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</si>
  <si>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</si>
  <si>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</si>
  <si>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</si>
  <si>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</si>
  <si>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</si>
  <si>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</si>
  <si>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</si>
  <si>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</si>
  <si>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</si>
  <si>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</si>
  <si>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</si>
  <si>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</si>
  <si>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</si>
  <si>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</si>
  <si>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</si>
  <si>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</si>
  <si>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</si>
  <si>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</si>
  <si>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</si>
  <si>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</si>
  <si>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</si>
  <si>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</si>
  <si>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</si>
  <si>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</si>
  <si>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</si>
  <si>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</si>
  <si>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</si>
  <si>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</si>
  <si>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</si>
  <si>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</si>
  <si>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</si>
  <si>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</si>
  <si>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</si>
  <si>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</si>
  <si>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</si>
  <si>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</si>
  <si>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</si>
  <si>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</si>
  <si>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</si>
  <si>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</si>
  <si>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</si>
  <si>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</si>
  <si>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</si>
  <si>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</si>
  <si>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</si>
  <si>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</si>
  <si>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</si>
  <si>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</si>
  <si>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</si>
  <si>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</si>
  <si>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</si>
  <si>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</si>
  <si>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</si>
  <si>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</si>
  <si>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</si>
  <si>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</si>
  <si>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</si>
  <si>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</si>
  <si>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</si>
  <si>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</si>
  <si>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</si>
  <si>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</si>
  <si>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</si>
  <si>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</si>
  <si>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</si>
  <si>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</si>
  <si>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</si>
  <si>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</si>
  <si>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</si>
  <si>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</si>
  <si>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</si>
  <si>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</si>
  <si>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</si>
  <si>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</si>
  <si>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</si>
  <si>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</si>
  <si>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</si>
  <si>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</si>
  <si>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</si>
  <si>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</si>
  <si>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</si>
  <si>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</si>
  <si>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</si>
  <si>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</si>
  <si>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</si>
  <si>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</si>
  <si>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</si>
  <si>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</si>
  <si>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</si>
  <si>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</si>
  <si>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</si>
  <si>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</si>
  <si>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</si>
  <si>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</si>
  <si>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</si>
  <si>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</si>
  <si>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</si>
  <si>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</si>
  <si>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</si>
  <si>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</si>
  <si>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</si>
  <si>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</si>
  <si>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</si>
  <si>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</si>
  <si>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</si>
  <si>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</si>
  <si>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</si>
  <si>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</si>
  <si>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</si>
  <si>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</si>
  <si>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</si>
  <si>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</si>
  <si>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</si>
  <si>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</si>
  <si>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</si>
  <si>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</si>
  <si>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</si>
  <si>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</si>
  <si>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</si>
  <si>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</si>
  <si>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</si>
  <si>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</si>
  <si>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</si>
  <si>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</si>
  <si>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</si>
  <si>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</si>
  <si>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</si>
  <si>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</si>
  <si>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</si>
  <si>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</si>
  <si>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</si>
  <si>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</si>
  <si>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</si>
  <si>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</si>
  <si>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</si>
  <si>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</si>
  <si>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</si>
  <si>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</si>
  <si>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</si>
  <si>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</si>
  <si>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</si>
  <si>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</si>
  <si>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</si>
  <si>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</si>
  <si>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</si>
  <si>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</si>
  <si>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</si>
  <si>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</si>
  <si>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</si>
  <si>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</si>
  <si>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</si>
  <si>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</si>
  <si>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</si>
  <si>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</si>
  <si>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</si>
  <si>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</si>
  <si>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</si>
  <si>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</si>
  <si>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</si>
  <si>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</si>
  <si>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</si>
  <si>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</si>
  <si>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</si>
  <si>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</si>
  <si>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</si>
  <si>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</si>
  <si>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</si>
  <si>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</si>
  <si>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</si>
  <si>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</si>
  <si>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</si>
  <si>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</si>
  <si>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</si>
  <si>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</si>
  <si>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</si>
  <si>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</si>
  <si>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</si>
  <si>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</si>
  <si>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</si>
  <si>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</si>
  <si>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</si>
  <si>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</si>
  <si>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</si>
  <si>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</si>
  <si>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</si>
  <si>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</si>
  <si>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</si>
  <si>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</si>
  <si>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</si>
  <si>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</si>
  <si>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</si>
  <si>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</si>
  <si>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</si>
  <si>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</si>
  <si>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</si>
  <si>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</si>
  <si>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</si>
  <si>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</si>
  <si>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</si>
  <si>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</si>
  <si>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</si>
  <si>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</si>
  <si>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</si>
  <si>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</si>
  <si>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</si>
  <si>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</si>
  <si>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</si>
  <si>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</si>
  <si>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</si>
  <si>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</si>
  <si>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</si>
  <si>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</si>
  <si>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</si>
  <si>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</si>
  <si>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</si>
  <si>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</si>
  <si>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</si>
  <si>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</si>
  <si>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</si>
  <si>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</si>
  <si>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</si>
  <si>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</si>
  <si>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</si>
  <si>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</si>
  <si>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</si>
  <si>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</si>
  <si>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</si>
  <si>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</si>
  <si>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</si>
  <si>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</si>
  <si>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</si>
  <si>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</si>
  <si>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</si>
  <si>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</si>
  <si>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</si>
  <si>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</si>
  <si>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</si>
  <si>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</si>
  <si>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</si>
  <si>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</si>
  <si>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</si>
  <si>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</si>
  <si>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</si>
  <si>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</si>
  <si>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</si>
  <si>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</si>
  <si>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</si>
  <si>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</si>
  <si>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</si>
  <si>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</si>
  <si>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</si>
  <si>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</si>
  <si>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</si>
  <si>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</si>
  <si>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</si>
  <si>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</si>
  <si>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</si>
  <si>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</si>
  <si>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</si>
  <si>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</si>
  <si>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</si>
  <si>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</si>
  <si>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</si>
  <si>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</si>
  <si>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</si>
  <si>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</si>
  <si>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</si>
  <si>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</si>
  <si>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</si>
  <si>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</si>
  <si>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</si>
  <si>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</si>
  <si>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</si>
  <si>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</si>
  <si>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</si>
  <si>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</si>
  <si>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</si>
  <si>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</si>
  <si>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</si>
  <si>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</si>
  <si>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</si>
  <si>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</si>
  <si>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</si>
  <si>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</si>
  <si>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</si>
  <si>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</si>
  <si>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</si>
  <si>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</si>
  <si>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</si>
  <si>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</si>
  <si>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</si>
  <si>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</si>
  <si>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</si>
  <si>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</si>
  <si>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</si>
  <si>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</si>
  <si>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</si>
  <si>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</si>
  <si>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</si>
  <si>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</si>
  <si>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</si>
  <si>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</si>
  <si>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</si>
  <si>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</si>
  <si>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</si>
  <si>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</si>
  <si>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</si>
  <si>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</si>
  <si>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</si>
  <si>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</si>
  <si>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</si>
  <si>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</si>
  <si>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</si>
  <si>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</si>
  <si>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</si>
  <si>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</si>
  <si>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</si>
  <si>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</si>
  <si>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</si>
  <si>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</si>
  <si>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</si>
  <si>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</si>
  <si>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</si>
  <si>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</si>
  <si>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</si>
  <si>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</si>
  <si>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</si>
  <si>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</si>
  <si>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</si>
  <si>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</si>
  <si>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</si>
  <si>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</si>
  <si>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</si>
  <si>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</si>
  <si>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</si>
  <si>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</si>
  <si>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</si>
  <si>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</si>
  <si>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</si>
  <si>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</si>
  <si>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</si>
  <si>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</si>
  <si>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12/05/2026</t>
  </si>
  <si>
    <t>SALES (BÁN HÀNG) đến ngày 12/05/2026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</si>
  <si>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</si>
  <si>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</si>
  <si>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</si>
  <si>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</si>
  <si>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</si>
  <si>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</si>
  <si>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</si>
  <si>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</si>
  <si>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</si>
  <si>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</si>
  <si>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</si>
  <si>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</si>
  <si>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</si>
  <si>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</si>
  <si>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</si>
  <si>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</si>
  <si>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</si>
  <si>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</si>
  <si>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</si>
  <si>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</si>
  <si>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</si>
  <si>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</si>
  <si>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</si>
  <si>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</si>
  <si>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</si>
  <si>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</si>
  <si>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</si>
  <si>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</si>
  <si>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</si>
  <si>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</si>
  <si>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</si>
  <si>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</si>
  <si>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</si>
  <si>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</si>
  <si>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</si>
  <si>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</si>
  <si>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</si>
  <si>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</si>
  <si>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</si>
  <si>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</si>
  <si>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</si>
  <si>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</si>
  <si>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</si>
  <si>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</si>
  <si>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</si>
  <si>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</si>
  <si>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</si>
  <si>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</si>
  <si>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</si>
  <si>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</si>
  <si>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</si>
  <si>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</si>
  <si>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</si>
  <si>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</si>
  <si>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</si>
  <si>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</si>
  <si>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</si>
  <si>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</si>
  <si>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</si>
  <si>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</si>
  <si>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</si>
  <si>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</si>
  <si>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</si>
  <si>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</si>
  <si>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</si>
  <si>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</si>
  <si>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</si>
  <si>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</si>
  <si>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</si>
  <si>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</si>
  <si>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</si>
  <si>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</si>
  <si>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</si>
  <si>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</si>
  <si>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</si>
  <si>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</si>
  <si>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</si>
  <si>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</si>
  <si>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</si>
  <si>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</si>
  <si>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</si>
  <si>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</si>
  <si>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</si>
  <si>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</si>
  <si>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</si>
  <si>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</si>
  <si>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</si>
  <si>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</si>
  <si>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</si>
  <si>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</si>
  <si>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</si>
  <si>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</si>
  <si>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</si>
  <si>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</si>
  <si>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</si>
  <si>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</si>
  <si>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</si>
  <si>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</si>
  <si>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</si>
  <si>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</si>
  <si>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</si>
  <si>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</si>
  <si>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</si>
  <si>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</si>
  <si>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</si>
  <si>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</si>
  <si>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</si>
  <si>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</si>
  <si>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</si>
  <si>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</si>
  <si>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</si>
  <si>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</si>
  <si>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</si>
  <si>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</si>
  <si>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</si>
  <si>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</si>
  <si>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</si>
  <si>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</si>
  <si>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</si>
  <si>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</si>
  <si>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</si>
  <si>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</si>
  <si>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</si>
  <si>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</si>
  <si>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</si>
  <si>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</si>
  <si>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</si>
  <si>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</si>
  <si>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</si>
  <si>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</si>
  <si>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</si>
  <si>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</si>
  <si>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</si>
  <si>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</si>
  <si>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</si>
  <si>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</si>
  <si>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</si>
  <si>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</si>
  <si>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</si>
  <si>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</si>
  <si>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</si>
  <si>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</si>
  <si>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</si>
  <si>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</si>
  <si>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</si>
  <si>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</si>
  <si>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</si>
  <si>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</si>
  <si>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</si>
  <si>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</si>
  <si>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</si>
  <si>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</si>
  <si>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</si>
  <si>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</si>
  <si>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</si>
  <si>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</si>
  <si>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</si>
  <si>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</si>
  <si>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</si>
  <si>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</si>
  <si>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</si>
  <si>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</si>
  <si>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</si>
  <si>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</si>
  <si>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</si>
  <si>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</si>
  <si>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</si>
  <si>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</si>
  <si>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</si>
  <si>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</si>
  <si>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</si>
  <si>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</si>
  <si>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</si>
  <si>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</si>
  <si>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</si>
  <si>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</si>
  <si>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</si>
  <si>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</si>
  <si>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</si>
  <si>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</si>
  <si>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</si>
  <si>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</si>
  <si>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</si>
  <si>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</si>
  <si>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</si>
  <si>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</si>
  <si>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</si>
  <si>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</si>
  <si>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</si>
  <si>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</si>
  <si>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</si>
  <si>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</si>
  <si>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</si>
  <si>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</si>
  <si>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</si>
  <si>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</si>
  <si>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</si>
  <si>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</si>
  <si>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</si>
  <si>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</si>
  <si>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</si>
  <si>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</si>
  <si>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</si>
  <si>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</si>
  <si>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</si>
  <si>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</si>
  <si>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</si>
  <si>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</si>
  <si>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</si>
  <si>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</si>
  <si>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</si>
  <si>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</si>
  <si>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</si>
  <si>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</si>
  <si>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</si>
  <si>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</si>
  <si>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</si>
  <si>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</si>
  <si>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</si>
  <si>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</si>
  <si>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</si>
  <si>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</si>
  <si>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</si>
  <si>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</si>
  <si>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</si>
  <si>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</si>
  <si>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</si>
  <si>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</si>
  <si>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</si>
  <si>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</si>
  <si>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</si>
  <si>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</si>
  <si>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</si>
  <si>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</si>
  <si>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</si>
  <si>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</si>
  <si>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</si>
  <si>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</si>
  <si>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</si>
  <si>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</si>
  <si>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</si>
  <si>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</si>
  <si>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</si>
  <si>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</si>
  <si>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</si>
  <si>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</si>
  <si>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</si>
  <si>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</si>
  <si>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</si>
  <si>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</si>
  <si>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</si>
  <si>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</si>
  <si>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</si>
  <si>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</si>
  <si>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</si>
  <si>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</si>
  <si>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</si>
  <si>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</si>
  <si>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</si>
  <si>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</si>
  <si>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</si>
  <si>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</si>
  <si>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</si>
  <si>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</si>
  <si>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</si>
  <si>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</si>
  <si>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</si>
  <si>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</si>
  <si>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</si>
  <si>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</si>
  <si>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</si>
  <si>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</si>
  <si>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</si>
  <si>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</si>
  <si>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</si>
  <si>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</si>
  <si>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</si>
  <si>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</si>
  <si>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</si>
  <si>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</si>
  <si>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</si>
  <si>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</si>
  <si>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</si>
  <si>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</si>
  <si>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</si>
  <si>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</si>
  <si>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</si>
  <si>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</si>
  <si>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</si>
  <si>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</si>
  <si>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</si>
  <si>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</si>
  <si>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</si>
  <si>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</si>
  <si>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</si>
  <si>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</si>
  <si>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</si>
  <si>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</si>
  <si>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</si>
  <si>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</si>
  <si>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</si>
  <si>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</si>
  <si>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</si>
  <si>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</si>
  <si>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</si>
  <si>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</si>
  <si>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</si>
  <si>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</si>
  <si>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</si>
  <si>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</si>
  <si>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</si>
  <si>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</si>
  <si>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</si>
  <si>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</si>
  <si>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</si>
  <si>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</si>
  <si>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</si>
  <si>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</si>
  <si>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</si>
  <si>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</si>
  <si>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</si>
  <si>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</si>
  <si>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</si>
  <si>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</si>
  <si>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</si>
  <si>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</si>
  <si>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</si>
  <si>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</si>
  <si>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</si>
  <si>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</si>
  <si>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</si>
  <si>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</si>
  <si>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</si>
  <si>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</si>
  <si>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</si>
  <si>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</si>
  <si>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</si>
  <si>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</si>
  <si>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</si>
  <si>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</si>
  <si>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</si>
  <si>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</si>
  <si>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</si>
  <si>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</si>
  <si>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</si>
  <si>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</si>
  <si>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</si>
  <si>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</si>
  <si>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</si>
  <si>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</si>
  <si>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</si>
  <si>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</si>
  <si>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</si>
  <si>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</si>
  <si>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</si>
  <si>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</si>
  <si>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</si>
  <si>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</si>
  <si>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</si>
  <si>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</si>
  <si>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</si>
  <si>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</si>
  <si>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</si>
  <si>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</si>
  <si>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</si>
  <si>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</si>
  <si>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</si>
  <si>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</si>
  <si>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</si>
  <si>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</si>
  <si>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</si>
  <si>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</si>
  <si>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</si>
  <si>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</si>
  <si>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</si>
  <si>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</si>
  <si>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</si>
  <si>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</si>
  <si>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</si>
  <si>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</si>
  <si>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</si>
  <si>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</si>
  <si>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</si>
  <si>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</si>
  <si>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</si>
  <si>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</si>
  <si>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</si>
  <si>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</si>
  <si>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</si>
  <si>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</si>
  <si>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</si>
  <si>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</si>
  <si>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</si>
  <si>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</si>
  <si>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</si>
  <si>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</si>
  <si>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</si>
  <si>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</si>
  <si>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</si>
  <si>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</si>
  <si>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</si>
  <si>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</si>
  <si>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</si>
  <si>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</si>
  <si>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</si>
  <si>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</si>
  <si>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</si>
  <si>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</si>
  <si>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</si>
  <si>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</si>
  <si>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</si>
  <si>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</si>
  <si>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</si>
  <si>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</si>
  <si>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</si>
  <si>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</si>
  <si>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</si>
  <si>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</si>
  <si>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</si>
  <si>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</si>
  <si>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</si>
  <si>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</si>
  <si>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</si>
  <si>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</si>
  <si>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</si>
  <si>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</si>
  <si>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</si>
  <si>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</si>
  <si>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</si>
  <si>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</si>
  <si>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</si>
  <si>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</si>
  <si>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</si>
  <si>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</si>
  <si>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</si>
  <si>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</si>
  <si>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</si>
  <si>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</si>
  <si>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</si>
  <si>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</si>
  <si>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</si>
  <si>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</si>
  <si>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</si>
  <si>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</si>
  <si>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</si>
  <si>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</si>
  <si>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</si>
  <si>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</si>
  <si>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</si>
  <si>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</si>
  <si>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</si>
  <si>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</si>
  <si>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</si>
  <si>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</si>
  <si>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</si>
  <si>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</si>
  <si>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</si>
  <si>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</si>
  <si>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</si>
  <si>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</si>
  <si>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</si>
  <si>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</si>
  <si>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</si>
  <si>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</si>
  <si>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</si>
  <si>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</si>
  <si>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</si>
  <si>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</si>
  <si>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</si>
  <si>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</si>
  <si>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</si>
  <si>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</si>
  <si>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</si>
  <si>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</si>
  <si>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</si>
  <si>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</si>
  <si>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</si>
  <si>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</si>
  <si>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</si>
  <si>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</si>
  <si>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</si>
  <si>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</si>
  <si>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</si>
  <si>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</si>
  <si>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</si>
  <si>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</si>
  <si>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</si>
  <si>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</si>
  <si>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</si>
  <si>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</si>
  <si>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</si>
  <si>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</si>
  <si>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</si>
  <si>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</si>
  <si>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</si>
  <si>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</si>
  <si>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</si>
  <si>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</si>
  <si>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</si>
  <si>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</si>
  <si>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</si>
  <si>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</si>
  <si>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</si>
  <si>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</si>
  <si>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</si>
  <si>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</si>
  <si>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</si>
  <si>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</si>
  <si>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</si>
  <si>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</si>
  <si>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</si>
  <si>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</si>
  <si>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</si>
  <si>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</si>
  <si>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</si>
  <si>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</si>
  <si>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</si>
  <si>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</si>
  <si>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</si>
  <si>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</si>
  <si>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</si>
  <si>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</si>
  <si>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</si>
  <si>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</si>
  <si>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</si>
  <si>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</si>
  <si>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</si>
  <si>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</si>
  <si>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</si>
  <si>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</si>
  <si>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</si>
  <si>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</si>
  <si>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</si>
  <si>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</si>
  <si>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</si>
  <si>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</si>
  <si>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</si>
  <si>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</si>
  <si>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</si>
  <si>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</si>
  <si>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</si>
  <si>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</si>
  <si>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</si>
  <si>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</si>
  <si>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</si>
  <si>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</si>
  <si>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</si>
  <si>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</si>
  <si>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</si>
  <si>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</si>
  <si>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</si>
  <si>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</si>
  <si>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</si>
  <si>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</si>
  <si>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</si>
  <si>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</si>
  <si>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</si>
  <si>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</si>
  <si>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</si>
  <si>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</si>
  <si>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</si>
  <si>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</si>
  <si>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</si>
  <si>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</si>
  <si>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</si>
  <si>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</si>
  <si>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</si>
  <si>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</si>
  <si>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</si>
  <si>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</si>
  <si>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</si>
  <si>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</si>
  <si>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</si>
  <si>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</si>
  <si>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</si>
  <si>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</si>
  <si>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</si>
  <si>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</si>
  <si>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</si>
  <si>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</si>
  <si>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</si>
  <si>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</si>
  <si>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</si>
  <si>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</si>
  <si>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</si>
  <si>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</si>
  <si>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</si>
  <si>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</si>
  <si>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</si>
  <si>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</si>
  <si>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</si>
  <si>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</si>
  <si>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</si>
  <si>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</si>
  <si>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</si>
  <si>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</si>
  <si>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</si>
  <si>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</si>
  <si>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</si>
  <si>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</si>
  <si>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</si>
  <si>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</si>
  <si>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</si>
  <si>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</si>
  <si>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</si>
  <si>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</si>
  <si>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</si>
  <si>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</si>
  <si>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</si>
  <si>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</si>
  <si>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</si>
  <si>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</si>
  <si>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</si>
  <si>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</si>
  <si>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</si>
  <si>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</si>
  <si>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</si>
  <si>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</si>
  <si>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</si>
  <si>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</si>
  <si>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</si>
  <si>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</si>
  <si>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</si>
  <si>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</si>
  <si>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</si>
  <si>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</si>
  <si>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</si>
  <si>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</si>
  <si>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</si>
  <si>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</si>
  <si>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</si>
  <si>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</si>
  <si>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</si>
  <si>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</si>
  <si>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</si>
  <si>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</si>
  <si>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</si>
  <si>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</si>
  <si>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</si>
  <si>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</si>
  <si>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</si>
  <si>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</si>
  <si>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</si>
  <si>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</si>
  <si>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</si>
  <si>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</si>
  <si>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</si>
  <si>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</si>
  <si>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</si>
  <si>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</si>
  <si>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</si>
  <si>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</si>
  <si>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</si>
  <si>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</si>
  <si>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</si>
  <si>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</si>
  <si>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</si>
  <si>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</si>
  <si>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</si>
  <si>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</si>
  <si>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</si>
  <si>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</si>
  <si>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</si>
  <si>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</si>
  <si>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</si>
  <si>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</si>
  <si>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</si>
  <si>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</si>
  <si>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</si>
  <si>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</si>
  <si>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</si>
  <si>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</si>
  <si>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</si>
  <si>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</si>
  <si>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</si>
  <si>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</si>
  <si>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</si>
  <si>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</si>
  <si>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</si>
  <si>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</si>
  <si>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</si>
  <si>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</si>
  <si>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</si>
  <si>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</si>
  <si>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</si>
  <si>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</si>
  <si>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</si>
  <si>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</si>
  <si>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</si>
  <si>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</si>
  <si>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</si>
  <si>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</si>
  <si>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</si>
  <si>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</si>
  <si>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</si>
  <si>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</si>
  <si>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</si>
  <si>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</si>
  <si>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</si>
  <si>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</si>
  <si>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</si>
  <si>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</si>
  <si>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</si>
  <si>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</si>
  <si>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</si>
  <si>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</si>
  <si>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</si>
  <si>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</si>
  <si>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</si>
  <si>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</si>
  <si>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</si>
  <si>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</si>
  <si>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</si>
  <si>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</si>
  <si>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</si>
  <si>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</si>
  <si>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</si>
  <si>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</si>
  <si>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</si>
  <si>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</si>
  <si>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</si>
  <si>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</si>
  <si>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</si>
  <si>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</si>
  <si>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</si>
  <si>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</si>
  <si>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</si>
  <si>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</si>
  <si>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</si>
  <si>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</si>
  <si>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</si>
  <si>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</si>
  <si>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</si>
  <si>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</si>
  <si>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</si>
  <si>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</si>
  <si>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</si>
  <si>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</si>
  <si>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</si>
  <si>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</si>
  <si>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</si>
  <si>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</si>
  <si>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</si>
  <si>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</si>
  <si>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</si>
  <si>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</si>
  <si>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</si>
  <si>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</si>
  <si>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</si>
  <si>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</si>
  <si>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</si>
  <si>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</si>
  <si>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</si>
  <si>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</si>
  <si>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</si>
  <si>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</si>
  <si>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</si>
  <si>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</si>
  <si>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</si>
  <si>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</si>
  <si>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</si>
  <si>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</si>
  <si>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</si>
  <si>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</si>
  <si>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</si>
  <si>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</si>
  <si>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</si>
  <si>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</si>
  <si>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</si>
  <si>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</si>
  <si>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</si>
  <si>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</si>
  <si>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</si>
  <si>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</si>
  <si>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</si>
  <si>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</si>
  <si>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</si>
  <si>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</si>
  <si>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</si>
  <si>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</si>
  <si>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</si>
  <si>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</si>
  <si>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</si>
  <si>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</si>
  <si>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</si>
  <si>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</si>
  <si>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</si>
  <si>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</si>
  <si>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</si>
  <si>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</si>
  <si>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</si>
  <si>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</si>
  <si>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</si>
  <si>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</si>
  <si>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</si>
  <si>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</si>
  <si>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</si>
  <si>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</si>
  <si>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</si>
  <si>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</si>
  <si>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</si>
  <si>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</si>
  <si>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</si>
  <si>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</si>
  <si>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</si>
  <si>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</si>
  <si>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</si>
  <si>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</si>
  <si>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</si>
  <si>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</si>
  <si>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</si>
  <si>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</si>
  <si>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</si>
  <si>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</si>
  <si>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</si>
  <si>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</si>
  <si>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</si>
  <si>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</si>
  <si>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</si>
  <si>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</si>
  <si>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</si>
  <si>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</si>
  <si>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</si>
  <si>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</si>
  <si>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</si>
  <si>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</si>
  <si>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</si>
  <si>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</si>
  <si>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</si>
  <si>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</si>
  <si>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</si>
  <si>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</si>
  <si>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</si>
  <si>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</si>
  <si>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</si>
  <si>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</si>
  <si>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</si>
  <si>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</si>
  <si>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</si>
  <si>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</si>
  <si>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</si>
  <si>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</si>
  <si>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</si>
  <si>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</si>
  <si>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</si>
  <si>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</si>
  <si>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</si>
  <si>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</si>
  <si>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</si>
  <si>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</si>
  <si>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</si>
  <si>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</si>
  <si>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</si>
  <si>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</si>
  <si>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</si>
  <si>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</si>
  <si>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</si>
  <si>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</si>
  <si>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</si>
  <si>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</si>
  <si>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</si>
  <si>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</si>
  <si>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</si>
  <si>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</si>
  <si>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</si>
  <si>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</si>
  <si>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</si>
  <si>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</si>
  <si>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</si>
  <si>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</si>
  <si>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</si>
  <si>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</si>
  <si>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</si>
  <si>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</si>
  <si>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</si>
  <si>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</si>
  <si>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</si>
  <si>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</si>
  <si>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</si>
  <si>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</si>
  <si>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</si>
  <si>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</si>
  <si>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</si>
  <si>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</si>
  <si>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</si>
  <si>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</si>
  <si>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</si>
  <si>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</si>
  <si>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</si>
  <si>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</si>
  <si>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</si>
  <si>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</si>
  <si>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</si>
  <si>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</si>
  <si>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</si>
  <si>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</si>
  <si>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</si>
  <si>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</si>
  <si>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</si>
  <si>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</si>
  <si>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</si>
  <si>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</si>
  <si>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</si>
  <si>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</si>
  <si>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</si>
  <si>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</si>
  <si>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</si>
  <si>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</si>
  <si>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</si>
  <si>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</si>
  <si>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</si>
  <si>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</si>
  <si>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</si>
  <si>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</si>
  <si>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</si>
  <si>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</si>
  <si>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</si>
  <si>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</si>
  <si>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</si>
  <si>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</si>
  <si>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</si>
  <si>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</si>
  <si>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</si>
  <si>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</si>
  <si>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</si>
  <si>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</si>
  <si>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</si>
  <si>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</si>
  <si>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</si>
  <si>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</si>
  <si>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</si>
  <si>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</si>
  <si>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</si>
  <si>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</si>
  <si>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</si>
  <si>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</si>
  <si>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</si>
  <si>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</si>
  <si>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</si>
  <si>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</si>
  <si>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</si>
  <si>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</si>
  <si>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</si>
  <si>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</si>
  <si>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</si>
  <si>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</si>
  <si>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</si>
  <si>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</si>
  <si>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</si>
  <si>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</si>
  <si>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</si>
  <si>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</si>
  <si>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</si>
  <si>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</si>
  <si>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</si>
  <si>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</si>
  <si>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</si>
  <si>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</si>
  <si>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</si>
  <si>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</si>
  <si>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</si>
  <si>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</si>
  <si>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</si>
  <si>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</si>
  <si>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</si>
  <si>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</si>
  <si>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</si>
  <si>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</si>
  <si>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</si>
  <si>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</si>
  <si>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</si>
  <si>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</si>
  <si>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</si>
  <si>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</si>
  <si>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</si>
  <si>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</si>
  <si>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</si>
  <si>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</si>
  <si>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</si>
  <si>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</si>
  <si>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</si>
  <si>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</si>
  <si>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</si>
  <si>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</si>
  <si>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</si>
  <si>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</si>
  <si>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</si>
  <si>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</si>
  <si>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</si>
  <si>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</si>
  <si>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</si>
  <si>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</si>
  <si>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</si>
  <si>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</si>
  <si>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</si>
  <si>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</si>
  <si>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</si>
  <si>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</si>
  <si>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</si>
  <si>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</si>
  <si>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</si>
  <si>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</si>
  <si>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</si>
  <si>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</si>
  <si>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</si>
  <si>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</si>
  <si>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</si>
  <si>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</si>
  <si>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</si>
  <si>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</si>
  <si>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</si>
  <si>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</si>
  <si>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</si>
  <si>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</si>
  <si>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</si>
  <si>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</si>
  <si>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</si>
  <si>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</si>
  <si>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</si>
  <si>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</si>
  <si>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</si>
  <si>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</si>
  <si>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</si>
  <si>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</si>
  <si>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</si>
  <si>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</si>
  <si>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</si>
  <si>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</si>
  <si>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</si>
  <si>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</si>
  <si>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</si>
  <si>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</si>
  <si>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</si>
  <si>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</si>
  <si>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</si>
  <si>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</si>
  <si>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</si>
  <si>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</si>
  <si>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</si>
  <si>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</si>
  <si>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</si>
  <si>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</si>
  <si>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</si>
  <si>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</si>
  <si>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</si>
  <si>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</si>
  <si>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</si>
  <si>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</si>
  <si>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</si>
  <si>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</si>
  <si>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</si>
  <si>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</si>
  <si>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</si>
  <si>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</si>
  <si>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</si>
  <si>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</si>
  <si>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</si>
  <si>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</si>
  <si>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</si>
  <si>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</si>
  <si>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</si>
  <si>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</si>
  <si>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</si>
  <si>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</si>
  <si>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</si>
  <si>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</si>
  <si>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</si>
  <si>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</si>
  <si>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</si>
  <si>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</si>
  <si>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</si>
  <si>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</si>
  <si>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</si>
  <si>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</si>
  <si>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</si>
  <si>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</si>
  <si>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</si>
  <si>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</si>
  <si>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</si>
  <si>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</si>
  <si>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</si>
  <si>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</si>
  <si>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</si>
  <si>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</si>
  <si>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</si>
  <si>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</si>
  <si>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</si>
  <si>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</si>
  <si>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</si>
  <si>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</si>
  <si>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</si>
  <si>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</si>
  <si>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</si>
  <si>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</si>
  <si>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</si>
  <si>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</si>
  <si>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</si>
  <si>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</si>
  <si>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</si>
  <si>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</si>
  <si>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</si>
  <si>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</si>
  <si>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</si>
  <si>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</si>
  <si>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</si>
  <si>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</si>
  <si>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</si>
  <si>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</si>
  <si>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</si>
  <si>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</si>
  <si>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</si>
  <si>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</si>
  <si>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</si>
  <si>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</si>
  <si>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</si>
  <si>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</si>
  <si>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</si>
  <si>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</si>
  <si>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</si>
  <si>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</si>
  <si>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</si>
  <si>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</si>
  <si>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</si>
  <si>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</si>
  <si>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</si>
  <si>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</si>
  <si>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</si>
  <si>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</si>
  <si>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</si>
  <si>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</si>
  <si>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</si>
  <si>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</si>
  <si>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</si>
  <si>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</si>
  <si>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</si>
  <si>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</si>
  <si>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</si>
  <si>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</si>
  <si>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</si>
  <si>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</si>
  <si>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</si>
  <si>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</si>
  <si>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</si>
  <si>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</si>
  <si>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</si>
  <si>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</si>
  <si>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</si>
  <si>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</si>
  <si>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</si>
  <si>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</si>
  <si>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</si>
  <si>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</si>
  <si>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</si>
  <si>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</si>
  <si>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</si>
  <si>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</si>
  <si>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</si>
  <si>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</si>
  <si>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</si>
  <si>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</si>
  <si>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</si>
  <si>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</si>
  <si>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</si>
  <si>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</si>
  <si>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</si>
  <si>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</si>
  <si>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</si>
  <si>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</si>
  <si>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</si>
  <si>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</si>
  <si>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</si>
  <si>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</si>
  <si>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</si>
  <si>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</si>
  <si>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</si>
  <si>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</si>
  <si>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</si>
  <si>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</si>
  <si>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</si>
  <si>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</si>
  <si>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</si>
  <si>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</si>
  <si>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</si>
  <si>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</si>
  <si>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</si>
  <si>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</si>
  <si>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</si>
  <si>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</si>
  <si>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</si>
  <si>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</si>
  <si>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</si>
  <si>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</si>
  <si>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</si>
  <si>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</si>
  <si>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</si>
  <si>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</si>
  <si>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</si>
  <si>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</si>
  <si>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</si>
  <si>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</si>
  <si>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</si>
  <si>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</si>
  <si>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</si>
  <si>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</si>
  <si>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</si>
  <si>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</si>
  <si>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</si>
  <si>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</si>
  <si>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</si>
  <si>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</si>
  <si>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</si>
  <si>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</si>
  <si>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</si>
  <si>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</si>
  <si>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</si>
  <si>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</si>
  <si>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</si>
  <si>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</si>
  <si>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</si>
  <si>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</si>
  <si>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</si>
  <si>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</si>
  <si>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</si>
  <si>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</si>
  <si>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</si>
  <si>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</si>
  <si>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</si>
  <si>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</si>
  <si>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</si>
  <si>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</si>
  <si>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</si>
  <si>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</si>
  <si>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</si>
  <si>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</si>
  <si>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</si>
  <si>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</si>
  <si>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</si>
  <si>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</si>
  <si>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</si>
  <si>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</si>
  <si>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</si>
  <si>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</si>
  <si>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</si>
  <si>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</si>
  <si>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</si>
  <si>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</si>
  <si>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</si>
  <si>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</si>
  <si>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</si>
  <si>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</si>
  <si>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</si>
  <si>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</si>
  <si>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</si>
  <si>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</si>
  <si>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</si>
  <si>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</si>
  <si>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</si>
  <si>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</si>
  <si>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</si>
  <si>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</si>
  <si>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</si>
  <si>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</si>
  <si>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</si>
  <si>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</si>
  <si>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</si>
  <si>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</si>
  <si>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</si>
  <si>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</si>
  <si>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</si>
  <si>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</si>
  <si>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</si>
  <si>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</si>
  <si>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</si>
  <si>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</si>
  <si>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</si>
  <si>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</si>
  <si>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</si>
  <si>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</si>
  <si>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</si>
  <si>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</si>
  <si>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</si>
  <si>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</si>
  <si>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</si>
  <si>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</si>
  <si>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</si>
  <si>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</si>
  <si>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</si>
  <si>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</si>
  <si>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</si>
  <si>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</si>
  <si>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</si>
  <si>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</si>
  <si>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</si>
  <si>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</si>
  <si>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</si>
  <si>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</si>
  <si>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</si>
  <si>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</si>
  <si>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</si>
  <si>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</si>
  <si>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</si>
  <si>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</si>
  <si>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</si>
  <si>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</si>
  <si>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</si>
  <si>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</si>
  <si>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</si>
  <si>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</si>
  <si>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</si>
  <si>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</si>
  <si>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</si>
  <si>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</si>
  <si>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</si>
  <si>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</si>
  <si>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</si>
  <si>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</si>
  <si>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</si>
  <si>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</si>
  <si>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</si>
  <si>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</si>
  <si>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</si>
  <si>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</si>
  <si>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</si>
  <si>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</si>
  <si>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</si>
  <si>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</si>
  <si>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</si>
  <si>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</si>
  <si>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</si>
  <si>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</si>
  <si>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</si>
  <si>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</si>
  <si>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</si>
  <si>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</si>
  <si>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</si>
  <si>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</si>
  <si>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</si>
  <si>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</si>
  <si>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</si>
  <si>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</si>
  <si>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</si>
  <si>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</si>
  <si>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</si>
  <si>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</si>
  <si>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</si>
  <si>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</si>
  <si>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</si>
  <si>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</si>
  <si>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</si>
  <si>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</si>
  <si>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</si>
  <si>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</si>
  <si>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</si>
  <si>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</si>
  <si>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</si>
  <si>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</si>
  <si>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</si>
  <si>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</si>
  <si>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</si>
  <si>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</si>
  <si>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</si>
  <si>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</si>
  <si>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</si>
  <si>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</si>
  <si>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</si>
  <si>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</si>
  <si>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</si>
  <si>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</si>
  <si>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</si>
  <si>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</si>
  <si>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</si>
  <si>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</si>
  <si>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</si>
  <si>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</si>
  <si>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</si>
  <si>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</si>
  <si>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</si>
  <si>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</si>
  <si>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</si>
  <si>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</si>
  <si>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</si>
  <si>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</si>
  <si>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</si>
  <si>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</si>
  <si>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</si>
  <si>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</si>
  <si>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</si>
  <si>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</si>
  <si>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</si>
  <si>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</si>
  <si>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</si>
  <si>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</si>
  <si>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</si>
  <si>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</si>
  <si>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</si>
  <si>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</si>
  <si>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</si>
  <si>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</si>
  <si>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</si>
  <si>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</si>
  <si>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</si>
  <si>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</si>
  <si>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</si>
  <si>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</si>
  <si>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</si>
  <si>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</si>
  <si>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</si>
  <si>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</si>
  <si>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</si>
  <si>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</si>
  <si>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</si>
  <si>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</si>
  <si>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</si>
  <si>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</si>
  <si>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</si>
  <si>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</si>
  <si>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</si>
  <si>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</si>
  <si>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</si>
  <si>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</si>
  <si>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</si>
  <si>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</si>
  <si>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</si>
  <si>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</si>
  <si>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</si>
  <si>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</si>
  <si>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</si>
  <si>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</si>
  <si>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</si>
  <si>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</si>
  <si>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</si>
  <si>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</si>
  <si>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</si>
  <si>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</si>
  <si>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</si>
  <si>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</si>
  <si>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</si>
  <si>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</si>
  <si>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</si>
  <si>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</si>
  <si>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</si>
  <si>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</si>
  <si>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</si>
  <si>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</si>
  <si>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</si>
  <si>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</si>
  <si>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</si>
  <si>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</si>
  <si>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</si>
  <si>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</si>
  <si>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</si>
  <si>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</si>
  <si>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</si>
  <si>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</si>
  <si>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</si>
  <si>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</si>
  <si>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</si>
  <si>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</si>
  <si>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</si>
  <si>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</si>
  <si>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</si>
  <si>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</si>
  <si>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</si>
  <si>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</si>
  <si>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</si>
  <si>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</si>
  <si>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</si>
  <si>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</si>
  <si>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</si>
  <si>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</si>
  <si>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</si>
  <si>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</si>
  <si>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</si>
  <si>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</si>
  <si>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</si>
  <si>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</si>
  <si>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</si>
  <si>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</si>
  <si>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</si>
  <si>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</si>
  <si>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</si>
  <si>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</si>
  <si>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</si>
  <si>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</si>
  <si>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</si>
  <si>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</si>
  <si>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</si>
  <si>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</si>
  <si>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</si>
  <si>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</si>
  <si>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</si>
  <si>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</si>
  <si>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</si>
  <si>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</si>
  <si>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</si>
  <si>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</si>
  <si>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</si>
  <si>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</si>
  <si>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</si>
  <si>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</si>
  <si>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</si>
  <si>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</si>
  <si>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</si>
  <si>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</si>
  <si>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</si>
  <si>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</si>
  <si>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</si>
  <si>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</si>
  <si>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</si>
  <si>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</si>
  <si>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</si>
  <si>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</si>
  <si>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</si>
  <si>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</si>
  <si>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</si>
  <si>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</si>
  <si>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</si>
  <si>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</si>
  <si>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</si>
  <si>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</si>
  <si>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</si>
  <si>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</si>
  <si>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</si>
  <si>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</si>
  <si>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</si>
  <si>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</si>
  <si>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</si>
  <si>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</si>
  <si>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</si>
  <si>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</si>
  <si>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</si>
  <si>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</si>
  <si>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</si>
  <si>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</si>
  <si>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</si>
  <si>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</si>
  <si>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</si>
  <si>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</si>
  <si>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</si>
  <si>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</si>
  <si>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</si>
  <si>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</si>
  <si>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</si>
  <si>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</si>
  <si>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</si>
  <si>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</si>
  <si>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</si>
  <si>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</si>
  <si>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</si>
  <si>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</si>
  <si>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</si>
  <si>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</si>
  <si>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</si>
  <si>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</si>
  <si>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</si>
  <si>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</si>
  <si>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</si>
  <si>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</si>
  <si>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</si>
  <si>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</si>
  <si>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</si>
  <si>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</si>
  <si>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</si>
  <si>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</si>
  <si>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</si>
  <si>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</si>
  <si>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</si>
  <si>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</si>
  <si>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</si>
  <si>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</si>
  <si>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</si>
  <si>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</si>
  <si>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</si>
  <si>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</si>
  <si>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</si>
  <si>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</si>
  <si>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</si>
  <si>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</si>
  <si>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</si>
  <si>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</si>
  <si>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</si>
  <si>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</si>
  <si>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</si>
  <si>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</si>
  <si>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</si>
  <si>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</si>
  <si>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</si>
  <si>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</si>
  <si>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</si>
  <si>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</si>
  <si>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</si>
  <si>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</si>
  <si>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21115110200100</t>
  </si>
  <si>
    <t>TA# 511B (SILO)</t>
  </si>
  <si>
    <t>S31</t>
  </si>
  <si>
    <t>TA# 301 (25Kg)</t>
  </si>
  <si>
    <t>TA# 511L (25Kg)</t>
  </si>
  <si>
    <t>TA# 548F(50Kg)</t>
  </si>
  <si>
    <t>TA# 510M (25Kg)</t>
  </si>
  <si>
    <t>TA# 549F (50Kg)</t>
  </si>
  <si>
    <t>S13</t>
  </si>
  <si>
    <t>P92</t>
  </si>
  <si>
    <t>TA#  550PF  (10KG)</t>
  </si>
  <si>
    <t>TA# 567S (25Kg)</t>
  </si>
  <si>
    <t>TA# 551 (25kg)</t>
  </si>
  <si>
    <t>S90</t>
  </si>
  <si>
    <t>TA# 548 (25Kg)</t>
  </si>
  <si>
    <t>TA# 552F(50KG)</t>
  </si>
  <si>
    <t>TA# 552S (25Kg)</t>
  </si>
  <si>
    <t>TA# 553 (25Kg)</t>
  </si>
  <si>
    <t>TA# 967S (25kg)</t>
  </si>
  <si>
    <t>S54</t>
  </si>
  <si>
    <t>TA#  550P  (10KG)</t>
  </si>
  <si>
    <t>TA# 584(25Kgs)</t>
  </si>
  <si>
    <t>TA# 524 (25Kg)</t>
  </si>
  <si>
    <t>TA# 553S (25KG)</t>
  </si>
  <si>
    <t>TA# 384(25Kgs)</t>
  </si>
  <si>
    <t>TA# 513F (50KG)</t>
  </si>
  <si>
    <t>TA# 549 (25Kg)</t>
  </si>
  <si>
    <t>TA# 952S (25Kg)</t>
  </si>
  <si>
    <t>TA# 510 (25Kg)</t>
  </si>
  <si>
    <t>TA# 553MF (50KG)</t>
  </si>
  <si>
    <t>TA# 595 (25Kgs)</t>
  </si>
  <si>
    <t>TA# 952 (25Kg)</t>
  </si>
  <si>
    <t>TA# 562P (25Kg)</t>
  </si>
  <si>
    <t>TA# 967 (25Kg)</t>
  </si>
  <si>
    <t>TA# 567 (25Kg)</t>
  </si>
  <si>
    <t>TA# 550S (25kg)</t>
  </si>
  <si>
    <t>TA# 953 (25Kg)</t>
  </si>
  <si>
    <t>TA# 552 (25Kg)</t>
  </si>
  <si>
    <t>S25</t>
  </si>
  <si>
    <t>TA# 511 (25Kg)</t>
  </si>
  <si>
    <t>TA# 566(25Kg)</t>
  </si>
  <si>
    <t>TA# 540F (50Kg)</t>
  </si>
  <si>
    <t>TA# 352 (25Kg)</t>
  </si>
  <si>
    <t>TA# 511B (25Kg)</t>
  </si>
  <si>
    <t>TA# 302 (25Kg)</t>
  </si>
  <si>
    <t>TA# 966 (25Kg)</t>
  </si>
  <si>
    <t>TA# 552M (25Kg)</t>
  </si>
  <si>
    <t>TA# 951 (25Kg)</t>
  </si>
  <si>
    <t>TA# 551 (5*5=25Kg)</t>
  </si>
  <si>
    <t>TA# 511M (25Kg)</t>
  </si>
  <si>
    <t>TA# VT12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</si>
  <si>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</si>
  <si>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</si>
  <si>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</si>
  <si>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</si>
  <si>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</si>
  <si>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</si>
  <si>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</si>
  <si>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</si>
  <si>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301</t>
  </si>
  <si>
    <t>Thøc ¨n ch¨n nu«i #  301 (25KG)</t>
  </si>
  <si>
    <t>384</t>
  </si>
  <si>
    <t>Thøc ¨n ch¨n nu«i #  384(25KGS)</t>
  </si>
  <si>
    <t>Thøc ¨n ch¨n nu«i #  511B (25KG)</t>
  </si>
  <si>
    <t>Thøc ¨n ch¨n nu«i# 511NF (50KG) (Thuèc)</t>
  </si>
  <si>
    <t>524</t>
  </si>
  <si>
    <t>Thøc ¨n ch¨n nu«i #  524 (25KG)</t>
  </si>
  <si>
    <t>544</t>
  </si>
  <si>
    <t>Thøc ¨n ch¨n nu«i #  544 (25KG)</t>
  </si>
  <si>
    <t>551</t>
  </si>
  <si>
    <t>Thøc ¨n ch¨n nu«i #  551 (25KG)</t>
  </si>
  <si>
    <t>Thøc ¨n ch¨n nu«i# 551 (F)_50KG (Thuèc)</t>
  </si>
  <si>
    <t>Thøc ¨n ch¨n nu«i # 551X (25kg)</t>
  </si>
  <si>
    <t>552</t>
  </si>
  <si>
    <t>Thøc ¨n ch¨n nu«i #  552 (25KG)</t>
  </si>
  <si>
    <t>Thøc ¨n ch¨n nu«i# 552 (F)_50KG (Thuèc)</t>
  </si>
  <si>
    <t>Thøc ¨n ch¨n nu«i #  552M (25KG)</t>
  </si>
  <si>
    <t>Thøc ¨n ch¨n nu«i #  552S (25KG)</t>
  </si>
  <si>
    <t>Thøc ¨n ch¨n nu«i# 552S (F)_50KG (Thuèc)</t>
  </si>
  <si>
    <t>Thøc ¨n ch¨n nu«i # 552SX (25KG)</t>
  </si>
  <si>
    <t>Thøc ¨n ch¨n nu«i #  553MF (50KG)</t>
  </si>
  <si>
    <t>Thøc ¨n ch¨n nu«i #  567S (25KG)</t>
  </si>
  <si>
    <t>Thøc ¨n ch¨n nu«i #  567SF (50KG)</t>
  </si>
  <si>
    <t>Thøc ¨n ch¨n nu«i# 567S (F)_50KG (Thuèc)</t>
  </si>
  <si>
    <t>884</t>
  </si>
  <si>
    <t>Thøc ¨n ch¨n nu«i #  884(25KGS)</t>
  </si>
  <si>
    <t>951</t>
  </si>
  <si>
    <t>Thøc ¨n ch¨n nu«i #  951 (25KG)</t>
  </si>
  <si>
    <t>952</t>
  </si>
  <si>
    <t>Thøc ¨n ch¨n nu«i #  952 (25KG)</t>
  </si>
  <si>
    <t>Thøc ¨n ch¨n nu«i #  952S (25KG)</t>
  </si>
  <si>
    <t>Thøc ¨n tinh hçn hîp bß s÷a-BS04(25kg)5A</t>
  </si>
  <si>
    <t>Thøc ¨n ch¨n nu«i # GT12BS(25KG)</t>
  </si>
  <si>
    <t>Thøc ¨n ch¨n nu«i #  GD14 (25KG)</t>
  </si>
  <si>
    <t>Thøc ¨n ch¨n nu«i #  VT12 (25KG)</t>
  </si>
  <si>
    <t>Thøc ¨n ch¨n nu«i #  HT11 (25KG)</t>
  </si>
  <si>
    <t>Thøc ¨n ch¨n nu«i #  HT12 (25KG)</t>
  </si>
  <si>
    <t>Thøc ¨n ch¨n nu«i #  HT12S(25KG)</t>
  </si>
  <si>
    <t>6951</t>
  </si>
  <si>
    <t>Thøc ¨n ch¨n nu«i # 6951(25KG)</t>
  </si>
  <si>
    <t>Thøc ¨n ch¨n nu«i# 6951X 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</si>
  <si>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</si>
  <si>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</si>
  <si>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</si>
  <si>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</si>
  <si>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</si>
  <si>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</si>
  <si>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</si>
  <si>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</si>
  <si>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</si>
  <si>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</si>
  <si>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</si>
  <si>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</si>
  <si>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</si>
  <si>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</si>
  <si>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</si>
  <si>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</si>
  <si>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</si>
  <si>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</si>
  <si>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</si>
  <si>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</si>
  <si>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</si>
  <si>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</si>
  <si>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</si>
  <si>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</si>
  <si>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</si>
  <si>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</si>
  <si>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</si>
  <si>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</si>
  <si>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</si>
  <si>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</si>
  <si>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</si>
  <si>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</si>
  <si>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</si>
  <si>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</si>
  <si>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</si>
  <si>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</si>
  <si>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</si>
  <si>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</si>
  <si>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</si>
  <si>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</si>
  <si>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</si>
  <si>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</si>
  <si>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</si>
  <si>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</si>
  <si>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</si>
  <si>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</si>
  <si>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</si>
  <si>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</si>
  <si>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</si>
  <si>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</si>
  <si>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</si>
  <si>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</si>
  <si>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</si>
  <si>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</si>
  <si>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</si>
  <si>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</si>
  <si>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</si>
  <si>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</si>
  <si>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</si>
  <si>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</si>
  <si>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</si>
  <si>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</si>
  <si>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</si>
  <si>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</si>
  <si>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</si>
  <si>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</si>
  <si>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</si>
  <si>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</si>
  <si>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</si>
  <si>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</si>
  <si>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</si>
  <si>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</si>
  <si>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</si>
  <si>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</si>
  <si>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</si>
  <si>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</si>
  <si>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</si>
  <si>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</si>
  <si>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</si>
  <si>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</si>
  <si>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</si>
  <si>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</si>
  <si>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</si>
  <si>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</si>
  <si>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</si>
  <si>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</si>
  <si>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</si>
  <si>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</si>
  <si>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</si>
  <si>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</si>
  <si>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</si>
  <si>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</si>
  <si>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</si>
  <si>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</si>
  <si>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</si>
  <si>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</si>
  <si>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</si>
  <si>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</si>
  <si>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</si>
  <si>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</si>
  <si>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</si>
  <si>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</si>
  <si>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</si>
  <si>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</si>
  <si>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</si>
  <si>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</si>
  <si>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</si>
  <si>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</si>
  <si>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</si>
  <si>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</si>
  <si>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</si>
  <si>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</si>
  <si>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</si>
  <si>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</si>
  <si>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</si>
  <si>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</si>
  <si>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</si>
  <si>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</si>
  <si>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</si>
  <si>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</si>
  <si>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</si>
  <si>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</si>
  <si>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</si>
  <si>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</si>
  <si>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</si>
  <si>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</si>
  <si>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</si>
  <si>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</si>
  <si>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</si>
  <si>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</si>
  <si>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</si>
  <si>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</si>
  <si>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</si>
  <si>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</si>
  <si>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</si>
  <si>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</si>
  <si>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</si>
  <si>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</si>
  <si>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</si>
  <si>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</si>
  <si>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</si>
  <si>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</si>
  <si>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</si>
  <si>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</si>
  <si>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</si>
  <si>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</si>
  <si>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</si>
  <si>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</si>
  <si>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</si>
  <si>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</si>
  <si>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</si>
  <si>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</si>
  <si>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</si>
  <si>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</si>
  <si>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</si>
  <si>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</si>
  <si>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</si>
  <si>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</si>
  <si>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</si>
  <si>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</si>
  <si>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</si>
  <si>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</si>
  <si>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</si>
  <si>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</si>
  <si>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</si>
  <si>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</si>
  <si>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</si>
  <si>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</si>
  <si>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</si>
  <si>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</si>
  <si>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</si>
  <si>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</si>
  <si>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</si>
  <si>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</si>
  <si>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</si>
  <si>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</si>
  <si>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</si>
  <si>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</si>
  <si>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</si>
  <si>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</si>
  <si>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</si>
  <si>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</si>
  <si>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</si>
  <si>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</si>
  <si>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</si>
  <si>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</si>
  <si>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</si>
  <si>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</si>
  <si>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</si>
  <si>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</si>
  <si>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</si>
  <si>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</si>
  <si>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</si>
  <si>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</si>
  <si>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</si>
  <si>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</si>
  <si>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</si>
  <si>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</si>
  <si>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</si>
  <si>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</si>
  <si>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</si>
  <si>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</si>
  <si>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</si>
  <si>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</si>
  <si>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</si>
  <si>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</si>
  <si>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</si>
  <si>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</si>
  <si>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</si>
  <si>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</si>
  <si>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</si>
  <si>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</si>
  <si>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</si>
  <si>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</si>
  <si>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</si>
  <si>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</si>
  <si>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</si>
  <si>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</si>
  <si>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</si>
  <si>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</si>
  <si>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</si>
  <si>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</si>
  <si>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</si>
  <si>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</si>
  <si>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</si>
  <si>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</si>
  <si>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</si>
  <si>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</si>
  <si>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</si>
  <si>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</si>
  <si>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</si>
  <si>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</si>
  <si>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</si>
  <si>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</si>
  <si>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</si>
  <si>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</si>
  <si>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</si>
  <si>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</si>
  <si>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</si>
  <si>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</si>
  <si>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</si>
  <si>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</si>
  <si>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</si>
  <si>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1290D209510025</t>
  </si>
  <si>
    <t>BagO25- 951- 52x87-93-A-000-H</t>
  </si>
  <si>
    <t>95225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</si>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</sst>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5" zoomScale="80" zoomScaleNormal="80" workbookViewId="0">
      <pane xSplit="5" topLeftCell="F1" activePane="topRight" state="frozen"/>
      <selection pane="topRight" activeCell="AI12" sqref="AI12:AI26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f>+BRAN!O3</f>
        <v>46154</v>
      </c>
      <c r="P3" s="1124"/>
      <c r="Q3" s="1124"/>
      <c r="R3" s="1124"/>
      <c r="S3" s="1124"/>
      <c r="T3" s="1124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10" t="s">
        <v>22</v>
      </c>
      <c r="B9" s="901" t="s">
        <v>23</v>
      </c>
      <c r="C9" s="901" t="s">
        <v>24</v>
      </c>
      <c r="D9" s="907" t="s">
        <v>25</v>
      </c>
      <c r="E9" s="61" t="s">
        <v>26</v>
      </c>
      <c r="F9" s="904" t="s">
        <v>27</v>
      </c>
      <c r="G9" s="905"/>
      <c r="H9" s="906"/>
      <c r="I9" s="904" t="s">
        <v>28</v>
      </c>
      <c r="J9" s="905"/>
      <c r="K9" s="905"/>
      <c r="L9" s="905"/>
      <c r="M9" s="904" t="s">
        <v>29</v>
      </c>
      <c r="N9" s="906"/>
      <c r="O9" s="183" t="s">
        <v>30</v>
      </c>
      <c r="P9" s="183"/>
      <c r="Q9" s="183"/>
      <c r="R9" s="183" t="s">
        <v>31</v>
      </c>
      <c r="S9" s="907" t="s">
        <v>32</v>
      </c>
      <c r="T9" s="919" t="s">
        <v>33</v>
      </c>
      <c r="U9" s="1092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11"/>
      <c r="B10" s="902"/>
      <c r="C10" s="902"/>
      <c r="D10" s="908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04" t="s">
        <v>40</v>
      </c>
      <c r="J10" s="905"/>
      <c r="K10" s="512" t="s">
        <v>41</v>
      </c>
      <c r="L10" s="681" t="s">
        <v>42</v>
      </c>
      <c r="M10" s="904" t="s">
        <v>43</v>
      </c>
      <c r="N10" s="906"/>
      <c r="O10" s="683" t="s">
        <v>44</v>
      </c>
      <c r="P10" s="184"/>
      <c r="Q10" s="184"/>
      <c r="R10" s="683" t="s">
        <v>45</v>
      </c>
      <c r="S10" s="908"/>
      <c r="T10" s="920"/>
      <c r="U10" s="1093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12"/>
      <c r="B11" s="903"/>
      <c r="C11" s="903"/>
      <c r="D11" s="909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09"/>
      <c r="T11" s="92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>
        <v>0</v>
      </c>
      <c r="AF12" s="645">
        <v>0</v>
      </c>
      <c r="AG12" s="646"/>
      <c r="AH12" s="645">
        <v>0</v>
      </c>
      <c r="AI12" s="646">
        <v>0</v>
      </c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727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727</v>
      </c>
      <c r="N13" s="652">
        <f>M13*25</f>
        <v>18175</v>
      </c>
      <c r="O13" s="1159">
        <f>SUM(X13:BB13)</f>
        <v>3750</v>
      </c>
      <c r="P13" s="804"/>
      <c r="Q13" s="804"/>
      <c r="R13" s="100">
        <f>O13/INTGRATE!$N$293</f>
        <v>340.90909090909093</v>
      </c>
      <c r="S13" s="665">
        <f t="shared" si="0"/>
        <v>53.313333333333333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>
        <v>0</v>
      </c>
      <c r="AF13" s="645">
        <v>0</v>
      </c>
      <c r="AG13" s="646"/>
      <c r="AH13" s="645">
        <v>0</v>
      </c>
      <c r="AI13" s="646">
        <v>0</v>
      </c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>
        <v>0</v>
      </c>
      <c r="AF14" s="645">
        <v>0</v>
      </c>
      <c r="AG14" s="646"/>
      <c r="AH14" s="645">
        <v>0</v>
      </c>
      <c r="AI14" s="646">
        <v>0</v>
      </c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1243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690</v>
      </c>
      <c r="J15" s="351">
        <f>SUMIF(data!$D:$D,$B15&amp;$D15,data!$K:$K)</f>
        <v>17250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553</v>
      </c>
      <c r="N15" s="652">
        <f>M15*D15</f>
        <v>13825</v>
      </c>
      <c r="O15" s="1159">
        <f t="shared" ref="O15:O26" si="4">SUM(X15:BB15)</f>
        <v>66975</v>
      </c>
      <c r="P15" s="804"/>
      <c r="Q15" s="804"/>
      <c r="R15" s="100">
        <f>O15/INTGRATE!$N$293</f>
        <v>6088.636363636364</v>
      </c>
      <c r="S15" s="665">
        <f t="shared" ref="S15:S26" si="5">IF(R15=0,0,N15/R15)</f>
        <v>2.2706233669279579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66975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47710</v>
      </c>
      <c r="P18" s="804"/>
      <c r="Q18" s="804"/>
      <c r="R18" s="100">
        <f>O18/INTGRATE!$N$293</f>
        <v>4337.272727272727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47710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700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225</v>
      </c>
      <c r="J19" s="351">
        <f>SUMIF(data!$D:$D,$B19&amp;$D19,data!$K:$K)</f>
        <v>5625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475</v>
      </c>
      <c r="N19" s="652">
        <f>M19*D19</f>
        <v>11875</v>
      </c>
      <c r="O19" s="1159">
        <f t="shared" si="4"/>
        <v>35300</v>
      </c>
      <c r="P19" s="804"/>
      <c r="Q19" s="804"/>
      <c r="R19" s="100">
        <f>O19/INTGRATE!$N$293</f>
        <v>3209.090909090909</v>
      </c>
      <c r="S19" s="665">
        <f t="shared" si="5"/>
        <v>3.7004249291784705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35300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0</v>
      </c>
      <c r="J23" s="351">
        <f>SUMIF(data!$D:$D,$B23&amp;$D23,data!$K:$K)</f>
        <v>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0</v>
      </c>
      <c r="N23" s="652">
        <f>M23*D23</f>
        <v>0</v>
      </c>
      <c r="O23" s="1159">
        <f t="shared" si="4"/>
        <v>24300</v>
      </c>
      <c r="P23" s="804"/>
      <c r="Q23" s="804"/>
      <c r="R23" s="100">
        <f>O23/INTGRATE!$N$293</f>
        <v>2209.090909090909</v>
      </c>
      <c r="S23" s="665">
        <f t="shared" si="5"/>
        <v>0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24300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25">
        <v>0</v>
      </c>
      <c r="AI24" s="100">
        <v>0</v>
      </c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1711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90</v>
      </c>
      <c r="J25" s="351">
        <f>SUMIF(data!$D:$D,$B25&amp;$D25,data!$K:$K)</f>
        <v>2250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1621</v>
      </c>
      <c r="N25" s="652">
        <f>M25*D25</f>
        <v>40525</v>
      </c>
      <c r="O25" s="1159">
        <f t="shared" si="4"/>
        <v>51950</v>
      </c>
      <c r="P25" s="804"/>
      <c r="Q25" s="804"/>
      <c r="R25" s="100">
        <f>O25/INTGRATE!$N$293</f>
        <v>4722.727272727273</v>
      </c>
      <c r="S25" s="665">
        <f t="shared" si="5"/>
        <v>8.5808469682386903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51950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25">
        <v>0</v>
      </c>
      <c r="AI26" s="100">
        <v>0</v>
      </c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20" t="s">
        <v>69</v>
      </c>
      <c r="B27" s="1121"/>
      <c r="C27" s="1121"/>
      <c r="D27" s="1122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097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8025</v>
      </c>
      <c r="AF27" s="557">
        <f t="shared" si="7"/>
        <v>16750</v>
      </c>
      <c r="AG27" s="557">
        <f t="shared" si="7"/>
        <v>0</v>
      </c>
      <c r="AH27" s="557">
        <f t="shared" si="7"/>
        <v>39730</v>
      </c>
      <c r="AI27" s="557">
        <f t="shared" si="7"/>
        <v>25125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226235</v>
      </c>
      <c r="BF27" s="437"/>
    </row>
    <row r="28" spans="1:58" s="63" customFormat="1" ht="15" customHeight="1">
      <c r="A28" s="1120" t="s">
        <v>70</v>
      </c>
      <c r="B28" s="1121"/>
      <c r="C28" s="1121"/>
      <c r="D28" s="1122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098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20" t="s">
        <v>71</v>
      </c>
      <c r="B29" s="1121"/>
      <c r="C29" s="1121"/>
      <c r="D29" s="1122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098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20" t="s">
        <v>72</v>
      </c>
      <c r="B30" s="1121"/>
      <c r="C30" s="1121"/>
      <c r="D30" s="1122"/>
      <c r="E30" s="64">
        <f>SUM(E12:E26)</f>
        <v>4381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1005</v>
      </c>
      <c r="J30" s="64">
        <f t="shared" si="9"/>
        <v>25125</v>
      </c>
      <c r="K30" s="64">
        <f t="shared" si="9"/>
        <v>0</v>
      </c>
      <c r="L30" s="64">
        <f t="shared" si="9"/>
        <v>0</v>
      </c>
      <c r="M30" s="64">
        <f t="shared" si="9"/>
        <v>3376</v>
      </c>
      <c r="N30" s="64">
        <f t="shared" si="9"/>
        <v>84400</v>
      </c>
      <c r="O30" s="64">
        <f t="shared" si="9"/>
        <v>229985</v>
      </c>
      <c r="P30" s="64">
        <f t="shared" si="9"/>
        <v>0</v>
      </c>
      <c r="Q30" s="64">
        <f t="shared" si="9"/>
        <v>0</v>
      </c>
      <c r="R30" s="64">
        <f t="shared" si="9"/>
        <v>20907.727272727272</v>
      </c>
      <c r="S30" s="64">
        <f>SUM(S15:S26)</f>
        <v>14.551895264345118</v>
      </c>
      <c r="T30" s="1098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20" t="s">
        <v>73</v>
      </c>
      <c r="B31" s="1121"/>
      <c r="C31" s="1121"/>
      <c r="D31" s="1122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098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1042" t="s">
        <v>74</v>
      </c>
      <c r="B32" s="1043"/>
      <c r="C32" s="1043"/>
      <c r="D32" s="104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098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11" t="s">
        <v>75</v>
      </c>
      <c r="B33" s="1112"/>
      <c r="C33" s="1112"/>
      <c r="D33" s="1113"/>
      <c r="E33" s="127">
        <f>SUM(E27:E31)</f>
        <v>4381</v>
      </c>
      <c r="F33" s="127">
        <f>SUM(F27:F31)-F32</f>
        <v>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1005</v>
      </c>
      <c r="J33" s="127">
        <f t="shared" si="12"/>
        <v>25125</v>
      </c>
      <c r="K33" s="127">
        <f t="shared" si="12"/>
        <v>0</v>
      </c>
      <c r="L33" s="127">
        <f t="shared" si="12"/>
        <v>0</v>
      </c>
      <c r="M33" s="127">
        <f t="shared" si="12"/>
        <v>3376</v>
      </c>
      <c r="N33" s="127">
        <f>+SUM(N28:N31)</f>
        <v>84400</v>
      </c>
      <c r="O33" s="1104">
        <f>SUM(O15:O26)</f>
        <v>226235</v>
      </c>
      <c r="P33" s="186"/>
      <c r="Q33" s="186"/>
      <c r="R33" s="1106">
        <f>SUM(R15:R26)</f>
        <v>20566.81818181818</v>
      </c>
      <c r="S33" s="1115" t="s">
        <v>76</v>
      </c>
      <c r="T33" s="1098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117" t="s">
        <v>77</v>
      </c>
      <c r="B34" s="1118"/>
      <c r="C34" s="1118"/>
      <c r="D34" s="1119"/>
      <c r="E34" s="121">
        <f>E28*10+E29*25+E30*25+E31*40+E32</f>
        <v>109525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25125</v>
      </c>
      <c r="J34" s="121">
        <f>+J33</f>
        <v>25125</v>
      </c>
      <c r="K34" s="121">
        <f t="shared" si="13"/>
        <v>0</v>
      </c>
      <c r="L34" s="121">
        <f t="shared" si="13"/>
        <v>0</v>
      </c>
      <c r="M34" s="121">
        <f t="shared" si="13"/>
        <v>84400</v>
      </c>
      <c r="N34" s="121">
        <f>+N33</f>
        <v>84400</v>
      </c>
      <c r="O34" s="1105"/>
      <c r="P34" s="187"/>
      <c r="Q34" s="187"/>
      <c r="R34" s="1107"/>
      <c r="S34" s="1116"/>
      <c r="T34" s="1123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10" t="s">
        <v>22</v>
      </c>
      <c r="B38" s="901" t="s">
        <v>23</v>
      </c>
      <c r="C38" s="901" t="s">
        <v>24</v>
      </c>
      <c r="D38" s="907" t="s">
        <v>25</v>
      </c>
      <c r="E38" s="61" t="s">
        <v>26</v>
      </c>
      <c r="F38" s="904" t="s">
        <v>27</v>
      </c>
      <c r="G38" s="905"/>
      <c r="H38" s="906"/>
      <c r="I38" s="904" t="s">
        <v>28</v>
      </c>
      <c r="J38" s="905"/>
      <c r="K38" s="905"/>
      <c r="L38" s="905"/>
      <c r="M38" s="904" t="s">
        <v>29</v>
      </c>
      <c r="N38" s="906"/>
      <c r="O38" s="183" t="s">
        <v>30</v>
      </c>
      <c r="P38" s="183"/>
      <c r="Q38" s="183"/>
      <c r="R38" s="183" t="s">
        <v>31</v>
      </c>
      <c r="S38" s="907" t="s">
        <v>32</v>
      </c>
      <c r="T38" s="919" t="s">
        <v>33</v>
      </c>
      <c r="U38" s="1092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11"/>
      <c r="B39" s="902"/>
      <c r="C39" s="902"/>
      <c r="D39" s="908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04" t="s">
        <v>40</v>
      </c>
      <c r="J39" s="905"/>
      <c r="K39" s="512" t="s">
        <v>41</v>
      </c>
      <c r="L39" s="681" t="s">
        <v>42</v>
      </c>
      <c r="M39" s="904" t="s">
        <v>43</v>
      </c>
      <c r="N39" s="906"/>
      <c r="O39" s="683" t="s">
        <v>44</v>
      </c>
      <c r="P39" s="184"/>
      <c r="Q39" s="184"/>
      <c r="R39" s="683" t="s">
        <v>45</v>
      </c>
      <c r="S39" s="908"/>
      <c r="T39" s="920"/>
      <c r="U39" s="1093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12"/>
      <c r="B40" s="903"/>
      <c r="C40" s="903"/>
      <c r="D40" s="909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09"/>
      <c r="T40" s="92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436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436</v>
      </c>
      <c r="N44" s="351">
        <f t="shared" ref="N44:N57" si="17">M44*D44</f>
        <v>10900</v>
      </c>
      <c r="O44" s="1161">
        <f t="shared" ref="O44:O57" si="18">SUM(X44:BB44)</f>
        <v>19025</v>
      </c>
      <c r="P44" s="665"/>
      <c r="Q44" s="665"/>
      <c r="R44" s="804">
        <f>O44/INTGRATE!$N$293</f>
        <v>1729.5454545454545</v>
      </c>
      <c r="S44" s="665">
        <f t="shared" ref="S44:S57" si="19">IF(R44=0,0,N44/R44)</f>
        <v>6.3022339027595269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19025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732</v>
      </c>
      <c r="F47" s="100">
        <f>SUMIF(pro!$A:$A,$V:$V,pro!$N:$N)</f>
        <v>0</v>
      </c>
      <c r="G47" s="351"/>
      <c r="H47" s="100"/>
      <c r="I47" s="351">
        <f>SUMIF(data!$D:$D,$B47&amp;$D47,data!$J:$J)</f>
        <v>260</v>
      </c>
      <c r="J47" s="351">
        <f>SUMIF(data!$D:$D,$B47&amp;$D47,data!$K:$K)</f>
        <v>6500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472</v>
      </c>
      <c r="N47" s="351">
        <f t="shared" si="17"/>
        <v>11800</v>
      </c>
      <c r="O47" s="1161">
        <f t="shared" si="18"/>
        <v>17925</v>
      </c>
      <c r="P47" s="665"/>
      <c r="Q47" s="665"/>
      <c r="R47" s="804">
        <f>O47/INTGRATE!$N$293</f>
        <v>1629.5454545454545</v>
      </c>
      <c r="S47" s="665">
        <f t="shared" si="19"/>
        <v>7.2412831241283122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17925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0</v>
      </c>
      <c r="F48" s="100">
        <f>SUMIF(pro!$A:$A,$V:$V,pro!$N:$N)</f>
        <v>1000</v>
      </c>
      <c r="G48" s="351"/>
      <c r="H48" s="100"/>
      <c r="I48" s="351">
        <f>SUMIF(data!$D:$D,$B48&amp;$D48,data!$J:$J)</f>
        <v>175</v>
      </c>
      <c r="J48" s="351">
        <f>SUMIF(data!$D:$D,$B48&amp;$D48,data!$K:$K)</f>
        <v>4375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825</v>
      </c>
      <c r="N48" s="351">
        <f t="shared" ref="N48:N50" si="21">M48*D48</f>
        <v>20625</v>
      </c>
      <c r="O48" s="1161">
        <f t="shared" ref="O48:O50" si="22">SUM(X48:BB48)</f>
        <v>31525</v>
      </c>
      <c r="P48" s="665"/>
      <c r="Q48" s="665"/>
      <c r="R48" s="804">
        <f>O48/INTGRATE!$N$293</f>
        <v>2865.909090909091</v>
      </c>
      <c r="S48" s="665">
        <f t="shared" ref="S48:S50" si="23">IF(R48=0,0,N48/R48)</f>
        <v>7.1966693100713721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31525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330</v>
      </c>
      <c r="F49" s="100">
        <f>SUMIF(pro!$A:$A,$V:$V,pro!$N:$N)</f>
        <v>284</v>
      </c>
      <c r="G49" s="351"/>
      <c r="H49" s="100"/>
      <c r="I49" s="351">
        <f>SUMIF(data!$D:$D,$B49&amp;$D49,data!$J:$J)</f>
        <v>570</v>
      </c>
      <c r="J49" s="351">
        <f>SUMIF(data!$D:$D,$B49&amp;$D49,data!$K:$K)</f>
        <v>14250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44</v>
      </c>
      <c r="N49" s="351">
        <f t="shared" ref="N49" si="25">M49*D49</f>
        <v>1100</v>
      </c>
      <c r="O49" s="1161">
        <f t="shared" ref="O49" si="26">SUM(X49:BB49)</f>
        <v>14525</v>
      </c>
      <c r="P49" s="665"/>
      <c r="Q49" s="665"/>
      <c r="R49" s="804">
        <f>O49/INTGRATE!$N$293</f>
        <v>1320.4545454545455</v>
      </c>
      <c r="S49" s="665">
        <f t="shared" ref="S49" si="27">IF(R49=0,0,N49/R49)</f>
        <v>0.83304647160068845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435</v>
      </c>
      <c r="F50" s="100">
        <f>SUMIF(pro!$A:$A,$V:$V,pro!$N:$N)</f>
        <v>0</v>
      </c>
      <c r="G50" s="351"/>
      <c r="H50" s="100"/>
      <c r="I50" s="351">
        <f>SUMIF(data!$D:$D,$B50&amp;$D50,data!$J:$J)</f>
        <v>160</v>
      </c>
      <c r="J50" s="351">
        <f>SUMIF(data!$D:$D,$B50&amp;$D50,data!$K:$K)</f>
        <v>4000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275</v>
      </c>
      <c r="N50" s="351">
        <f t="shared" si="21"/>
        <v>6875</v>
      </c>
      <c r="O50" s="1161">
        <f t="shared" si="22"/>
        <v>19250</v>
      </c>
      <c r="P50" s="665"/>
      <c r="Q50" s="665"/>
      <c r="R50" s="804">
        <f>O50/INTGRATE!$N$293</f>
        <v>1750</v>
      </c>
      <c r="S50" s="665">
        <f t="shared" si="23"/>
        <v>3.9285714285714284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19250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347</v>
      </c>
      <c r="F51" s="100">
        <f>SUMIF(pro!$A:$A,$V:$V,pro!$N:$N)</f>
        <v>0</v>
      </c>
      <c r="G51" s="351"/>
      <c r="H51" s="100"/>
      <c r="I51" s="351">
        <f>SUMIF(data!$D:$D,$B51&amp;$D51,data!$J:$J)</f>
        <v>85</v>
      </c>
      <c r="J51" s="351">
        <f>SUMIF(data!$D:$D,$B51&amp;$D51,data!$K:$K)</f>
        <v>2125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262</v>
      </c>
      <c r="N51" s="351">
        <f t="shared" si="17"/>
        <v>6550</v>
      </c>
      <c r="O51" s="1161">
        <f t="shared" si="18"/>
        <v>11800</v>
      </c>
      <c r="P51" s="665"/>
      <c r="Q51" s="665"/>
      <c r="R51" s="804">
        <f>O51/INTGRATE!$N$293</f>
        <v>1072.7272727272727</v>
      </c>
      <c r="S51" s="665">
        <f t="shared" si="19"/>
        <v>6.1059322033898304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11800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549</v>
      </c>
      <c r="F53" s="100">
        <f>SUMIF(pro!$A:$A,$V:$V,pro!$N:$N)</f>
        <v>0</v>
      </c>
      <c r="G53" s="351"/>
      <c r="H53" s="100"/>
      <c r="I53" s="351">
        <f>SUMIF(data!$D:$D,$B53&amp;$D53,data!$J:$J)</f>
        <v>15</v>
      </c>
      <c r="J53" s="351">
        <f>SUMIF(data!$D:$D,$B53&amp;$D53,data!$K:$K)</f>
        <v>375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534</v>
      </c>
      <c r="N53" s="351">
        <f t="shared" si="17"/>
        <v>13350</v>
      </c>
      <c r="O53" s="1161">
        <f t="shared" si="18"/>
        <v>12675</v>
      </c>
      <c r="P53" s="665"/>
      <c r="Q53" s="665"/>
      <c r="R53" s="804">
        <f>O53/INTGRATE!$N$293</f>
        <v>1152.2727272727273</v>
      </c>
      <c r="S53" s="665">
        <f t="shared" si="19"/>
        <v>11.585798816568047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12675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152</v>
      </c>
      <c r="F54" s="100">
        <f>SUMIF(pro!$A:$A,$V:$V,pro!$N:$N)</f>
        <v>0</v>
      </c>
      <c r="G54" s="351"/>
      <c r="H54" s="100"/>
      <c r="I54" s="351">
        <f>SUMIF(data!$D:$D,$B54&amp;$D54,data!$J:$J)</f>
        <v>20</v>
      </c>
      <c r="J54" s="351">
        <f>SUMIF(data!$D:$D,$B54&amp;$D54,data!$K:$K)</f>
        <v>500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132</v>
      </c>
      <c r="N54" s="351">
        <f>M54*D54</f>
        <v>3300</v>
      </c>
      <c r="O54" s="1161">
        <f>SUM(X54:BB54)</f>
        <v>1375</v>
      </c>
      <c r="P54" s="665"/>
      <c r="Q54" s="665"/>
      <c r="R54" s="804">
        <f>O54/INTGRATE!$N$293</f>
        <v>125</v>
      </c>
      <c r="S54" s="665">
        <f>IF(R54=0,0,N54/R54)</f>
        <v>26.4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1375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461</v>
      </c>
      <c r="F56" s="100">
        <f>SUMIF(pro!$A:$A,$V:$V,pro!$N:$N)</f>
        <v>0</v>
      </c>
      <c r="G56" s="351"/>
      <c r="H56" s="100"/>
      <c r="I56" s="351">
        <f>SUMIF(data!$D:$D,$B56&amp;$D56,data!$J:$J)</f>
        <v>120</v>
      </c>
      <c r="J56" s="351">
        <f>SUMIF(data!$D:$D,$B56&amp;$D56,data!$K:$K)</f>
        <v>3000</v>
      </c>
      <c r="K56" s="100">
        <f>SUMIF(AJOUT!$A:$A,'PRO-NASA'!$V:$V,AJOUT!$L:$L)</f>
        <v>0</v>
      </c>
      <c r="L56" s="100">
        <v>0</v>
      </c>
      <c r="M56" s="650">
        <f t="shared" si="16"/>
        <v>341</v>
      </c>
      <c r="N56" s="351">
        <f t="shared" si="17"/>
        <v>8525</v>
      </c>
      <c r="O56" s="1161">
        <f t="shared" si="18"/>
        <v>17400</v>
      </c>
      <c r="P56" s="665"/>
      <c r="Q56" s="665"/>
      <c r="R56" s="804">
        <f>O56/INTGRATE!$N$293</f>
        <v>1581.8181818181818</v>
      </c>
      <c r="S56" s="665">
        <f t="shared" si="19"/>
        <v>5.389367816091954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17400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75</v>
      </c>
      <c r="F57" s="100">
        <f>SUMIF(pro!$A:$A,$V:$V,pro!$N:$N)</f>
        <v>0</v>
      </c>
      <c r="G57" s="351"/>
      <c r="H57" s="100"/>
      <c r="I57" s="351">
        <f>SUMIF(data!$D:$D,$B57&amp;$D57,data!$J:$J)</f>
        <v>35</v>
      </c>
      <c r="J57" s="351">
        <f>SUMIF(data!$D:$D,$B57&amp;$D57,data!$K:$K)</f>
        <v>875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40</v>
      </c>
      <c r="N57" s="351">
        <f t="shared" si="17"/>
        <v>1000</v>
      </c>
      <c r="O57" s="1161">
        <f t="shared" si="18"/>
        <v>4500</v>
      </c>
      <c r="P57" s="665"/>
      <c r="Q57" s="665"/>
      <c r="R57" s="804">
        <f>O57/INTGRATE!$N$293</f>
        <v>409.09090909090907</v>
      </c>
      <c r="S57" s="665">
        <f t="shared" si="19"/>
        <v>2.4444444444444446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>
        <v>0</v>
      </c>
      <c r="AE57" s="157">
        <v>500</v>
      </c>
      <c r="AF57" s="157">
        <v>125</v>
      </c>
      <c r="AG57" s="157"/>
      <c r="AH57" s="157">
        <v>250</v>
      </c>
      <c r="AI57" s="157">
        <v>875</v>
      </c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4500</v>
      </c>
    </row>
    <row r="58" spans="1:149" s="59" customFormat="1" ht="15" customHeight="1">
      <c r="A58" s="1094" t="s">
        <v>71</v>
      </c>
      <c r="B58" s="1095"/>
      <c r="C58" s="1095"/>
      <c r="D58" s="109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3000</v>
      </c>
      <c r="AF58" s="670">
        <f t="shared" si="28"/>
        <v>12950</v>
      </c>
      <c r="AG58" s="670">
        <f t="shared" si="28"/>
        <v>0</v>
      </c>
      <c r="AH58" s="670">
        <f t="shared" si="28"/>
        <v>28650</v>
      </c>
      <c r="AI58" s="670">
        <f t="shared" si="28"/>
        <v>36000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135475</v>
      </c>
      <c r="BF58" s="439"/>
    </row>
    <row r="59" spans="1:149" s="59" customFormat="1" ht="15" customHeight="1">
      <c r="A59" s="1094" t="s">
        <v>72</v>
      </c>
      <c r="B59" s="1095"/>
      <c r="C59" s="1095"/>
      <c r="D59" s="1096"/>
      <c r="E59" s="113">
        <f t="shared" ref="E59:S59" si="29">SUM(E41:E57)</f>
        <v>3517</v>
      </c>
      <c r="F59" s="113">
        <f t="shared" si="29"/>
        <v>1284</v>
      </c>
      <c r="G59" s="113">
        <f t="shared" si="29"/>
        <v>0</v>
      </c>
      <c r="H59" s="113">
        <f t="shared" si="29"/>
        <v>0</v>
      </c>
      <c r="I59" s="113">
        <f t="shared" si="29"/>
        <v>1440</v>
      </c>
      <c r="J59" s="113">
        <f t="shared" si="29"/>
        <v>36000</v>
      </c>
      <c r="K59" s="113">
        <f t="shared" si="29"/>
        <v>0</v>
      </c>
      <c r="L59" s="113">
        <f t="shared" si="29"/>
        <v>0</v>
      </c>
      <c r="M59" s="113">
        <f t="shared" si="29"/>
        <v>3361</v>
      </c>
      <c r="N59" s="113">
        <f t="shared" si="29"/>
        <v>84025</v>
      </c>
      <c r="O59" s="113">
        <f t="shared" si="29"/>
        <v>150000</v>
      </c>
      <c r="P59" s="113">
        <f t="shared" si="29"/>
        <v>0</v>
      </c>
      <c r="Q59" s="113">
        <f t="shared" si="29"/>
        <v>0</v>
      </c>
      <c r="R59" s="113">
        <f t="shared" si="29"/>
        <v>13636.363636363638</v>
      </c>
      <c r="S59" s="113">
        <f t="shared" si="29"/>
        <v>77.427347517625591</v>
      </c>
      <c r="T59" s="1097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094" t="s">
        <v>73</v>
      </c>
      <c r="B60" s="1095"/>
      <c r="C60" s="1095"/>
      <c r="D60" s="109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098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1042" t="s">
        <v>74</v>
      </c>
      <c r="B61" s="1043"/>
      <c r="C61" s="1043"/>
      <c r="D61" s="104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098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01" t="s">
        <v>75</v>
      </c>
      <c r="B62" s="1102"/>
      <c r="C62" s="1102"/>
      <c r="D62" s="1103"/>
      <c r="E62" s="73">
        <f>SUM(E58:E60)</f>
        <v>3517</v>
      </c>
      <c r="F62" s="73">
        <f>SUM(F58:F60)-F61</f>
        <v>1284</v>
      </c>
      <c r="G62" s="73">
        <f>SUM(G58:G60)</f>
        <v>0</v>
      </c>
      <c r="H62" s="73">
        <f t="shared" ref="H62:N62" si="30">SUM(H58:H60)</f>
        <v>0</v>
      </c>
      <c r="I62" s="73">
        <f>SUM(I58:I60)</f>
        <v>1440</v>
      </c>
      <c r="J62" s="73">
        <f t="shared" si="30"/>
        <v>36000</v>
      </c>
      <c r="K62" s="73">
        <f>SUM(K58:K60)</f>
        <v>0</v>
      </c>
      <c r="L62" s="73">
        <f t="shared" si="30"/>
        <v>0</v>
      </c>
      <c r="M62" s="478">
        <f t="shared" si="30"/>
        <v>3361</v>
      </c>
      <c r="N62" s="73">
        <f t="shared" si="30"/>
        <v>84025</v>
      </c>
      <c r="O62" s="1104">
        <f>SUM(O43:O57)</f>
        <v>150000</v>
      </c>
      <c r="P62" s="186"/>
      <c r="Q62" s="186"/>
      <c r="R62" s="1106">
        <f>SUM(R43:R57)</f>
        <v>13636.363636363638</v>
      </c>
      <c r="S62" s="1106" t="s">
        <v>83</v>
      </c>
      <c r="T62" s="1099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08" t="s">
        <v>77</v>
      </c>
      <c r="B63" s="1109"/>
      <c r="C63" s="1109"/>
      <c r="D63" s="1110"/>
      <c r="E63" s="70">
        <f>SUM(E58:E59)*25+E60*40</f>
        <v>87925</v>
      </c>
      <c r="F63" s="70">
        <f t="shared" ref="F63:M63" si="31">SUM(F58:F59)*25+F60*40</f>
        <v>32100</v>
      </c>
      <c r="G63" s="70">
        <f>SUM(G58:G59)*25+G60*40</f>
        <v>0</v>
      </c>
      <c r="H63" s="70">
        <f t="shared" si="31"/>
        <v>0</v>
      </c>
      <c r="I63" s="70">
        <f>SUM(I58:I59)*25+I60*40</f>
        <v>36000</v>
      </c>
      <c r="J63" s="70">
        <f>SUM(J58:J59)+J60</f>
        <v>36000</v>
      </c>
      <c r="K63" s="70">
        <f>+K62*25</f>
        <v>0</v>
      </c>
      <c r="L63" s="70">
        <f t="shared" si="31"/>
        <v>0</v>
      </c>
      <c r="M63" s="480">
        <f t="shared" si="31"/>
        <v>84025</v>
      </c>
      <c r="N63" s="70">
        <f>SUM(N58:N59)+N60</f>
        <v>84025</v>
      </c>
      <c r="O63" s="1105"/>
      <c r="P63" s="187"/>
      <c r="Q63" s="187"/>
      <c r="R63" s="1107"/>
      <c r="S63" s="1107"/>
      <c r="T63" s="1100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2"/>
  <sheetViews>
    <sheetView zoomScale="80" zoomScaleNormal="80" workbookViewId="0">
      <pane xSplit="5" ySplit="12" topLeftCell="F13" activePane="bottomRight" state="frozen"/>
      <selection pane="bottomRight" activeCell="AO319" sqref="AO31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v>46154</v>
      </c>
      <c r="P3" s="1124"/>
      <c r="Q3" s="1124"/>
      <c r="R3" s="1124"/>
      <c r="S3" s="1124"/>
      <c r="T3" s="1124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10" t="s">
        <v>22</v>
      </c>
      <c r="B10" s="901" t="s">
        <v>23</v>
      </c>
      <c r="C10" s="901" t="s">
        <v>24</v>
      </c>
      <c r="D10" s="907" t="s">
        <v>25</v>
      </c>
      <c r="E10" s="61" t="s">
        <v>26</v>
      </c>
      <c r="F10" s="904" t="s">
        <v>27</v>
      </c>
      <c r="G10" s="905"/>
      <c r="H10" s="906"/>
      <c r="I10" s="904" t="s">
        <v>28</v>
      </c>
      <c r="J10" s="905"/>
      <c r="K10" s="905"/>
      <c r="L10" s="905"/>
      <c r="M10" s="904" t="s">
        <v>29</v>
      </c>
      <c r="N10" s="906"/>
      <c r="O10" s="183" t="s">
        <v>30</v>
      </c>
      <c r="P10" s="183"/>
      <c r="Q10" s="183"/>
      <c r="R10" s="183" t="s">
        <v>31</v>
      </c>
      <c r="S10" s="907" t="s">
        <v>32</v>
      </c>
      <c r="T10" s="919" t="s">
        <v>33</v>
      </c>
      <c r="U10" s="1092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11"/>
      <c r="B11" s="902"/>
      <c r="C11" s="902"/>
      <c r="D11" s="908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04" t="s">
        <v>40</v>
      </c>
      <c r="J11" s="905"/>
      <c r="K11" s="512" t="s">
        <v>41</v>
      </c>
      <c r="L11" s="681" t="s">
        <v>42</v>
      </c>
      <c r="M11" s="922" t="s">
        <v>43</v>
      </c>
      <c r="N11" s="1127"/>
      <c r="O11" s="683" t="s">
        <v>44</v>
      </c>
      <c r="P11" s="184"/>
      <c r="Q11" s="184"/>
      <c r="R11" s="683" t="s">
        <v>45</v>
      </c>
      <c r="S11" s="908"/>
      <c r="T11" s="920"/>
      <c r="U11" s="1093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12"/>
      <c r="B12" s="903"/>
      <c r="C12" s="903"/>
      <c r="D12" s="909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09"/>
      <c r="T12" s="92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73335</v>
      </c>
      <c r="Q14" s="804">
        <f>SUM(O16,O26:O41)</f>
        <v>112295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6" si="6">M15*25</f>
        <v>0</v>
      </c>
      <c r="O15" s="1159">
        <f t="shared" ref="O15:O86" si="7">SUM(X15:BB15)</f>
        <v>0</v>
      </c>
      <c r="P15" s="804">
        <f>SUM(N18:N20,N55,N58:N59,N82:N82,N89:N96,N57,N83,N54)</f>
        <v>197300</v>
      </c>
      <c r="Q15" s="804">
        <f>SUM(O18:O20,O55,O58:O59,O82:O82,O89:O96,O57,O83,O54)</f>
        <v>637280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BC254+BC323+BC322+BC37+BC16+BC18+BC20+BC38+SUM(BC89:BC109)+SUM(BC177:BC177)+BC253+BC251+BC295+BC36+BC255+BC118+BC123+BC124+BC180+BC182+BC261+BC126+BC252+BC262+BC19+BC125</f>
        <v>677865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SUM(N13:N150)-P13-P14-P15-P17-P18-P19</f>
        <v>399750</v>
      </c>
      <c r="Q16" s="804">
        <f>SUM(O13:O150)-Q13-Q14-Q15-Q17-Q18-Q19</f>
        <v>1546925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+SUM(BC13:BC14)+SUM(BC23:BC24)+SUM(BC39:BC39)+SUM(BC110:BC132)+SUM(BC178:BC184)+SUM(BC256:BC265)+SUM(BC296:BC298)+SUM(BC324:BC326)-BC118-BC123-BC124-BC180-BC182-BC262-BC261-BC126-BC125</f>
        <v>1618265</v>
      </c>
      <c r="BG16" s="38"/>
      <c r="BH16" s="436" t="s">
        <v>93</v>
      </c>
      <c r="BI16" s="1163">
        <f>+BF15+BF16+BF17</f>
        <v>3003770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+N17+SUM(N43:N46,N114:N126,N98:N103)-N115+SUM(N104:N109)</f>
        <v>277225</v>
      </c>
      <c r="Q17" s="804">
        <f>+O17+SUM(O43:O46,O114:O126,O98:O103)-O115+SUM(O104:O109)</f>
        <v>986385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+BC15+BC25+SUM(BC133:BC144)+SUM(BC185:BC187)+SUM(BC266:BC274)+SUM(BC299:BC300)</f>
        <v>707640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+SUM(N64:N75,N60:N61,N47:N52)</f>
        <v>196675</v>
      </c>
      <c r="Q18" s="804">
        <f>+SUM(O64:O75,O60:O61,O47:O52)</f>
        <v>217875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3" si="8">SUM(X18:BB18)</f>
        <v>0</v>
      </c>
      <c r="BD18" s="786">
        <f t="shared" ref="BD18:BD83" si="9">COUNTIF(X18:BB18,"&gt;0")</f>
        <v>0</v>
      </c>
      <c r="BE18" s="786">
        <f t="shared" ref="BE18:BE83" si="10">IFERROR(BC18/BD18,0)</f>
        <v>0</v>
      </c>
      <c r="BF18" s="1163">
        <f>BC227+BC226+BC50+BC220+BC221+BC49+BC46+BC53+BC45+BC232+BC230+BC42+BC47++BC48+BC51++BC52+BC55+BC57+BC61+BC169+BC317+BC170+BC222+BC229+BC224+BC218+BC223+BC219+BC228+BC225+BC54+BC231</f>
        <v>732595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+N42+N51+N52+N62+N63</f>
        <v>53775</v>
      </c>
      <c r="Q19" s="804">
        <f>+O42+O51+O52+O62+O63</f>
        <v>316565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13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10</v>
      </c>
      <c r="J20" s="100">
        <f>SUMIF(data!$D:$D,$B20&amp;$D20,data!$K:$K)</f>
        <v>250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3</v>
      </c>
      <c r="N20" s="652">
        <f t="shared" si="6"/>
        <v>75</v>
      </c>
      <c r="O20" s="1159">
        <f t="shared" si="7"/>
        <v>3875</v>
      </c>
      <c r="P20" s="804"/>
      <c r="Q20" s="804"/>
      <c r="R20" s="100">
        <f>O20/INTGRATE!$N$293</f>
        <v>352.27272727272725</v>
      </c>
      <c r="S20" s="665">
        <f t="shared" si="0"/>
        <v>0.21290322580645163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3875</v>
      </c>
      <c r="BD20" s="786">
        <f t="shared" si="9"/>
        <v>6</v>
      </c>
      <c r="BE20" s="786">
        <f t="shared" si="10"/>
        <v>645.83333333333337</v>
      </c>
      <c r="BF20" s="1163">
        <f>BC71+BC214+BC216+BC319+BC213+BC215+BC72+BC208+BC66+BC67+BC293+BC30+BC33+BC64+BC65+BC68+BC73+BC74+BC75+BC34+BC35+BC69+BC207+BC32+BC217+BC315+BC318+BC316+BC211+BC209+BC70+BC291+BC212+BC294+BC31+BC292+BC210</f>
        <v>286300</v>
      </c>
      <c r="BG20" s="38" t="s">
        <v>100</v>
      </c>
      <c r="BH20" s="436" t="s">
        <v>101</v>
      </c>
      <c r="BI20" s="1163">
        <f>+BF18+BF20+BF21</f>
        <v>1100870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+BC17+BC43+BC44+BC58+BC59+BC60</f>
        <v>81975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+BC76+BC82+BC87+BC246+BC250+BC83+BC84+BC172+BC85+BC86+BC173+BC171+BC320+BC321+BC248+BC247+BC249</f>
        <v>330475</v>
      </c>
      <c r="BG22" s="598"/>
      <c r="BH22" s="599" t="s">
        <v>108</v>
      </c>
      <c r="BI22" s="85">
        <f>+BF22+BF23+BF27+BF29</f>
        <v>374675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P15+P169+P217+P296+P320</f>
        <v>221400</v>
      </c>
      <c r="Q23" s="804">
        <f>Q15+Q169+Q217+Q296+Q320</f>
        <v>669780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+BC88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+BC26+BC29+BC27+BC233+BC62+BC63+BC28</f>
        <v>128490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+P17+P171+P233+P297+P324</f>
        <v>374500</v>
      </c>
      <c r="Q25" s="804">
        <f>+Q17+Q171+Q233+Q297+Q324</f>
        <v>1218360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BC238+BC242+BC243+BC244+BC239+BC240+BC241+BC236+BC237+BC245+BC234+BC21+BC22+BC40+BC145+BC150+BC167+BC168+BC193+BC188+BC190+BC41+BC147+BC148+BC189+BC149+BC327+BC330+BC328+BC329+BC235+BC146</f>
        <v>337165</v>
      </c>
      <c r="BH25" s="436" t="s">
        <v>116</v>
      </c>
      <c r="BI25" s="85">
        <f>+BF24+BF25+BF26-BF32</f>
        <v>433865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572</v>
      </c>
      <c r="F26" s="100">
        <f>SUMIF(pro!$A:$A,$V:$V,pro!$N:$N)</f>
        <v>671</v>
      </c>
      <c r="G26" s="100"/>
      <c r="H26" s="100">
        <f>SUMIF(CBIN!$A:$A,BRAN!$V:$V,CBIN!$G:$G)</f>
        <v>0</v>
      </c>
      <c r="I26" s="100">
        <f>SUMIF(data!$D:$D,$B26&amp;$D26,data!$J:$J)</f>
        <v>216</v>
      </c>
      <c r="J26" s="100">
        <f>SUMIF(data!$D:$D,$B26&amp;$D26,data!$K:$K)</f>
        <v>5400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1027</v>
      </c>
      <c r="N26" s="652">
        <f t="shared" si="6"/>
        <v>25675</v>
      </c>
      <c r="O26" s="1159">
        <f t="shared" si="7"/>
        <v>45300</v>
      </c>
      <c r="P26" s="804"/>
      <c r="Q26" s="804"/>
      <c r="R26" s="100">
        <f>O26/INTGRATE!$N$293</f>
        <v>4118.181818181818</v>
      </c>
      <c r="S26" s="665">
        <f t="shared" si="0"/>
        <v>6.2345474613686536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45300</v>
      </c>
      <c r="BD26" s="786">
        <f t="shared" si="9"/>
        <v>9</v>
      </c>
      <c r="BE26" s="786">
        <f t="shared" si="10"/>
        <v>5033.333333333333</v>
      </c>
      <c r="BF26" s="85">
        <f>+BC191+BC192+BC331</f>
        <v>8850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+BC79+BC276+BC175+BC80+BC78+BC81+BC176+BC275+BC174</f>
        <v>44200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1166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12</v>
      </c>
      <c r="J29" s="100">
        <f>SUMIF(data!$D:$D,$B29&amp;$D29,data!$K:$K)</f>
        <v>300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1154</v>
      </c>
      <c r="N29" s="652">
        <f t="shared" si="6"/>
        <v>28850</v>
      </c>
      <c r="O29" s="1159">
        <f t="shared" si="7"/>
        <v>15300</v>
      </c>
      <c r="P29" s="804"/>
      <c r="Q29" s="804"/>
      <c r="R29" s="100">
        <f>O29/INTGRATE!$N$293</f>
        <v>1390.909090909091</v>
      </c>
      <c r="S29" s="665">
        <f t="shared" si="0"/>
        <v>20.741830065359476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15300</v>
      </c>
      <c r="BD29" s="786">
        <f t="shared" si="9"/>
        <v>8</v>
      </c>
      <c r="BE29" s="786">
        <f t="shared" si="10"/>
        <v>1912.5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BC254+BC97+BC93+BC116+BC136+BC140+BC143+BC90+BC103+BC108+BC137+BC142+BC113+BC119+BC128+BC129+BC135+BC124+BC121+BC271+BC267+BC257+BC262+BC252+BC268+BC264+BC272+BC106+BC111+BC131+BC95+BC260+BC125+BC102+BC273+BC115+BC99</f>
        <v>597000</v>
      </c>
      <c r="BG30" s="38"/>
      <c r="BH30" s="436" t="s">
        <v>121</v>
      </c>
      <c r="BI30" s="85">
        <f>+BI16-BF30</f>
        <v>2406770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+BC63</f>
        <v>40640</v>
      </c>
      <c r="BG32" s="38"/>
      <c r="BH32" s="436" t="s">
        <v>122</v>
      </c>
      <c r="BI32" s="85">
        <f>BF24-BF32</f>
        <v>87850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BC71+BC214+BC50+BC213+BC220+BC34+BC65+BC68+BC74+BC48+BC52+BC35+BC217+BC316+BC211+BC209+BC291+BC31+BC292+BC293+BC210+BC208+BC223+BC219+BC228+BC225+BC232+BC56</f>
        <v>55500</v>
      </c>
      <c r="BG33" s="38"/>
      <c r="BH33" s="436" t="s">
        <v>123</v>
      </c>
      <c r="BI33" s="85">
        <f>+BI20-BF33</f>
        <v>1045370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25">
        <v>0</v>
      </c>
      <c r="AI34" s="100">
        <v>0</v>
      </c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BC85+BC86+BC248+BC247</f>
        <v>0</v>
      </c>
      <c r="BG34" s="38"/>
      <c r="BH34" s="436" t="s">
        <v>124</v>
      </c>
      <c r="BI34" s="85">
        <f>+BI22-BF34</f>
        <v>374675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25">
        <v>0</v>
      </c>
      <c r="AI35" s="100">
        <v>0</v>
      </c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+BC240+BC239+BC243</f>
        <v>99940</v>
      </c>
      <c r="BG35" s="38"/>
      <c r="BH35" s="436" t="s">
        <v>126</v>
      </c>
      <c r="BI35" s="85">
        <f>+BF25-BF35</f>
        <v>237225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16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5</v>
      </c>
      <c r="J36" s="100">
        <f>SUMIF(data!$D:$D,$B36&amp;$D36,data!$K:$K)</f>
        <v>50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4" si="18">E36+F36+H36-I36-L36+G36-K36</f>
        <v>11</v>
      </c>
      <c r="N36" s="652">
        <f>+M36*D36</f>
        <v>110</v>
      </c>
      <c r="O36" s="1159">
        <f t="shared" si="7"/>
        <v>2170</v>
      </c>
      <c r="P36" s="804"/>
      <c r="Q36" s="804"/>
      <c r="R36" s="100">
        <f>O36/INTGRATE!$N$293</f>
        <v>197.27272727272728</v>
      </c>
      <c r="S36" s="665">
        <f t="shared" si="0"/>
        <v>0.55760368663594473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2170</v>
      </c>
      <c r="BD36" s="786">
        <f t="shared" si="9"/>
        <v>6</v>
      </c>
      <c r="BE36" s="786">
        <f t="shared" si="10"/>
        <v>361.66666666666669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4953820</v>
      </c>
      <c r="BI37" s="85">
        <f>+BH37-BJ37</f>
        <v>4160740</v>
      </c>
      <c r="BJ37" s="85">
        <f>BF34+BF33+BF32+BF30+BF35</f>
        <v>793080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+BH37-BC333</f>
        <v>-13530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243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30</v>
      </c>
      <c r="J39" s="100">
        <f>SUMIF(data!$D:$D,$B39&amp;$D39,data!$K:$K)</f>
        <v>750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213</v>
      </c>
      <c r="N39" s="652">
        <f t="shared" si="6"/>
        <v>5325</v>
      </c>
      <c r="O39" s="1159">
        <f t="shared" si="7"/>
        <v>3150</v>
      </c>
      <c r="P39" s="804"/>
      <c r="Q39" s="804"/>
      <c r="R39" s="100">
        <f>O39/INTGRATE!$N$293</f>
        <v>286.36363636363637</v>
      </c>
      <c r="S39" s="665">
        <f t="shared" si="0"/>
        <v>18.595238095238095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3150</v>
      </c>
      <c r="BD39" s="786">
        <f t="shared" si="9"/>
        <v>6</v>
      </c>
      <c r="BE39" s="786">
        <f t="shared" si="10"/>
        <v>525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946</v>
      </c>
      <c r="F40" s="100">
        <f>SUMIF(pro!$A:$A,$V:$V,pro!$N:$N)</f>
        <v>285</v>
      </c>
      <c r="G40" s="100"/>
      <c r="H40" s="100">
        <f>SUMIF(CBIN!$A:$A,BRAN!$V:$V,CBIN!$G:$G)</f>
        <v>0</v>
      </c>
      <c r="I40" s="100">
        <f>SUMIF(data!$D:$D,$B40&amp;$D40,data!$J:$J)</f>
        <v>700</v>
      </c>
      <c r="J40" s="100">
        <f>SUMIF(data!$D:$D,$B40&amp;$D40,data!$K:$K)</f>
        <v>17500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531</v>
      </c>
      <c r="N40" s="652">
        <f t="shared" si="6"/>
        <v>13275</v>
      </c>
      <c r="O40" s="1159">
        <f t="shared" si="7"/>
        <v>38625</v>
      </c>
      <c r="P40" s="804"/>
      <c r="Q40" s="804"/>
      <c r="R40" s="100">
        <f>O40/INTGRATE!$N$293</f>
        <v>3511.3636363636365</v>
      </c>
      <c r="S40" s="665">
        <f t="shared" si="0"/>
        <v>3.7805825242718445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38625</v>
      </c>
      <c r="BD40" s="786">
        <f t="shared" si="9"/>
        <v>7</v>
      </c>
      <c r="BE40" s="786">
        <f t="shared" si="10"/>
        <v>5517.8571428571431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4</v>
      </c>
      <c r="N41" s="652">
        <f t="shared" si="6"/>
        <v>100</v>
      </c>
      <c r="O41" s="1159">
        <f t="shared" si="7"/>
        <v>7750</v>
      </c>
      <c r="P41" s="804"/>
      <c r="Q41" s="804"/>
      <c r="R41" s="100">
        <f>O41/INTGRATE!$N$293</f>
        <v>704.5454545454545</v>
      </c>
      <c r="S41" s="665">
        <f t="shared" si="0"/>
        <v>0.14193548387096774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7750</v>
      </c>
      <c r="BD41" s="786">
        <f t="shared" si="9"/>
        <v>1</v>
      </c>
      <c r="BE41" s="786">
        <f t="shared" si="10"/>
        <v>7750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2841</v>
      </c>
      <c r="F42" s="100">
        <f>SUMIF(pro!$A:$A,$V:$V,pro!$N:$N)</f>
        <v>0</v>
      </c>
      <c r="G42" s="100"/>
      <c r="H42" s="100">
        <f>SUMIF(CBIN!$A:$A,BRAN!$V:$V,CBIN!$G:$G)</f>
        <v>0</v>
      </c>
      <c r="I42" s="100">
        <f>SUMIF(data!$D:$D,$B42&amp;$D42,data!$J:$J)</f>
        <v>1406</v>
      </c>
      <c r="J42" s="100">
        <f>SUMIF(data!$D:$D,$B42&amp;$D42,data!$K:$K)</f>
        <v>35150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1435</v>
      </c>
      <c r="N42" s="652">
        <f t="shared" si="6"/>
        <v>35875</v>
      </c>
      <c r="O42" s="1159">
        <f t="shared" si="7"/>
        <v>248675</v>
      </c>
      <c r="P42" s="804"/>
      <c r="Q42" s="804"/>
      <c r="R42" s="100">
        <f>O42/INTGRATE!$N$293</f>
        <v>22606.81818181818</v>
      </c>
      <c r="S42" s="665">
        <f t="shared" si="0"/>
        <v>1.5869106263194934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248675</v>
      </c>
      <c r="BD42" s="786">
        <f t="shared" si="9"/>
        <v>10</v>
      </c>
      <c r="BE42" s="786">
        <f t="shared" si="10"/>
        <v>24867.5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405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140</v>
      </c>
      <c r="J44" s="100">
        <f>SUMIF(data!$D:$D,$B44&amp;$D44,data!$K:$K)</f>
        <v>3500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265</v>
      </c>
      <c r="N44" s="652">
        <f t="shared" si="6"/>
        <v>6625</v>
      </c>
      <c r="O44" s="1159">
        <f t="shared" si="7"/>
        <v>24250</v>
      </c>
      <c r="P44" s="804"/>
      <c r="Q44" s="804"/>
      <c r="R44" s="100">
        <f>O44/INTGRATE!$N$293</f>
        <v>2204.5454545454545</v>
      </c>
      <c r="S44" s="665">
        <f t="shared" si="0"/>
        <v>3.0051546391752577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24250</v>
      </c>
      <c r="BD44" s="786">
        <f t="shared" si="9"/>
        <v>10</v>
      </c>
      <c r="BE44" s="786">
        <f t="shared" si="10"/>
        <v>2425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587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340</v>
      </c>
      <c r="J45" s="100">
        <f>SUMIF(data!$D:$D,$B45&amp;$D45,data!$K:$K)</f>
        <v>8500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247</v>
      </c>
      <c r="N45" s="652">
        <f t="shared" si="6"/>
        <v>6175</v>
      </c>
      <c r="O45" s="1159">
        <f t="shared" si="7"/>
        <v>17225</v>
      </c>
      <c r="P45" s="804"/>
      <c r="Q45" s="804"/>
      <c r="R45" s="100">
        <f>O45/INTGRATE!$N$293</f>
        <v>1565.909090909091</v>
      </c>
      <c r="S45" s="665">
        <f t="shared" si="0"/>
        <v>3.9433962264150941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17225</v>
      </c>
      <c r="BD45" s="786">
        <f t="shared" si="9"/>
        <v>3</v>
      </c>
      <c r="BE45" s="786">
        <f t="shared" si="10"/>
        <v>5741.666666666667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60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40</v>
      </c>
      <c r="J47" s="100">
        <f>SUMIF(data!$D:$D,$B47&amp;$D47,data!$K:$K)</f>
        <v>1000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20</v>
      </c>
      <c r="N47" s="652">
        <f t="shared" si="6"/>
        <v>500</v>
      </c>
      <c r="O47" s="1159">
        <f t="shared" si="7"/>
        <v>22825</v>
      </c>
      <c r="P47" s="804"/>
      <c r="Q47" s="804"/>
      <c r="R47" s="100">
        <f>O47/INTGRATE!$N$293</f>
        <v>2075</v>
      </c>
      <c r="S47" s="665">
        <f t="shared" si="0"/>
        <v>0.24096385542168675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22825</v>
      </c>
      <c r="BD47" s="786">
        <f t="shared" si="9"/>
        <v>9</v>
      </c>
      <c r="BE47" s="786">
        <f t="shared" si="10"/>
        <v>2536.1111111111113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25">
        <v>0</v>
      </c>
      <c r="AI48" s="100">
        <v>0</v>
      </c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48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48</v>
      </c>
      <c r="N49" s="652">
        <f>M49*25</f>
        <v>1200</v>
      </c>
      <c r="O49" s="1159">
        <f>SUM(X49:BB49)</f>
        <v>24000</v>
      </c>
      <c r="P49" s="804"/>
      <c r="Q49" s="804"/>
      <c r="R49" s="100">
        <f>O49/INTGRATE!$N$293</f>
        <v>2181.818181818182</v>
      </c>
      <c r="S49" s="665">
        <f t="shared" si="0"/>
        <v>0.54999999999999993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25">
        <v>6000</v>
      </c>
      <c r="AI49" s="100">
        <v>0</v>
      </c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24000</v>
      </c>
      <c r="BD49" s="786">
        <f t="shared" si="9"/>
        <v>4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25">
        <v>0</v>
      </c>
      <c r="AI50" s="100">
        <v>0</v>
      </c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6" si="19">IF(R51=0,0,N51/R51)</f>
        <v>0</v>
      </c>
      <c r="T51" s="505"/>
      <c r="U51" s="136"/>
      <c r="V51" s="836" t="str">
        <f t="shared" ref="V51:V107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25">
        <v>0</v>
      </c>
      <c r="AI52" s="100">
        <v>0</v>
      </c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25">
        <v>0</v>
      </c>
      <c r="AI53" s="100">
        <v>0</v>
      </c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1292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1292</v>
      </c>
      <c r="N54" s="652">
        <f t="shared" si="6"/>
        <v>32300</v>
      </c>
      <c r="O54" s="1159">
        <f t="shared" si="7"/>
        <v>46875</v>
      </c>
      <c r="P54" s="804"/>
      <c r="Q54" s="804"/>
      <c r="R54" s="100">
        <f>O54/INTGRATE!$N$293</f>
        <v>4261.363636363636</v>
      </c>
      <c r="S54" s="665">
        <f t="shared" si="19"/>
        <v>7.5797333333333343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25">
        <v>0</v>
      </c>
      <c r="AI54" s="100">
        <v>0</v>
      </c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46875</v>
      </c>
      <c r="BD54" s="786">
        <f t="shared" si="9"/>
        <v>5</v>
      </c>
      <c r="BE54" s="786">
        <f t="shared" si="10"/>
        <v>9375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2130</v>
      </c>
      <c r="F55" s="100">
        <f>SUMIF(pro!$A:$A,$V:$V,pro!$N:$N)</f>
        <v>2930</v>
      </c>
      <c r="G55" s="100"/>
      <c r="H55" s="100">
        <f>SUMIF(CBIN!$A:$A,BRAN!$V:$V,CBIN!$G:$G)</f>
        <v>0</v>
      </c>
      <c r="I55" s="100">
        <f>SUMIF(data!$D:$D,$B55&amp;$D55,data!$J:$J)</f>
        <v>1497</v>
      </c>
      <c r="J55" s="100">
        <f>SUMIF(data!$D:$D,$B55&amp;$D55,data!$K:$K)</f>
        <v>37425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3563</v>
      </c>
      <c r="N55" s="652">
        <f t="shared" si="6"/>
        <v>89075</v>
      </c>
      <c r="O55" s="1159">
        <f t="shared" si="7"/>
        <v>267950</v>
      </c>
      <c r="P55" s="804"/>
      <c r="Q55" s="804"/>
      <c r="R55" s="100">
        <f>O55/INTGRATE!$N$293</f>
        <v>24359.090909090908</v>
      </c>
      <c r="S55" s="665">
        <f t="shared" si="19"/>
        <v>3.6567456615040119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267950</v>
      </c>
      <c r="BD55" s="786">
        <f t="shared" si="9"/>
        <v>10</v>
      </c>
      <c r="BE55" s="786">
        <f t="shared" si="10"/>
        <v>26795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139</v>
      </c>
      <c r="C56" s="1170" t="s">
        <v>55</v>
      </c>
      <c r="D56" s="169" t="s">
        <v>66</v>
      </c>
      <c r="E56" s="100"/>
      <c r="F56" s="425">
        <f>+J56</f>
        <v>13530</v>
      </c>
      <c r="G56" s="100"/>
      <c r="H56" s="100"/>
      <c r="I56" s="100"/>
      <c r="J56" s="100">
        <f>SUMIF(data!$D:$D,$B56&amp;$D56,data!$K:$K)</f>
        <v>13530</v>
      </c>
      <c r="K56" s="100"/>
      <c r="L56" s="100"/>
      <c r="M56" s="1158"/>
      <c r="N56" s="652"/>
      <c r="O56" s="1159">
        <f t="shared" ref="O56" si="21">SUM(X56:BB56)</f>
        <v>13530</v>
      </c>
      <c r="P56" s="804"/>
      <c r="Q56" s="804"/>
      <c r="R56" s="100">
        <f>O56/INTGRATE!$N$293</f>
        <v>1230</v>
      </c>
      <c r="S56" s="665">
        <f t="shared" ref="S56" si="22">IF(R56=0,0,N56/R56)</f>
        <v>0</v>
      </c>
      <c r="T56" s="505"/>
      <c r="U56" s="136"/>
      <c r="V56" s="836" t="str">
        <f t="shared" si="20"/>
        <v>511BSILO</v>
      </c>
      <c r="W56" s="823" t="s">
        <v>140</v>
      </c>
      <c r="X56" s="386"/>
      <c r="Y56" s="386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13530</v>
      </c>
      <c r="BD56" s="786">
        <f t="shared" ref="BD56" si="23">COUNTIF(X56:BB56,"&gt;0")</f>
        <v>1</v>
      </c>
      <c r="BE56" s="786">
        <f t="shared" ref="BE56" si="24">IFERROR(BC56/BD56,0)</f>
        <v>13530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141</v>
      </c>
      <c r="C57" s="168" t="s">
        <v>55</v>
      </c>
      <c r="D57" s="169">
        <v>25</v>
      </c>
      <c r="E57" s="100">
        <v>0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0</v>
      </c>
      <c r="N57" s="652">
        <f t="shared" si="6"/>
        <v>0</v>
      </c>
      <c r="O57" s="1159">
        <f t="shared" si="7"/>
        <v>0</v>
      </c>
      <c r="P57" s="804"/>
      <c r="Q57" s="804"/>
      <c r="R57" s="100">
        <f>O57/INTGRATE!$N$293</f>
        <v>0</v>
      </c>
      <c r="S57" s="665">
        <f t="shared" si="19"/>
        <v>0</v>
      </c>
      <c r="T57" s="403"/>
      <c r="U57" s="136"/>
      <c r="V57" s="836" t="str">
        <f t="shared" si="20"/>
        <v>511C25</v>
      </c>
      <c r="W57" s="823">
        <v>114001</v>
      </c>
      <c r="X57" s="386"/>
      <c r="Y57" s="386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0</v>
      </c>
      <c r="BD57" s="786">
        <f t="shared" si="9"/>
        <v>0</v>
      </c>
      <c r="BE57" s="786">
        <f t="shared" si="10"/>
        <v>0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142</v>
      </c>
      <c r="C58" s="165" t="s">
        <v>55</v>
      </c>
      <c r="D58" s="169">
        <v>25</v>
      </c>
      <c r="E58" s="100">
        <v>225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211</v>
      </c>
      <c r="J58" s="100">
        <f>SUMIF(data!$D:$D,$B58&amp;$D58,data!$K:$K)</f>
        <v>5275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14</v>
      </c>
      <c r="N58" s="652">
        <f t="shared" si="6"/>
        <v>350</v>
      </c>
      <c r="O58" s="1159">
        <f t="shared" si="7"/>
        <v>14175</v>
      </c>
      <c r="P58" s="804"/>
      <c r="Q58" s="804"/>
      <c r="R58" s="100">
        <f>O58/INTGRATE!$N$293</f>
        <v>1288.6363636363637</v>
      </c>
      <c r="S58" s="665">
        <f t="shared" si="19"/>
        <v>0.27160493827160492</v>
      </c>
      <c r="T58" s="403"/>
      <c r="U58" s="136"/>
      <c r="V58" s="836" t="str">
        <f t="shared" si="20"/>
        <v>511L25</v>
      </c>
      <c r="W58" s="823">
        <v>162001</v>
      </c>
      <c r="X58" s="386"/>
      <c r="Y58" s="386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14175</v>
      </c>
      <c r="BD58" s="786">
        <f t="shared" si="9"/>
        <v>8</v>
      </c>
      <c r="BE58" s="786">
        <f t="shared" si="10"/>
        <v>1771.875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143</v>
      </c>
      <c r="C59" s="1170" t="s">
        <v>55</v>
      </c>
      <c r="D59" s="169">
        <v>25</v>
      </c>
      <c r="E59" s="100">
        <v>1236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263</v>
      </c>
      <c r="J59" s="100">
        <f>SUMIF(data!$D:$D,$B59&amp;$D59,data!$K:$K)</f>
        <v>6575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973</v>
      </c>
      <c r="N59" s="652">
        <f t="shared" si="6"/>
        <v>24325</v>
      </c>
      <c r="O59" s="1159">
        <f t="shared" si="7"/>
        <v>43550</v>
      </c>
      <c r="P59" s="804"/>
      <c r="Q59" s="804"/>
      <c r="R59" s="100">
        <f>O59/INTGRATE!$N$293</f>
        <v>3959.090909090909</v>
      </c>
      <c r="S59" s="665">
        <f t="shared" si="19"/>
        <v>6.1440872560275546</v>
      </c>
      <c r="T59" s="403"/>
      <c r="U59" s="136"/>
      <c r="V59" s="836" t="str">
        <f t="shared" si="20"/>
        <v>511M25</v>
      </c>
      <c r="W59" s="823">
        <v>162201</v>
      </c>
      <c r="X59" s="386"/>
      <c r="Y59" s="386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43550</v>
      </c>
      <c r="BD59" s="786">
        <f t="shared" si="9"/>
        <v>10</v>
      </c>
      <c r="BE59" s="786">
        <f t="shared" si="10"/>
        <v>4355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 t="s">
        <v>144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512M25</v>
      </c>
      <c r="W60" s="823">
        <v>162301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68">
        <v>513</v>
      </c>
      <c r="C61" s="168" t="s">
        <v>51</v>
      </c>
      <c r="D61" s="169">
        <v>25</v>
      </c>
      <c r="E61" s="100">
        <v>0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0</v>
      </c>
      <c r="N61" s="652">
        <f t="shared" si="6"/>
        <v>0</v>
      </c>
      <c r="O61" s="1159">
        <f t="shared" si="7"/>
        <v>0</v>
      </c>
      <c r="P61" s="804"/>
      <c r="Q61" s="804"/>
      <c r="R61" s="100">
        <f>O61/INTGRATE!$N$293</f>
        <v>0</v>
      </c>
      <c r="S61" s="665">
        <f t="shared" si="19"/>
        <v>0</v>
      </c>
      <c r="T61" s="403"/>
      <c r="U61" s="136"/>
      <c r="V61" s="836" t="str">
        <f t="shared" si="20"/>
        <v>51325</v>
      </c>
      <c r="W61" s="823">
        <v>115001</v>
      </c>
      <c r="X61" s="386"/>
      <c r="Y61" s="386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0</v>
      </c>
      <c r="BD61" s="786">
        <f t="shared" si="9"/>
        <v>0</v>
      </c>
      <c r="BE61" s="786">
        <f t="shared" si="10"/>
        <v>0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160">
        <v>25</v>
      </c>
      <c r="E62" s="100">
        <v>916</v>
      </c>
      <c r="F62" s="100">
        <f>SUMIF(pro!$A:$A,$V:$V,pro!$N:$N)</f>
        <v>0</v>
      </c>
      <c r="G62" s="100"/>
      <c r="H62" s="100">
        <f>SUMIF(CBIN!$A:$A,BRAN!$V:$V,CBIN!$G:$G)</f>
        <v>0</v>
      </c>
      <c r="I62" s="100">
        <f>SUMIF(data!$D:$D,$B62&amp;$D62,data!$J:$J)</f>
        <v>200</v>
      </c>
      <c r="J62" s="100">
        <f>SUMIF(data!$D:$D,$B62&amp;$D62,data!$K:$K)</f>
        <v>5000</v>
      </c>
      <c r="K62" s="100">
        <f>SUMIF(AJOUT!$A:$A,BRAN!$V:$V,AJOUT!$L:$L)</f>
        <v>0</v>
      </c>
      <c r="L62" s="100">
        <f>SUMIF(CBOUT!$A:$A,BRAN!$V:$V,CBOUT!$G:$G)</f>
        <v>0</v>
      </c>
      <c r="M62" s="1158">
        <f t="shared" si="18"/>
        <v>716</v>
      </c>
      <c r="N62" s="652">
        <f t="shared" si="6"/>
        <v>17900</v>
      </c>
      <c r="O62" s="1159">
        <f t="shared" si="7"/>
        <v>27250</v>
      </c>
      <c r="P62" s="804"/>
      <c r="Q62" s="804"/>
      <c r="R62" s="100">
        <f>O62/INTGRATE!$N$293</f>
        <v>2477.2727272727275</v>
      </c>
      <c r="S62" s="665">
        <f>IF(R62=0,0,N62/R62)</f>
        <v>7.2256880733944948</v>
      </c>
      <c r="T62" s="403"/>
      <c r="U62" s="136"/>
      <c r="V62" s="836" t="str">
        <f t="shared" si="20"/>
        <v>50225</v>
      </c>
      <c r="W62" s="823">
        <v>546001</v>
      </c>
      <c r="X62" s="386"/>
      <c r="Y62" s="386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27250</v>
      </c>
      <c r="BD62" s="786">
        <f t="shared" si="9"/>
        <v>5</v>
      </c>
      <c r="BE62" s="786">
        <f t="shared" si="10"/>
        <v>5450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59">
        <v>502</v>
      </c>
      <c r="C63" s="159" t="s">
        <v>132</v>
      </c>
      <c r="D63" s="795" t="s">
        <v>66</v>
      </c>
      <c r="E63" s="100"/>
      <c r="F63" s="425">
        <f>+J63</f>
        <v>13870</v>
      </c>
      <c r="G63" s="425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13870</v>
      </c>
      <c r="K63" s="100"/>
      <c r="L63" s="100"/>
      <c r="M63" s="1158"/>
      <c r="N63" s="652"/>
      <c r="O63" s="1159">
        <f>SUM(X63:BB63)</f>
        <v>40640</v>
      </c>
      <c r="P63" s="804"/>
      <c r="Q63" s="804"/>
      <c r="R63" s="100">
        <f>O63/INTGRATE!$N$293</f>
        <v>3694.5454545454545</v>
      </c>
      <c r="S63" s="665">
        <f>IF(R63=0,0,N63/R63)</f>
        <v>0</v>
      </c>
      <c r="T63" s="403"/>
      <c r="U63" s="136"/>
      <c r="V63" s="836" t="str">
        <f>B63&amp;D63</f>
        <v>502SILO</v>
      </c>
      <c r="W63" s="823">
        <v>546001</v>
      </c>
      <c r="X63" s="386"/>
      <c r="Y63" s="386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40640</v>
      </c>
      <c r="BD63" s="786">
        <f t="shared" si="9"/>
        <v>3</v>
      </c>
      <c r="BE63" s="786">
        <f t="shared" si="10"/>
        <v>13546.666666666666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>
        <v>25</v>
      </c>
      <c r="E64" s="100">
        <v>0</v>
      </c>
      <c r="F64" s="100">
        <f>SUMIF(pro!$A:$A,$V:$V,pro!$N:$N)</f>
        <v>0</v>
      </c>
      <c r="G64" s="100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 t="shared" si="18"/>
        <v>0</v>
      </c>
      <c r="N64" s="652">
        <f t="shared" si="6"/>
        <v>0</v>
      </c>
      <c r="O64" s="1159">
        <f t="shared" si="7"/>
        <v>2775</v>
      </c>
      <c r="P64" s="804"/>
      <c r="Q64" s="804"/>
      <c r="R64" s="100">
        <f>O64/INTGRATE!$N$293</f>
        <v>252.27272727272728</v>
      </c>
      <c r="S64" s="665">
        <f t="shared" si="19"/>
        <v>0</v>
      </c>
      <c r="T64" s="403"/>
      <c r="U64" s="136"/>
      <c r="V64" s="836" t="str">
        <f t="shared" si="20"/>
        <v>52125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2775</v>
      </c>
      <c r="BD64" s="786">
        <f t="shared" si="9"/>
        <v>1</v>
      </c>
      <c r="BE64" s="786">
        <f t="shared" si="10"/>
        <v>2775</v>
      </c>
      <c r="BF64" s="38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>
        <v>521</v>
      </c>
      <c r="C65" s="315" t="s">
        <v>51</v>
      </c>
      <c r="D65" s="1157" t="s">
        <v>66</v>
      </c>
      <c r="E65" s="425">
        <v>0</v>
      </c>
      <c r="F65" s="425">
        <f>+J65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0</v>
      </c>
      <c r="N65" s="652">
        <f t="shared" si="6"/>
        <v>0</v>
      </c>
      <c r="O65" s="1159">
        <f t="shared" si="7"/>
        <v>0</v>
      </c>
      <c r="P65" s="1171"/>
      <c r="Q65" s="1171"/>
      <c r="R65" s="1172">
        <f>O65/INTGRATE!$N$293</f>
        <v>0</v>
      </c>
      <c r="S65" s="665">
        <f t="shared" si="19"/>
        <v>0</v>
      </c>
      <c r="T65" s="403"/>
      <c r="U65" s="136"/>
      <c r="V65" s="836" t="str">
        <f t="shared" si="20"/>
        <v>521SILO</v>
      </c>
      <c r="W65" s="823">
        <v>122001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25">
        <v>0</v>
      </c>
      <c r="AI65" s="100">
        <v>0</v>
      </c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0</v>
      </c>
      <c r="BD65" s="786">
        <f t="shared" si="9"/>
        <v>0</v>
      </c>
      <c r="BE65" s="786">
        <f t="shared" si="10"/>
        <v>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15" t="s">
        <v>52</v>
      </c>
      <c r="C66" s="315" t="s">
        <v>51</v>
      </c>
      <c r="D66" s="1157">
        <v>25</v>
      </c>
      <c r="E66" s="91">
        <v>727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727</v>
      </c>
      <c r="N66" s="652">
        <f t="shared" si="6"/>
        <v>18175</v>
      </c>
      <c r="O66" s="1159">
        <f t="shared" si="7"/>
        <v>3750</v>
      </c>
      <c r="P66" s="1171"/>
      <c r="Q66" s="1171"/>
      <c r="R66" s="1172">
        <f>O66/INTGRATE!$N$293</f>
        <v>340.90909090909093</v>
      </c>
      <c r="S66" s="665">
        <f>IF(R66=0,0,N66/R66)</f>
        <v>53.313333333333333</v>
      </c>
      <c r="T66" s="403"/>
      <c r="U66" s="136"/>
      <c r="V66" s="836" t="str">
        <f t="shared" si="20"/>
        <v>521SPro25</v>
      </c>
      <c r="W66" s="823">
        <v>121701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25">
        <v>0</v>
      </c>
      <c r="AI66" s="100">
        <v>0</v>
      </c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3750</v>
      </c>
      <c r="BD66" s="786">
        <f t="shared" si="9"/>
        <v>1</v>
      </c>
      <c r="BE66" s="786">
        <f t="shared" si="10"/>
        <v>3750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15" t="s">
        <v>53</v>
      </c>
      <c r="C67" s="315" t="s">
        <v>51</v>
      </c>
      <c r="D67" s="1157">
        <v>25</v>
      </c>
      <c r="E67" s="425">
        <v>0</v>
      </c>
      <c r="F67" s="100">
        <f>SUMIF(pro!$A:$A,$V:$V,pro!$N:$N)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521Pro25</v>
      </c>
      <c r="W67" s="823">
        <v>122721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25">
        <v>0</v>
      </c>
      <c r="AI67" s="100">
        <v>0</v>
      </c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 t="s">
        <v>145</v>
      </c>
      <c r="C68" s="315" t="s">
        <v>51</v>
      </c>
      <c r="D68" s="1157" t="s">
        <v>66</v>
      </c>
      <c r="E68" s="1172">
        <v>0</v>
      </c>
      <c r="F68" s="425">
        <f>+J68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>E68+F68+H68-I68-L68+G68-K68</f>
        <v>0</v>
      </c>
      <c r="N68" s="652">
        <f t="shared" si="6"/>
        <v>0</v>
      </c>
      <c r="O68" s="1159">
        <f t="shared" si="7"/>
        <v>0</v>
      </c>
      <c r="P68" s="1171"/>
      <c r="Q68" s="1171"/>
      <c r="R68" s="1172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522(silo)SILO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25">
        <v>0</v>
      </c>
      <c r="AI68" s="100">
        <v>0</v>
      </c>
      <c r="AJ68" s="100"/>
      <c r="AK68" s="100"/>
      <c r="AL68" s="100"/>
      <c r="AM68" s="100"/>
      <c r="AN68" s="100"/>
      <c r="AO68" s="425"/>
      <c r="AP68" s="100"/>
      <c r="AQ68" s="425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>
        <v>522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ref="M69:M84" si="25">E69+F69+H69-I69-L69+G69-K69</f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 t="shared" si="19"/>
        <v>0</v>
      </c>
      <c r="T69" s="403"/>
      <c r="U69" s="136"/>
      <c r="V69" s="836" t="str">
        <f t="shared" si="20"/>
        <v>52225</v>
      </c>
      <c r="W69" s="823">
        <v>123001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50</v>
      </c>
      <c r="C70" s="555" t="s">
        <v>51</v>
      </c>
      <c r="D70" s="1157">
        <v>25</v>
      </c>
      <c r="E70" s="561">
        <v>0</v>
      </c>
      <c r="F70" s="100">
        <f>SUMIF(pro!$A:$A,$V:$V,pro!$N:$N)</f>
        <v>0</v>
      </c>
      <c r="G70" s="425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100">
        <f>SUMIF(AJOUT!$A:$A,BRAN!$V:$V,AJOUT!$L:$L)</f>
        <v>0</v>
      </c>
      <c r="L70" s="100">
        <f>SUMIF(CBOUT!$A:$A,BRAN!$V:$V,CBOUT!$G:$G)</f>
        <v>0</v>
      </c>
      <c r="M70" s="1158">
        <f t="shared" si="25"/>
        <v>0</v>
      </c>
      <c r="N70" s="652">
        <f t="shared" si="6"/>
        <v>0</v>
      </c>
      <c r="O70" s="1159">
        <f t="shared" si="7"/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522Pro25</v>
      </c>
      <c r="W70" s="823">
        <v>123701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146</v>
      </c>
      <c r="C71" s="555" t="s">
        <v>51</v>
      </c>
      <c r="D71" s="1157" t="s">
        <v>66</v>
      </c>
      <c r="E71" s="561"/>
      <c r="F71" s="100">
        <f>J71</f>
        <v>0</v>
      </c>
      <c r="G71" s="425"/>
      <c r="H71" s="100"/>
      <c r="I71" s="100"/>
      <c r="J71" s="100">
        <f>SUMIF(data!$D:$D,$B71&amp;$D71,data!$K:$K)</f>
        <v>0</v>
      </c>
      <c r="K71" s="100"/>
      <c r="L71" s="100"/>
      <c r="M71" s="1158"/>
      <c r="N71" s="652"/>
      <c r="O71" s="1159">
        <f t="shared" ref="O71" si="26">SUM(X71:BB71)</f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522PProSILO</v>
      </c>
      <c r="W71" s="823">
        <v>12370832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15" t="s">
        <v>147</v>
      </c>
      <c r="C72" s="555" t="s">
        <v>51</v>
      </c>
      <c r="D72" s="1157">
        <v>25</v>
      </c>
      <c r="E72" s="561">
        <v>0</v>
      </c>
      <c r="F72" s="100">
        <f>SUMIF(pro!$A:$A,$V:$V,pro!$N:$N)</f>
        <v>0</v>
      </c>
      <c r="G72" s="425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100">
        <f>SUMIF(AJOUT!$A:$A,BRAN!$V:$V,AJOUT!$L:$L)</f>
        <v>0</v>
      </c>
      <c r="L72" s="100">
        <f>SUMIF(CBOUT!$A:$A,BRAN!$V:$V,CBOUT!$G:$G)</f>
        <v>0</v>
      </c>
      <c r="M72" s="1158">
        <f>E72+F72+H72-I72-L72+G72-K72</f>
        <v>0</v>
      </c>
      <c r="N72" s="652">
        <f t="shared" si="6"/>
        <v>0</v>
      </c>
      <c r="O72" s="1159">
        <f t="shared" si="7"/>
        <v>0</v>
      </c>
      <c r="P72" s="804"/>
      <c r="Q72" s="804"/>
      <c r="R72" s="100">
        <f>O72/INTGRATE!$N$293</f>
        <v>0</v>
      </c>
      <c r="S72" s="665">
        <f>IF(R72=0,0,N72/R72)</f>
        <v>0</v>
      </c>
      <c r="T72" s="403"/>
      <c r="U72" s="136"/>
      <c r="V72" s="836" t="str">
        <f t="shared" si="20"/>
        <v>524P25</v>
      </c>
      <c r="W72" s="823">
        <v>127008</v>
      </c>
      <c r="X72" s="386"/>
      <c r="Y72" s="386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0</v>
      </c>
      <c r="BD72" s="786">
        <f t="shared" si="9"/>
        <v>0</v>
      </c>
      <c r="BE72" s="786">
        <f t="shared" si="10"/>
        <v>0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>
        <v>524</v>
      </c>
      <c r="C73" s="315" t="s">
        <v>51</v>
      </c>
      <c r="D73" s="1157">
        <v>25</v>
      </c>
      <c r="E73" s="100">
        <v>1270</v>
      </c>
      <c r="F73" s="100">
        <f>SUMIF(pro!$A:$A,$V:$V,pro!$N:$N)</f>
        <v>6962</v>
      </c>
      <c r="G73" s="100"/>
      <c r="H73" s="100">
        <f>SUMIF(CBIN!$A:$A,BRAN!$V:$V,CBIN!$G:$G)</f>
        <v>0</v>
      </c>
      <c r="I73" s="100">
        <f>SUMIF(data!$D:$D,$B73&amp;$D73,data!$J:$J)</f>
        <v>1160</v>
      </c>
      <c r="J73" s="100">
        <f>SUMIF(data!$D:$D,$B73&amp;$D73,data!$K:$K)</f>
        <v>29000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5"/>
        <v>7072</v>
      </c>
      <c r="N73" s="652">
        <f t="shared" si="6"/>
        <v>176800</v>
      </c>
      <c r="O73" s="1159">
        <f t="shared" si="7"/>
        <v>164525</v>
      </c>
      <c r="P73" s="804"/>
      <c r="Q73" s="804"/>
      <c r="R73" s="100">
        <f>O73/INTGRATE!$N$293</f>
        <v>14956.818181818182</v>
      </c>
      <c r="S73" s="665">
        <f t="shared" si="19"/>
        <v>11.820695942865825</v>
      </c>
      <c r="T73" s="403"/>
      <c r="U73" s="136"/>
      <c r="V73" s="836" t="str">
        <f t="shared" si="20"/>
        <v>52425</v>
      </c>
      <c r="W73" s="823">
        <v>127001</v>
      </c>
      <c r="X73" s="386"/>
      <c r="Y73" s="386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164525</v>
      </c>
      <c r="BD73" s="786">
        <f t="shared" si="9"/>
        <v>10</v>
      </c>
      <c r="BE73" s="786">
        <f t="shared" si="10"/>
        <v>16452.5</v>
      </c>
      <c r="BF73" s="85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148</v>
      </c>
      <c r="C74" s="315" t="s">
        <v>51</v>
      </c>
      <c r="D74" s="1157" t="s">
        <v>66</v>
      </c>
      <c r="E74" s="1172">
        <v>0</v>
      </c>
      <c r="F74" s="425">
        <f>J74</f>
        <v>0</v>
      </c>
      <c r="G74" s="1172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5"/>
        <v>0</v>
      </c>
      <c r="N74" s="652">
        <f t="shared" si="6"/>
        <v>0</v>
      </c>
      <c r="O74" s="1159">
        <f t="shared" si="7"/>
        <v>0</v>
      </c>
      <c r="P74" s="1171"/>
      <c r="Q74" s="1171"/>
      <c r="R74" s="1172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524(silo)SILO</v>
      </c>
      <c r="W74" s="823">
        <v>127001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15" t="s">
        <v>149</v>
      </c>
      <c r="C75" s="315" t="s">
        <v>51</v>
      </c>
      <c r="D75" s="1157">
        <v>25</v>
      </c>
      <c r="E75" s="100">
        <v>0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5"/>
        <v>0</v>
      </c>
      <c r="N75" s="652">
        <f t="shared" si="6"/>
        <v>0</v>
      </c>
      <c r="O75" s="1159">
        <f t="shared" si="7"/>
        <v>0</v>
      </c>
      <c r="P75" s="804"/>
      <c r="Q75" s="804"/>
      <c r="R75" s="100">
        <f>O75/INTGRATE!$N$293</f>
        <v>0</v>
      </c>
      <c r="S75" s="665">
        <f t="shared" si="19"/>
        <v>0</v>
      </c>
      <c r="T75" s="403"/>
      <c r="U75" s="136"/>
      <c r="V75" s="836" t="str">
        <f t="shared" si="20"/>
        <v>524A25</v>
      </c>
      <c r="W75" s="823">
        <v>127061</v>
      </c>
      <c r="X75" s="386"/>
      <c r="Y75" s="386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0</v>
      </c>
      <c r="BD75" s="786">
        <f t="shared" si="9"/>
        <v>0</v>
      </c>
      <c r="BE75" s="786">
        <f t="shared" si="10"/>
        <v>0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64</v>
      </c>
      <c r="D76" s="97">
        <v>25</v>
      </c>
      <c r="E76" s="100">
        <v>296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5"/>
        <v>296</v>
      </c>
      <c r="N76" s="652">
        <f t="shared" si="6"/>
        <v>7400</v>
      </c>
      <c r="O76" s="1159">
        <f t="shared" si="7"/>
        <v>11375</v>
      </c>
      <c r="P76" s="804"/>
      <c r="Q76" s="804"/>
      <c r="R76" s="100">
        <f>O76/INTGRATE!$N$293</f>
        <v>1034.090909090909</v>
      </c>
      <c r="S76" s="665">
        <f t="shared" si="19"/>
        <v>7.1560439560439564</v>
      </c>
      <c r="T76" s="403"/>
      <c r="U76" s="136"/>
      <c r="V76" s="836" t="str">
        <f t="shared" si="20"/>
        <v>54025</v>
      </c>
      <c r="W76" s="823">
        <v>204101</v>
      </c>
      <c r="X76" s="386"/>
      <c r="Y76" s="386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11375</v>
      </c>
      <c r="BD76" s="786">
        <f t="shared" si="9"/>
        <v>3</v>
      </c>
      <c r="BE76" s="786">
        <f t="shared" si="10"/>
        <v>3791.6666666666665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64</v>
      </c>
      <c r="D77" s="97">
        <v>25</v>
      </c>
      <c r="E77" s="100">
        <v>0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5"/>
        <v>0</v>
      </c>
      <c r="N77" s="652">
        <f t="shared" si="6"/>
        <v>0</v>
      </c>
      <c r="O77" s="1159">
        <f t="shared" si="7"/>
        <v>0</v>
      </c>
      <c r="P77" s="804"/>
      <c r="Q77" s="804"/>
      <c r="R77" s="100">
        <f>O77/INTGRATE!$N$293</f>
        <v>0</v>
      </c>
      <c r="S77" s="665">
        <f t="shared" si="19"/>
        <v>0</v>
      </c>
      <c r="T77" s="403"/>
      <c r="U77" s="136"/>
      <c r="V77" s="836" t="str">
        <f t="shared" si="20"/>
        <v>54325</v>
      </c>
      <c r="W77" s="823">
        <v>226001</v>
      </c>
      <c r="X77" s="386"/>
      <c r="Y77" s="386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0</v>
      </c>
      <c r="BD77" s="786">
        <f t="shared" si="9"/>
        <v>0</v>
      </c>
      <c r="BE77" s="786">
        <f t="shared" si="10"/>
        <v>0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7">
        <v>25</v>
      </c>
      <c r="E78" s="100">
        <v>74</v>
      </c>
      <c r="F78" s="100">
        <f>SUMIF(pro!$A:$A,$V:$V,pro!$N:$N)</f>
        <v>1000</v>
      </c>
      <c r="G78" s="100"/>
      <c r="H78" s="100">
        <f>SUMIF(CBIN!$A:$A,BRAN!$V:$V,CBIN!$G:$G)</f>
        <v>0</v>
      </c>
      <c r="I78" s="100">
        <f>SUMIF(data!$D:$D,$B78&amp;$D78,data!$J:$J)</f>
        <v>71</v>
      </c>
      <c r="J78" s="100">
        <f>SUMIF(data!$D:$D,$B78&amp;$D78,data!$K:$K)</f>
        <v>1775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5"/>
        <v>1003</v>
      </c>
      <c r="N78" s="652">
        <f t="shared" si="6"/>
        <v>25075</v>
      </c>
      <c r="O78" s="1159">
        <f t="shared" si="7"/>
        <v>37975</v>
      </c>
      <c r="P78" s="804"/>
      <c r="Q78" s="804"/>
      <c r="R78" s="100">
        <f>O78/INTGRATE!$N$293</f>
        <v>3452.2727272727275</v>
      </c>
      <c r="S78" s="665">
        <f t="shared" si="19"/>
        <v>7.2633311389071755</v>
      </c>
      <c r="T78" s="403"/>
      <c r="U78" s="136"/>
      <c r="V78" s="836" t="str">
        <f t="shared" si="20"/>
        <v>54425</v>
      </c>
      <c r="W78" s="823">
        <v>216201</v>
      </c>
      <c r="X78" s="386"/>
      <c r="Y78" s="386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37975</v>
      </c>
      <c r="BD78" s="786">
        <f t="shared" si="9"/>
        <v>9</v>
      </c>
      <c r="BE78" s="786">
        <f t="shared" si="10"/>
        <v>4219.4444444444443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64</v>
      </c>
      <c r="D79" s="98">
        <v>40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5"/>
        <v>0</v>
      </c>
      <c r="N79" s="652">
        <f>+M79*D79</f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530"/>
      <c r="U79" s="136"/>
      <c r="V79" s="836" t="str">
        <f t="shared" si="20"/>
        <v>54440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25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5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54525</v>
      </c>
      <c r="W80" s="823">
        <v>216201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64</v>
      </c>
      <c r="D81" s="98">
        <v>40</v>
      </c>
      <c r="E81" s="100">
        <v>0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5"/>
        <v>0</v>
      </c>
      <c r="N81" s="652">
        <f t="shared" si="6"/>
        <v>0</v>
      </c>
      <c r="O81" s="1159">
        <f t="shared" si="7"/>
        <v>0</v>
      </c>
      <c r="P81" s="804"/>
      <c r="Q81" s="804"/>
      <c r="R81" s="100">
        <f>O81/INTGRATE!$N$293</f>
        <v>0</v>
      </c>
      <c r="S81" s="665">
        <f t="shared" si="19"/>
        <v>0</v>
      </c>
      <c r="T81" s="403"/>
      <c r="U81" s="136"/>
      <c r="V81" s="836" t="str">
        <f t="shared" si="20"/>
        <v>54540</v>
      </c>
      <c r="W81" s="823">
        <v>216251</v>
      </c>
      <c r="X81" s="386"/>
      <c r="Y81" s="386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0</v>
      </c>
      <c r="BD81" s="786">
        <f t="shared" si="9"/>
        <v>0</v>
      </c>
      <c r="BE81" s="786">
        <f t="shared" si="10"/>
        <v>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1173" t="s">
        <v>55</v>
      </c>
      <c r="D82" s="97">
        <v>25</v>
      </c>
      <c r="E82" s="100">
        <v>1732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581</v>
      </c>
      <c r="J82" s="100">
        <f>SUMIF(data!$D:$D,$B82&amp;$D82,data!$K:$K)</f>
        <v>14525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5"/>
        <v>1151</v>
      </c>
      <c r="N82" s="652">
        <f t="shared" si="6"/>
        <v>28775</v>
      </c>
      <c r="O82" s="1159">
        <f t="shared" si="7"/>
        <v>31850</v>
      </c>
      <c r="P82" s="804"/>
      <c r="Q82" s="804"/>
      <c r="R82" s="100">
        <f>O82/INTGRATE!$N$293</f>
        <v>2895.4545454545455</v>
      </c>
      <c r="S82" s="665">
        <f t="shared" si="19"/>
        <v>9.9379905808477229</v>
      </c>
      <c r="T82" s="403"/>
      <c r="U82" s="136"/>
      <c r="V82" s="836" t="str">
        <f t="shared" si="20"/>
        <v>54825</v>
      </c>
      <c r="W82" s="823">
        <v>201101</v>
      </c>
      <c r="X82" s="386"/>
      <c r="Y82" s="386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31850</v>
      </c>
      <c r="BD82" s="786">
        <f t="shared" si="9"/>
        <v>9</v>
      </c>
      <c r="BE82" s="786">
        <f t="shared" si="10"/>
        <v>3538.8888888888887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150</v>
      </c>
      <c r="C83" s="1173" t="s">
        <v>55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5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548M25</v>
      </c>
      <c r="W83" s="823">
        <v>201201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si="8"/>
        <v>0</v>
      </c>
      <c r="BD83" s="786">
        <f t="shared" si="9"/>
        <v>0</v>
      </c>
      <c r="BE83" s="786">
        <f t="shared" si="10"/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>
        <v>25</v>
      </c>
      <c r="E84" s="100">
        <v>0</v>
      </c>
      <c r="F84" s="100">
        <f>SUMIF(pro!$A:$A,$V:$V,pro!$N:$N)</f>
        <v>0</v>
      </c>
      <c r="G84" s="100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100">
        <f>SUMIF(AJOUT!$A:$A,BRAN!$V:$V,AJOUT!$L:$L)</f>
        <v>0</v>
      </c>
      <c r="L84" s="100">
        <f>SUMIF(CBOUT!$A:$A,BRAN!$V:$V,CBOUT!$G:$G)</f>
        <v>0</v>
      </c>
      <c r="M84" s="1158">
        <f t="shared" si="25"/>
        <v>0</v>
      </c>
      <c r="N84" s="652">
        <f t="shared" si="6"/>
        <v>0</v>
      </c>
      <c r="O84" s="1159">
        <f t="shared" si="7"/>
        <v>0</v>
      </c>
      <c r="P84" s="804"/>
      <c r="Q84" s="804"/>
      <c r="R84" s="100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549M25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ref="BC84:BC147" si="27">SUM(X84:BB84)</f>
        <v>0</v>
      </c>
      <c r="BD84" s="786">
        <f t="shared" ref="BD84:BD147" si="28">COUNTIF(X84:BB84,"&gt;0")</f>
        <v>0</v>
      </c>
      <c r="BE84" s="786">
        <f t="shared" ref="BE84:BE147" si="29">IFERROR(BC84/BD84,0)</f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151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549MSILO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25">
        <v>0</v>
      </c>
      <c r="AI85" s="100">
        <v>0</v>
      </c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7"/>
        <v>0</v>
      </c>
      <c r="BD85" s="786">
        <f t="shared" si="28"/>
        <v>0</v>
      </c>
      <c r="BE85" s="786">
        <f t="shared" si="29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 t="s">
        <v>66</v>
      </c>
      <c r="E86" s="425"/>
      <c r="F86" s="425">
        <f>+J86</f>
        <v>0</v>
      </c>
      <c r="G86" s="425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561">
        <f>SUMIF(AJOUT!$A:$A,BRAN!$V:$V,AJOUT!$L:$L)</f>
        <v>0</v>
      </c>
      <c r="L86" s="561">
        <f>SUMIF(CBOUT!$A:$A,BRAN!$V:$V,CBOUT!$G:$G)</f>
        <v>0</v>
      </c>
      <c r="M86" s="528"/>
      <c r="N86" s="652">
        <f t="shared" si="6"/>
        <v>0</v>
      </c>
      <c r="O86" s="1159">
        <f t="shared" si="7"/>
        <v>0</v>
      </c>
      <c r="P86" s="427"/>
      <c r="Q86" s="427"/>
      <c r="R86" s="425">
        <f>O86/INTGRATE!$N$293</f>
        <v>0</v>
      </c>
      <c r="S86" s="665">
        <f t="shared" si="19"/>
        <v>0</v>
      </c>
      <c r="T86" s="403"/>
      <c r="U86" s="136"/>
      <c r="V86" s="836" t="str">
        <f t="shared" si="20"/>
        <v>549SILO</v>
      </c>
      <c r="W86" s="823">
        <v>203201</v>
      </c>
      <c r="X86" s="386"/>
      <c r="Y86" s="386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25">
        <v>0</v>
      </c>
      <c r="AI86" s="100">
        <v>0</v>
      </c>
      <c r="AJ86" s="100"/>
      <c r="AK86" s="100"/>
      <c r="AL86" s="100"/>
      <c r="AM86" s="100"/>
      <c r="AN86" s="100"/>
      <c r="AO86" s="425"/>
      <c r="AP86" s="100"/>
      <c r="AQ86" s="425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7"/>
        <v>0</v>
      </c>
      <c r="BD86" s="786">
        <f t="shared" si="28"/>
        <v>0</v>
      </c>
      <c r="BE86" s="786">
        <f t="shared" si="29"/>
        <v>0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64</v>
      </c>
      <c r="D87" s="97">
        <v>25</v>
      </c>
      <c r="E87" s="100">
        <v>481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15</v>
      </c>
      <c r="J87" s="100">
        <f>SUMIF(data!$D:$D,$B87&amp;$D87,data!$K:$K)</f>
        <v>375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466</v>
      </c>
      <c r="N87" s="652">
        <f t="shared" ref="N87:N150" si="30">M87*25</f>
        <v>11650</v>
      </c>
      <c r="O87" s="1159">
        <f t="shared" ref="O87:O150" si="31">SUM(X87:BB87)</f>
        <v>61625</v>
      </c>
      <c r="P87" s="804"/>
      <c r="Q87" s="804"/>
      <c r="R87" s="100">
        <f>O87/INTGRATE!$N$293</f>
        <v>5602.272727272727</v>
      </c>
      <c r="S87" s="665">
        <f t="shared" si="19"/>
        <v>2.0795131845841786</v>
      </c>
      <c r="T87" s="530"/>
      <c r="U87" s="136"/>
      <c r="V87" s="836" t="str">
        <f t="shared" si="20"/>
        <v>54925</v>
      </c>
      <c r="W87" s="823">
        <v>203101</v>
      </c>
      <c r="X87" s="386"/>
      <c r="Y87" s="386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7"/>
        <v>61625</v>
      </c>
      <c r="BD87" s="786">
        <f t="shared" si="28"/>
        <v>10</v>
      </c>
      <c r="BE87" s="786">
        <f t="shared" si="29"/>
        <v>6162.5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762" t="s">
        <v>152</v>
      </c>
      <c r="C88" s="96" t="s">
        <v>64</v>
      </c>
      <c r="D88" s="763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561">
        <f>SUMIF(AJOUT!$A:$A,BRAN!$V:$V,AJOUT!$L:$L)</f>
        <v>0</v>
      </c>
      <c r="L88" s="561">
        <f>SUMIF(CBOUT!$A:$A,BRAN!$V:$V,CBOUT!$G:$G)</f>
        <v>0</v>
      </c>
      <c r="M88" s="1158">
        <f>E88+F88+H88-I88-L88+G88-K88</f>
        <v>0</v>
      </c>
      <c r="N88" s="652">
        <f t="shared" si="30"/>
        <v>0</v>
      </c>
      <c r="O88" s="1159">
        <f t="shared" si="31"/>
        <v>0</v>
      </c>
      <c r="P88" s="804"/>
      <c r="Q88" s="804"/>
      <c r="R88" s="100">
        <f>O88/INTGRATE!$N$293</f>
        <v>0</v>
      </c>
      <c r="S88" s="665">
        <f>IF(R88=0,0,N88/R88)</f>
        <v>0</v>
      </c>
      <c r="T88" s="530"/>
      <c r="U88" s="136"/>
      <c r="V88" s="836" t="str">
        <f t="shared" si="20"/>
        <v>PP2025</v>
      </c>
      <c r="W88" s="823">
        <v>226501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7"/>
        <v>0</v>
      </c>
      <c r="BD88" s="786">
        <f t="shared" si="28"/>
        <v>0</v>
      </c>
      <c r="BE88" s="786">
        <f t="shared" si="29"/>
        <v>0</v>
      </c>
      <c r="BF88" s="38"/>
      <c r="BG88" s="38"/>
      <c r="BH88" s="436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0" t="s">
        <v>153</v>
      </c>
      <c r="C89" s="538" t="s">
        <v>55</v>
      </c>
      <c r="D89" s="164">
        <v>25</v>
      </c>
      <c r="E89" s="100">
        <v>0</v>
      </c>
      <c r="F89" s="100">
        <f>SUMIF(pro!$A:$A,$V:$V,pro!$N:$N)</f>
        <v>0</v>
      </c>
      <c r="G89" s="100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1158">
        <f>E89+F89+H89-I89-L89+G89-K89</f>
        <v>0</v>
      </c>
      <c r="N89" s="652">
        <f t="shared" si="30"/>
        <v>0</v>
      </c>
      <c r="O89" s="1159">
        <f t="shared" si="31"/>
        <v>0</v>
      </c>
      <c r="P89" s="804"/>
      <c r="Q89" s="804"/>
      <c r="R89" s="100">
        <f>O89/INTGRATE!$N$293</f>
        <v>0</v>
      </c>
      <c r="S89" s="665">
        <f t="shared" si="19"/>
        <v>0</v>
      </c>
      <c r="T89" s="403"/>
      <c r="U89" s="136"/>
      <c r="V89" s="836" t="str">
        <f t="shared" si="20"/>
        <v>550SBox25</v>
      </c>
      <c r="W89" s="823">
        <v>312001</v>
      </c>
      <c r="X89" s="386"/>
      <c r="Y89" s="386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/>
      <c r="AK89" s="100"/>
      <c r="AL89" s="100"/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7"/>
        <v>0</v>
      </c>
      <c r="BD89" s="786">
        <f t="shared" si="28"/>
        <v>0</v>
      </c>
      <c r="BE89" s="786">
        <f t="shared" si="29"/>
        <v>0</v>
      </c>
      <c r="BH89" s="436"/>
    </row>
    <row r="90" spans="1:151" s="38" customFormat="1" ht="15" customHeight="1">
      <c r="A90" s="91">
        <v>78</v>
      </c>
      <c r="B90" s="170" t="s">
        <v>154</v>
      </c>
      <c r="C90" s="163" t="s">
        <v>55</v>
      </c>
      <c r="D90" s="615" t="s">
        <v>66</v>
      </c>
      <c r="E90" s="425"/>
      <c r="F90" s="425">
        <f>J90</f>
        <v>0</v>
      </c>
      <c r="G90" s="425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100">
        <f>SUMIF(AJOUT!$A:$A,BRAN!$V:$V,AJOUT!$L:$L)</f>
        <v>0</v>
      </c>
      <c r="L90" s="100">
        <f>SUMIF(CBOUT!$A:$A,BRAN!$V:$V,CBOUT!$G:$G)</f>
        <v>0</v>
      </c>
      <c r="M90" s="528"/>
      <c r="N90" s="652">
        <f t="shared" si="30"/>
        <v>0</v>
      </c>
      <c r="O90" s="1159">
        <f t="shared" si="31"/>
        <v>64380</v>
      </c>
      <c r="P90" s="427"/>
      <c r="Q90" s="427"/>
      <c r="R90" s="425">
        <f>O90/INTGRATE!$N$293</f>
        <v>5852.727272727273</v>
      </c>
      <c r="S90" s="665">
        <f t="shared" si="19"/>
        <v>0</v>
      </c>
      <c r="T90" s="403"/>
      <c r="U90" s="136"/>
      <c r="V90" s="836" t="str">
        <f t="shared" si="20"/>
        <v>550SSILO</v>
      </c>
      <c r="W90" s="823">
        <v>312001</v>
      </c>
      <c r="X90" s="386"/>
      <c r="Y90" s="386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25">
        <v>22460</v>
      </c>
      <c r="AI90" s="100">
        <v>0</v>
      </c>
      <c r="AJ90" s="100"/>
      <c r="AK90" s="100"/>
      <c r="AL90" s="100"/>
      <c r="AM90" s="100"/>
      <c r="AN90" s="100"/>
      <c r="AO90" s="425"/>
      <c r="AP90" s="100"/>
      <c r="AQ90" s="425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7"/>
        <v>64380</v>
      </c>
      <c r="BD90" s="786">
        <f t="shared" si="28"/>
        <v>4</v>
      </c>
      <c r="BE90" s="786">
        <f t="shared" si="29"/>
        <v>16095</v>
      </c>
      <c r="BH90" s="436"/>
    </row>
    <row r="91" spans="1:151" s="38" customFormat="1" ht="15" customHeight="1">
      <c r="A91" s="91">
        <v>79</v>
      </c>
      <c r="B91" s="170" t="s">
        <v>154</v>
      </c>
      <c r="C91" s="538" t="s">
        <v>55</v>
      </c>
      <c r="D91" s="164">
        <v>25</v>
      </c>
      <c r="E91" s="100">
        <v>451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108</v>
      </c>
      <c r="J91" s="100">
        <f>SUMIF(data!$D:$D,$B91&amp;$D91,data!$K:$K)</f>
        <v>2700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343</v>
      </c>
      <c r="N91" s="652">
        <f t="shared" si="30"/>
        <v>8575</v>
      </c>
      <c r="O91" s="1159">
        <f t="shared" si="31"/>
        <v>21025</v>
      </c>
      <c r="P91" s="804"/>
      <c r="Q91" s="804"/>
      <c r="R91" s="100">
        <f>O91/INTGRATE!$N$293</f>
        <v>1911.3636363636363</v>
      </c>
      <c r="S91" s="665">
        <f t="shared" si="19"/>
        <v>4.4863258026159336</v>
      </c>
      <c r="T91" s="403"/>
      <c r="U91" s="136"/>
      <c r="V91" s="836" t="str">
        <f t="shared" si="20"/>
        <v>550S25</v>
      </c>
      <c r="W91" s="823">
        <v>312001</v>
      </c>
      <c r="X91" s="386"/>
      <c r="Y91" s="386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7"/>
        <v>21025</v>
      </c>
      <c r="BD91" s="786">
        <f t="shared" si="28"/>
        <v>10</v>
      </c>
      <c r="BE91" s="786">
        <f t="shared" si="29"/>
        <v>2102.5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164">
        <v>25</v>
      </c>
      <c r="E92" s="100">
        <v>0</v>
      </c>
      <c r="F92" s="100">
        <f>SUMIF(pro!$A:$A,$V:$V,pro!$N:$N)</f>
        <v>0</v>
      </c>
      <c r="G92" s="100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100">
        <f>SUMIF(AJOUT!$A:$A,BRAN!$V:$V,AJOUT!$L:$L)</f>
        <v>0</v>
      </c>
      <c r="L92" s="100">
        <f>SUMIF(CBOUT!$A:$A,BRAN!$V:$V,CBOUT!$G:$G)</f>
        <v>0</v>
      </c>
      <c r="M92" s="1158">
        <f>E92+F92+H92-I92-L92+G92-K92</f>
        <v>0</v>
      </c>
      <c r="N92" s="652">
        <f t="shared" si="30"/>
        <v>0</v>
      </c>
      <c r="O92" s="1159">
        <f t="shared" si="31"/>
        <v>21975</v>
      </c>
      <c r="P92" s="804"/>
      <c r="Q92" s="804"/>
      <c r="R92" s="100">
        <f>O92/INTGRATE!$N$293</f>
        <v>1997.7272727272727</v>
      </c>
      <c r="S92" s="665">
        <f>IF(R92=0,0,N92/R92)</f>
        <v>0</v>
      </c>
      <c r="T92" s="403"/>
      <c r="U92" s="136"/>
      <c r="V92" s="836" t="str">
        <f t="shared" si="20"/>
        <v>550SX25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7"/>
        <v>21975</v>
      </c>
      <c r="BD92" s="786">
        <f t="shared" si="28"/>
        <v>2</v>
      </c>
      <c r="BE92" s="786">
        <f t="shared" si="29"/>
        <v>10987.5</v>
      </c>
      <c r="BF92" s="85"/>
      <c r="BH92" s="436"/>
    </row>
    <row r="93" spans="1:151" s="38" customFormat="1" ht="15" customHeight="1">
      <c r="A93" s="91">
        <v>81</v>
      </c>
      <c r="B93" s="170" t="s">
        <v>155</v>
      </c>
      <c r="C93" s="538" t="s">
        <v>55</v>
      </c>
      <c r="D93" s="615" t="s">
        <v>66</v>
      </c>
      <c r="E93" s="100"/>
      <c r="F93" s="100">
        <f>+J93</f>
        <v>0</v>
      </c>
      <c r="G93" s="100"/>
      <c r="H93" s="100"/>
      <c r="I93" s="100">
        <f>SUMIF(data!$D:$D,$B93&amp;$D93,data!$J:$J)</f>
        <v>0</v>
      </c>
      <c r="J93" s="100">
        <f>SUMIF(data!$D:$D,$B93&amp;$D93,data!$K:$K)</f>
        <v>0</v>
      </c>
      <c r="K93" s="100"/>
      <c r="L93" s="100"/>
      <c r="M93" s="1158"/>
      <c r="N93" s="652"/>
      <c r="O93" s="1159">
        <f t="shared" ref="O93:O94" si="32">SUM(X93:BB93)</f>
        <v>6940</v>
      </c>
      <c r="P93" s="804"/>
      <c r="Q93" s="804"/>
      <c r="R93" s="100">
        <f>O93/INTGRATE!$N$293</f>
        <v>630.90909090909088</v>
      </c>
      <c r="S93" s="665">
        <f t="shared" ref="S93:S94" si="33">IF(R93=0,0,N93/R93)</f>
        <v>0</v>
      </c>
      <c r="T93" s="403"/>
      <c r="U93" s="136"/>
      <c r="V93" s="836" t="str">
        <f t="shared" si="20"/>
        <v>550SXSILO</v>
      </c>
      <c r="W93" s="823">
        <v>312008</v>
      </c>
      <c r="X93" s="386"/>
      <c r="Y93" s="386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7"/>
        <v>6940</v>
      </c>
      <c r="BD93" s="786">
        <f t="shared" si="28"/>
        <v>1</v>
      </c>
      <c r="BE93" s="786">
        <f t="shared" si="29"/>
        <v>6940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164">
        <v>25</v>
      </c>
      <c r="E94" s="100">
        <v>1243</v>
      </c>
      <c r="F94" s="100">
        <f>SUMIF(pro!$A:$A,$V:$V,pro!$N:$N)</f>
        <v>0</v>
      </c>
      <c r="G94" s="100"/>
      <c r="H94" s="100">
        <f>SUMIF(CBIN!$A:$A,BRAN!$V:$V,CBIN!$G:$G)</f>
        <v>0</v>
      </c>
      <c r="I94" s="100">
        <f>SUMIF(data!$D:$D,$B94&amp;$D94,data!$J:$J)</f>
        <v>690</v>
      </c>
      <c r="J94" s="100">
        <f>SUMIF(data!$D:$D,$B94&amp;$D94,data!$K:$K)</f>
        <v>17250</v>
      </c>
      <c r="K94" s="100">
        <f>SUMIF(AJOUT!$A:$A,BRAN!$V:$V,AJOUT!$L:$L)</f>
        <v>0</v>
      </c>
      <c r="L94" s="100">
        <f>SUMIF(CBOUT!$A:$A,BRAN!$V:$V,CBOUT!$G:$G)</f>
        <v>0</v>
      </c>
      <c r="M94" s="1158">
        <f t="shared" ref="M94:M105" si="34">E94+F94+H94-I94-L94+G94-K94</f>
        <v>553</v>
      </c>
      <c r="N94" s="652">
        <f t="shared" si="30"/>
        <v>13825</v>
      </c>
      <c r="O94" s="1159">
        <f t="shared" si="32"/>
        <v>66975</v>
      </c>
      <c r="P94" s="804"/>
      <c r="Q94" s="804"/>
      <c r="R94" s="100">
        <f>O94/INTGRATE!$N$293</f>
        <v>6088.636363636364</v>
      </c>
      <c r="S94" s="665">
        <f t="shared" si="33"/>
        <v>2.2706233669279579</v>
      </c>
      <c r="T94" s="403"/>
      <c r="U94" s="136"/>
      <c r="V94" s="836" t="str">
        <f t="shared" si="20"/>
        <v>550Pro25</v>
      </c>
      <c r="W94" s="823">
        <v>312021</v>
      </c>
      <c r="X94" s="386"/>
      <c r="Y94" s="386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7"/>
        <v>66975</v>
      </c>
      <c r="BD94" s="786">
        <f t="shared" si="28"/>
        <v>10</v>
      </c>
      <c r="BE94" s="786">
        <f t="shared" si="29"/>
        <v>6697.5</v>
      </c>
      <c r="BF94" s="85"/>
      <c r="BH94" s="436"/>
    </row>
    <row r="95" spans="1:151" s="38" customFormat="1" ht="15" customHeight="1">
      <c r="A95" s="91">
        <v>83</v>
      </c>
      <c r="B95" s="170" t="s">
        <v>54</v>
      </c>
      <c r="C95" s="538" t="s">
        <v>55</v>
      </c>
      <c r="D95" s="615" t="s">
        <v>58</v>
      </c>
      <c r="E95" s="100">
        <v>0</v>
      </c>
      <c r="F95" s="425">
        <f>+J95</f>
        <v>0</v>
      </c>
      <c r="G95" s="100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v>0</v>
      </c>
      <c r="N95" s="652">
        <f t="shared" si="30"/>
        <v>0</v>
      </c>
      <c r="O95" s="1159">
        <f t="shared" si="31"/>
        <v>47710</v>
      </c>
      <c r="P95" s="804"/>
      <c r="Q95" s="804"/>
      <c r="R95" s="100">
        <f>O95/INTGRATE!$N$293</f>
        <v>4337.272727272727</v>
      </c>
      <c r="S95" s="665">
        <f t="shared" si="19"/>
        <v>0</v>
      </c>
      <c r="T95" s="403"/>
      <c r="U95" s="136"/>
      <c r="V95" s="836" t="str">
        <f t="shared" si="20"/>
        <v>550Prosilo</v>
      </c>
      <c r="W95" s="823">
        <v>312021</v>
      </c>
      <c r="X95" s="386"/>
      <c r="Y95" s="386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7"/>
        <v>47710</v>
      </c>
      <c r="BD95" s="786">
        <f t="shared" si="28"/>
        <v>3</v>
      </c>
      <c r="BE95" s="786">
        <f t="shared" si="29"/>
        <v>15903.333333333334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64">
        <v>25</v>
      </c>
      <c r="E96" s="100">
        <v>0</v>
      </c>
      <c r="F96" s="100">
        <f>SUMIF(pro!$A:$A,$V:$V,pro!$N:$N)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>
        <f t="shared" si="34"/>
        <v>0</v>
      </c>
      <c r="N96" s="652">
        <f t="shared" si="30"/>
        <v>0</v>
      </c>
      <c r="O96" s="1159">
        <f t="shared" si="31"/>
        <v>0</v>
      </c>
      <c r="P96" s="663"/>
      <c r="Q96" s="663"/>
      <c r="R96" s="561">
        <f>O96/INTGRATE!$N$293</f>
        <v>0</v>
      </c>
      <c r="S96" s="665">
        <f t="shared" si="19"/>
        <v>0</v>
      </c>
      <c r="T96" s="403"/>
      <c r="U96" s="136"/>
      <c r="V96" s="836" t="str">
        <f t="shared" si="20"/>
        <v>550XPro25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7"/>
        <v>0</v>
      </c>
      <c r="BD96" s="786">
        <f t="shared" si="28"/>
        <v>0</v>
      </c>
      <c r="BE96" s="786">
        <f t="shared" si="29"/>
        <v>0</v>
      </c>
      <c r="BF96" s="85"/>
      <c r="BH96" s="436"/>
    </row>
    <row r="97" spans="1:60" s="38" customFormat="1" ht="15" customHeight="1">
      <c r="A97" s="91">
        <v>85</v>
      </c>
      <c r="B97" s="170" t="s">
        <v>57</v>
      </c>
      <c r="C97" s="538" t="s">
        <v>55</v>
      </c>
      <c r="D97" s="615" t="s">
        <v>58</v>
      </c>
      <c r="E97" s="100"/>
      <c r="F97" s="425">
        <f>+J97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/>
      <c r="N97" s="652">
        <f t="shared" ref="N97:N98" si="35">M97*25</f>
        <v>0</v>
      </c>
      <c r="O97" s="1159">
        <f t="shared" ref="O97:O98" si="36">SUM(X97:BB97)</f>
        <v>6030</v>
      </c>
      <c r="P97" s="663"/>
      <c r="Q97" s="663"/>
      <c r="R97" s="561">
        <f>O97/INTGRATE!$N$293</f>
        <v>548.18181818181813</v>
      </c>
      <c r="S97" s="665">
        <f t="shared" ref="S97:S98" si="37">IF(R97=0,0,N97/R97)</f>
        <v>0</v>
      </c>
      <c r="T97" s="403"/>
      <c r="U97" s="136"/>
      <c r="V97" s="836" t="str">
        <f t="shared" ref="V97" si="38">B97&amp;D97</f>
        <v>550XProsilo</v>
      </c>
      <c r="W97" s="823">
        <v>312028</v>
      </c>
      <c r="X97" s="386"/>
      <c r="Y97" s="386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7"/>
        <v>6030</v>
      </c>
      <c r="BD97" s="786">
        <f t="shared" si="28"/>
        <v>1</v>
      </c>
      <c r="BE97" s="786">
        <f t="shared" si="29"/>
        <v>6030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64">
        <v>25</v>
      </c>
      <c r="E98" s="100">
        <v>0</v>
      </c>
      <c r="F98" s="100">
        <f>SUMIF(pro!$A:$A,$V:$V,pro!$N:$N)</f>
        <v>627</v>
      </c>
      <c r="G98" s="561"/>
      <c r="H98" s="100">
        <f>SUMIF(CBIN!$A:$A,BRAN!$V:$V,CBIN!$G:$G)</f>
        <v>0</v>
      </c>
      <c r="I98" s="100">
        <f>SUMIF(data!$D:$D,$B98&amp;$D98,data!$J:$J)</f>
        <v>627</v>
      </c>
      <c r="J98" s="100">
        <f>SUMIF(data!$D:$D,$B98&amp;$D98,data!$K:$K)</f>
        <v>15675</v>
      </c>
      <c r="K98" s="100">
        <f>SUMIF(AJOUT!$A:$A,BRAN!$V:$V,AJOUT!$L:$L)</f>
        <v>0</v>
      </c>
      <c r="L98" s="100">
        <f>SUMIF(CBOUT!$A:$A,BRAN!$V:$V,CBOUT!$G:$G)</f>
        <v>0</v>
      </c>
      <c r="M98" s="1158">
        <f t="shared" si="34"/>
        <v>0</v>
      </c>
      <c r="N98" s="652">
        <f t="shared" si="35"/>
        <v>0</v>
      </c>
      <c r="O98" s="1159">
        <f t="shared" si="36"/>
        <v>28150</v>
      </c>
      <c r="P98" s="663"/>
      <c r="Q98" s="663"/>
      <c r="R98" s="561">
        <f>O98/INTGRATE!$N$293</f>
        <v>2559.090909090909</v>
      </c>
      <c r="S98" s="665">
        <f t="shared" si="37"/>
        <v>0</v>
      </c>
      <c r="T98" s="403"/>
      <c r="U98" s="136"/>
      <c r="V98" s="836" t="str">
        <f t="shared" si="20"/>
        <v>551X25</v>
      </c>
      <c r="W98" s="823">
        <v>314008</v>
      </c>
      <c r="X98" s="386"/>
      <c r="Y98" s="386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7"/>
        <v>28150</v>
      </c>
      <c r="BD98" s="786">
        <f t="shared" si="28"/>
        <v>3</v>
      </c>
      <c r="BE98" s="786">
        <f t="shared" si="29"/>
        <v>9383.3333333333339</v>
      </c>
      <c r="BF98" s="85"/>
      <c r="BH98" s="436"/>
    </row>
    <row r="99" spans="1:60" s="38" customFormat="1" ht="15" customHeight="1">
      <c r="A99" s="91">
        <v>87</v>
      </c>
      <c r="B99" s="170" t="s">
        <v>156</v>
      </c>
      <c r="C99" s="538" t="s">
        <v>61</v>
      </c>
      <c r="D99" s="615" t="s">
        <v>66</v>
      </c>
      <c r="E99" s="100"/>
      <c r="F99" s="100">
        <f>+J99</f>
        <v>0</v>
      </c>
      <c r="G99" s="561"/>
      <c r="H99" s="100"/>
      <c r="I99" s="100"/>
      <c r="J99" s="100">
        <f>SUMIF(data!$D:$D,$B99&amp;$D99,data!$K:$K)</f>
        <v>0</v>
      </c>
      <c r="K99" s="100"/>
      <c r="L99" s="100"/>
      <c r="M99" s="1158"/>
      <c r="N99" s="652">
        <f t="shared" si="30"/>
        <v>0</v>
      </c>
      <c r="O99" s="1159">
        <f t="shared" si="31"/>
        <v>0</v>
      </c>
      <c r="P99" s="663"/>
      <c r="Q99" s="663"/>
      <c r="R99" s="561"/>
      <c r="S99" s="665">
        <f t="shared" si="19"/>
        <v>0</v>
      </c>
      <c r="T99" s="403"/>
      <c r="U99" s="136"/>
      <c r="V99" s="836" t="str">
        <f t="shared" si="20"/>
        <v>551XSILO</v>
      </c>
      <c r="W99" s="823">
        <v>314008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7"/>
        <v>0</v>
      </c>
      <c r="BD99" s="786">
        <f t="shared" si="28"/>
        <v>0</v>
      </c>
      <c r="BE99" s="786">
        <f t="shared" si="29"/>
        <v>0</v>
      </c>
      <c r="BF99" s="85"/>
      <c r="BH99" s="436"/>
    </row>
    <row r="100" spans="1:60" s="38" customFormat="1" ht="15" customHeight="1">
      <c r="A100" s="91">
        <v>88</v>
      </c>
      <c r="B100" s="170" t="s">
        <v>157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 t="shared" si="30"/>
        <v>0</v>
      </c>
      <c r="O100" s="1159">
        <f t="shared" si="31"/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551X2625</v>
      </c>
      <c r="W100" s="823">
        <v>31400126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7"/>
        <v>0</v>
      </c>
      <c r="BD100" s="786">
        <f t="shared" si="28"/>
        <v>0</v>
      </c>
      <c r="BE100" s="786">
        <f t="shared" si="29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64">
        <v>25</v>
      </c>
      <c r="E101" s="100">
        <v>0</v>
      </c>
      <c r="F101" s="100">
        <f>SUMIF(pro!$A:$A,$V:$V,pro!$N:$N)</f>
        <v>0</v>
      </c>
      <c r="G101" s="561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100">
        <f>SUMIF(AJOUT!$A:$A,BRAN!$V:$V,AJOUT!$L:$L)</f>
        <v>0</v>
      </c>
      <c r="L101" s="100">
        <f>SUMIF(CBOUT!$A:$A,BRAN!$V:$V,CBOUT!$G:$G)</f>
        <v>0</v>
      </c>
      <c r="M101" s="1158">
        <f>E101+F101+H101-I101-L101+G101-K101</f>
        <v>0</v>
      </c>
      <c r="N101" s="652">
        <f>M101*25</f>
        <v>0</v>
      </c>
      <c r="O101" s="1159">
        <f>SUM(X101:BB101)</f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551XPRO25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7"/>
        <v>0</v>
      </c>
      <c r="BD101" s="786">
        <f t="shared" si="28"/>
        <v>0</v>
      </c>
      <c r="BE101" s="786">
        <f t="shared" si="29"/>
        <v>0</v>
      </c>
      <c r="BF101" s="85"/>
      <c r="BH101" s="436"/>
    </row>
    <row r="102" spans="1:60" s="38" customFormat="1" ht="15" customHeight="1">
      <c r="A102" s="91">
        <v>90</v>
      </c>
      <c r="B102" s="170" t="s">
        <v>60</v>
      </c>
      <c r="C102" s="538" t="s">
        <v>61</v>
      </c>
      <c r="D102" s="615" t="s">
        <v>66</v>
      </c>
      <c r="E102" s="100">
        <v>0</v>
      </c>
      <c r="F102" s="425">
        <f>+J102</f>
        <v>0</v>
      </c>
      <c r="G102" s="425"/>
      <c r="H102" s="100">
        <f>SUMIF(CBIN!$A:$A,BRAN!$V:$V,CBIN!$G:$G)</f>
        <v>0</v>
      </c>
      <c r="I102" s="425">
        <f>SUMIF(data!$D:$D,$B102&amp;$D102,data!$J:$J)</f>
        <v>0</v>
      </c>
      <c r="J102" s="425">
        <f>SUMIF(data!$D:$D,$B102&amp;$D102,data!$K:$K)</f>
        <v>0</v>
      </c>
      <c r="K102" s="100">
        <f>SUMIF(AJOUT!$A:$A,BRAN!$V:$V,AJOUT!$L:$L)</f>
        <v>0</v>
      </c>
      <c r="L102" s="425">
        <f>SUMIF(CBOUT!$A:$A,BRAN!$V:$V,CBOUT!$G:$G)</f>
        <v>0</v>
      </c>
      <c r="M102" s="528">
        <v>0</v>
      </c>
      <c r="N102" s="652">
        <f t="shared" si="30"/>
        <v>0</v>
      </c>
      <c r="O102" s="1159">
        <f t="shared" si="31"/>
        <v>0</v>
      </c>
      <c r="P102" s="663"/>
      <c r="Q102" s="663"/>
      <c r="R102" s="561">
        <f>O102/INTGRATE!$N$293</f>
        <v>0</v>
      </c>
      <c r="S102" s="665">
        <f>IF(R102=0,0,N102/R102)</f>
        <v>0</v>
      </c>
      <c r="T102" s="403"/>
      <c r="U102" s="136"/>
      <c r="V102" s="836" t="str">
        <f t="shared" si="20"/>
        <v>551XPROSILO</v>
      </c>
      <c r="W102" s="823">
        <v>314028</v>
      </c>
      <c r="X102" s="386"/>
      <c r="Y102" s="386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/>
      <c r="AK102" s="100"/>
      <c r="AL102" s="100"/>
      <c r="AM102" s="100"/>
      <c r="AN102" s="100"/>
      <c r="AO102" s="425"/>
      <c r="AP102" s="100"/>
      <c r="AQ102" s="100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7"/>
        <v>0</v>
      </c>
      <c r="BD102" s="786">
        <f t="shared" si="28"/>
        <v>0</v>
      </c>
      <c r="BE102" s="786">
        <f t="shared" si="29"/>
        <v>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615" t="s">
        <v>66</v>
      </c>
      <c r="E103" s="425">
        <v>0</v>
      </c>
      <c r="F103" s="425">
        <f>+J103</f>
        <v>0</v>
      </c>
      <c r="G103" s="425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100">
        <f>SUMIF(AJOUT!$A:$A,BRAN!$V:$V,AJOUT!$L:$L)</f>
        <v>0</v>
      </c>
      <c r="L103" s="100">
        <f>SUMIF(CBOUT!$A:$A,BRAN!$V:$V,CBOUT!$G:$G)</f>
        <v>0</v>
      </c>
      <c r="M103" s="1158">
        <v>0</v>
      </c>
      <c r="N103" s="652">
        <f t="shared" si="30"/>
        <v>0</v>
      </c>
      <c r="O103" s="1159">
        <f t="shared" si="31"/>
        <v>36520</v>
      </c>
      <c r="P103" s="427"/>
      <c r="Q103" s="427"/>
      <c r="R103" s="425">
        <f>O103/INTGRATE!$N$293</f>
        <v>3320</v>
      </c>
      <c r="S103" s="665">
        <f t="shared" si="19"/>
        <v>0</v>
      </c>
      <c r="T103" s="403"/>
      <c r="U103" s="136"/>
      <c r="V103" s="836" t="str">
        <f t="shared" si="20"/>
        <v>551SILO</v>
      </c>
      <c r="W103" s="823">
        <v>314001</v>
      </c>
      <c r="X103" s="386"/>
      <c r="Y103" s="386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25">
        <v>10000</v>
      </c>
      <c r="AI103" s="100">
        <v>0</v>
      </c>
      <c r="AJ103" s="100"/>
      <c r="AK103" s="100"/>
      <c r="AL103" s="100"/>
      <c r="AM103" s="100"/>
      <c r="AN103" s="100"/>
      <c r="AO103" s="425"/>
      <c r="AP103" s="100"/>
      <c r="AQ103" s="425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7"/>
        <v>36520</v>
      </c>
      <c r="BD103" s="786">
        <f t="shared" si="28"/>
        <v>5</v>
      </c>
      <c r="BE103" s="786">
        <f t="shared" si="29"/>
        <v>7304</v>
      </c>
      <c r="BF103" s="85"/>
      <c r="BH103" s="436"/>
    </row>
    <row r="104" spans="1:60" s="38" customFormat="1" ht="15" customHeight="1">
      <c r="A104" s="91">
        <v>92</v>
      </c>
      <c r="B104" s="170">
        <v>551</v>
      </c>
      <c r="C104" s="538" t="s">
        <v>61</v>
      </c>
      <c r="D104" s="164">
        <v>25</v>
      </c>
      <c r="E104" s="100">
        <v>32</v>
      </c>
      <c r="F104" s="100">
        <f>SUMIF(pro!$A:$A,$V:$V,pro!$N:$N)</f>
        <v>584</v>
      </c>
      <c r="G104" s="100"/>
      <c r="H104" s="100">
        <f>SUMIF(CBIN!$A:$A,BRAN!$V:$V,CBIN!$G:$G)</f>
        <v>0</v>
      </c>
      <c r="I104" s="100">
        <f>SUMIF(data!$D:$D,$B104&amp;$D104,data!$J:$J)</f>
        <v>589</v>
      </c>
      <c r="J104" s="100">
        <f>SUMIF(data!$D:$D,$B104&amp;$D104,data!$K:$K)</f>
        <v>14725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4"/>
        <v>27</v>
      </c>
      <c r="N104" s="652">
        <f t="shared" si="30"/>
        <v>675</v>
      </c>
      <c r="O104" s="1159">
        <f t="shared" si="31"/>
        <v>113900</v>
      </c>
      <c r="P104" s="804"/>
      <c r="Q104" s="804"/>
      <c r="R104" s="100">
        <f>O104/INTGRATE!$N$293</f>
        <v>10354.545454545454</v>
      </c>
      <c r="S104" s="665">
        <f t="shared" si="19"/>
        <v>6.5188762071992978E-2</v>
      </c>
      <c r="T104" s="402"/>
      <c r="U104" s="136"/>
      <c r="V104" s="836" t="str">
        <f t="shared" si="20"/>
        <v>55125</v>
      </c>
      <c r="W104" s="823">
        <v>314001</v>
      </c>
      <c r="X104" s="386"/>
      <c r="Y104" s="386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7"/>
        <v>113900</v>
      </c>
      <c r="BD104" s="786">
        <f t="shared" si="28"/>
        <v>10</v>
      </c>
      <c r="BE104" s="786">
        <f t="shared" si="29"/>
        <v>11390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164">
        <v>25</v>
      </c>
      <c r="E105" s="100">
        <v>700</v>
      </c>
      <c r="F105" s="100">
        <f>SUMIF(pro!$A:$A,$V:$V,pro!$N:$N)</f>
        <v>0</v>
      </c>
      <c r="G105" s="100"/>
      <c r="H105" s="100">
        <f>SUMIF(CBIN!$A:$A,BRAN!$V:$V,CBIN!$G:$G)</f>
        <v>0</v>
      </c>
      <c r="I105" s="100">
        <f>SUMIF(data!$D:$D,$B105&amp;$D105,data!$J:$J)</f>
        <v>225</v>
      </c>
      <c r="J105" s="100">
        <f>SUMIF(data!$D:$D,$B105&amp;$D105,data!$K:$K)</f>
        <v>5625</v>
      </c>
      <c r="K105" s="100">
        <f>SUMIF(AJOUT!$A:$A,BRAN!$V:$V,AJOUT!$L:$L)</f>
        <v>0</v>
      </c>
      <c r="L105" s="100">
        <f>SUMIF(CBOUT!$A:$A,BRAN!$V:$V,CBOUT!$G:$G)</f>
        <v>0</v>
      </c>
      <c r="M105" s="1158">
        <f t="shared" si="34"/>
        <v>475</v>
      </c>
      <c r="N105" s="652">
        <f t="shared" si="30"/>
        <v>11875</v>
      </c>
      <c r="O105" s="1159">
        <f t="shared" si="31"/>
        <v>35300</v>
      </c>
      <c r="P105" s="804"/>
      <c r="Q105" s="804"/>
      <c r="R105" s="100">
        <f>O105/INTGRATE!$N$293</f>
        <v>3209.090909090909</v>
      </c>
      <c r="S105" s="665">
        <f t="shared" si="19"/>
        <v>3.7004249291784705</v>
      </c>
      <c r="T105" s="403"/>
      <c r="U105" s="136"/>
      <c r="V105" s="836" t="str">
        <f t="shared" si="20"/>
        <v>551Pro25</v>
      </c>
      <c r="W105" s="823">
        <v>314021</v>
      </c>
      <c r="X105" s="386"/>
      <c r="Y105" s="386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7"/>
        <v>35300</v>
      </c>
      <c r="BD105" s="786">
        <f t="shared" si="28"/>
        <v>9</v>
      </c>
      <c r="BE105" s="786">
        <f t="shared" si="29"/>
        <v>3922.2222222222222</v>
      </c>
      <c r="BF105" s="85"/>
      <c r="BH105" s="436"/>
    </row>
    <row r="106" spans="1:60" s="38" customFormat="1" ht="15" customHeight="1">
      <c r="A106" s="91">
        <v>94</v>
      </c>
      <c r="B106" s="170" t="s">
        <v>59</v>
      </c>
      <c r="C106" s="538" t="s">
        <v>61</v>
      </c>
      <c r="D106" s="615" t="s">
        <v>58</v>
      </c>
      <c r="E106" s="100">
        <v>0</v>
      </c>
      <c r="F106" s="425">
        <f>+J106</f>
        <v>0</v>
      </c>
      <c r="G106" s="425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100">
        <f>SUMIF(AJOUT!$A:$A,BRAN!$V:$V,AJOUT!$L:$L)</f>
        <v>0</v>
      </c>
      <c r="L106" s="100">
        <f>SUMIF(CBOUT!$A:$A,BRAN!$V:$V,CBOUT!$G:$G)</f>
        <v>0</v>
      </c>
      <c r="M106" s="528">
        <v>0</v>
      </c>
      <c r="N106" s="652">
        <f t="shared" si="30"/>
        <v>0</v>
      </c>
      <c r="O106" s="1159">
        <f t="shared" si="31"/>
        <v>12640</v>
      </c>
      <c r="P106" s="804"/>
      <c r="Q106" s="804"/>
      <c r="R106" s="100">
        <f>O106/INTGRATE!$N$293</f>
        <v>1149.090909090909</v>
      </c>
      <c r="S106" s="665">
        <f t="shared" si="19"/>
        <v>0</v>
      </c>
      <c r="T106" s="402"/>
      <c r="U106" s="136"/>
      <c r="V106" s="836" t="str">
        <f t="shared" si="20"/>
        <v>551Prosilo</v>
      </c>
      <c r="W106" s="823">
        <v>314021</v>
      </c>
      <c r="X106" s="386"/>
      <c r="Y106" s="386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7"/>
        <v>12640</v>
      </c>
      <c r="BD106" s="786">
        <f t="shared" si="28"/>
        <v>1</v>
      </c>
      <c r="BE106" s="786">
        <f t="shared" si="29"/>
        <v>12640</v>
      </c>
      <c r="BF106" s="85"/>
      <c r="BH106" s="436"/>
    </row>
    <row r="107" spans="1:60" s="38" customFormat="1" ht="15" customHeight="1">
      <c r="A107" s="91">
        <v>95</v>
      </c>
      <c r="B107" s="170" t="s">
        <v>158</v>
      </c>
      <c r="C107" s="538" t="s">
        <v>61</v>
      </c>
      <c r="D107" s="664">
        <v>25</v>
      </c>
      <c r="E107" s="100">
        <v>0</v>
      </c>
      <c r="F107" s="100">
        <f>SUMIF(pro!$A:$A,$V:$V,pro!$N:$N)</f>
        <v>0</v>
      </c>
      <c r="G107" s="425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100">
        <v>0</v>
      </c>
      <c r="L107" s="100">
        <f>SUMIF(CBOUT!$A:$A,BRAN!$V:$V,CBOUT!$G:$G)</f>
        <v>0</v>
      </c>
      <c r="M107" s="1158">
        <f>E107+F107+H107-I107-L107+G107-K107</f>
        <v>0</v>
      </c>
      <c r="N107" s="652">
        <f t="shared" ref="N107" si="39">M107*25</f>
        <v>0</v>
      </c>
      <c r="O107" s="1159">
        <f t="shared" ref="O107" si="40">SUM(X107:BB107)</f>
        <v>0</v>
      </c>
      <c r="P107" s="804"/>
      <c r="Q107" s="804"/>
      <c r="R107" s="100">
        <f>O107/INTGRATE!$N$293</f>
        <v>0</v>
      </c>
      <c r="S107" s="665">
        <f t="shared" ref="S107" si="41">IF(R107=0,0,N107/R107)</f>
        <v>0</v>
      </c>
      <c r="T107" s="402"/>
      <c r="U107" s="136"/>
      <c r="V107" s="836" t="str">
        <f t="shared" si="20"/>
        <v>551GPX25</v>
      </c>
      <c r="W107" s="823">
        <v>314018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/>
      <c r="AK107" s="100"/>
      <c r="AL107" s="100"/>
      <c r="AM107" s="100"/>
      <c r="AN107" s="100"/>
      <c r="AO107" s="425"/>
      <c r="AP107" s="100"/>
      <c r="AQ107" s="100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7"/>
        <v>0</v>
      </c>
      <c r="BD107" s="786">
        <f t="shared" si="28"/>
        <v>0</v>
      </c>
      <c r="BE107" s="786">
        <f t="shared" si="29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 t="s">
        <v>66</v>
      </c>
      <c r="E108" s="425">
        <v>0</v>
      </c>
      <c r="F108" s="425">
        <f>+J108</f>
        <v>0</v>
      </c>
      <c r="G108" s="425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528">
        <v>0</v>
      </c>
      <c r="N108" s="652">
        <f t="shared" si="30"/>
        <v>0</v>
      </c>
      <c r="O108" s="1159">
        <f t="shared" si="31"/>
        <v>0</v>
      </c>
      <c r="P108" s="427"/>
      <c r="Q108" s="427"/>
      <c r="R108" s="425">
        <f>O108/INTGRATE!$N$293</f>
        <v>0</v>
      </c>
      <c r="S108" s="665">
        <f t="shared" ref="S108:S150" si="42">IF(R108=0,0,N108/R108)</f>
        <v>0</v>
      </c>
      <c r="T108" s="403"/>
      <c r="U108" s="136"/>
      <c r="V108" s="836" t="str">
        <f t="shared" ref="V108:V151" si="43">B108&amp;D108</f>
        <v>551GPSILO</v>
      </c>
      <c r="W108" s="823">
        <v>31400127</v>
      </c>
      <c r="X108" s="386"/>
      <c r="Y108" s="386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25">
        <v>0</v>
      </c>
      <c r="AI108" s="100">
        <v>0</v>
      </c>
      <c r="AJ108" s="100"/>
      <c r="AK108" s="100"/>
      <c r="AL108" s="100"/>
      <c r="AM108" s="100"/>
      <c r="AN108" s="100"/>
      <c r="AO108" s="425"/>
      <c r="AP108" s="100"/>
      <c r="AQ108" s="425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7"/>
        <v>0</v>
      </c>
      <c r="BD108" s="786">
        <f t="shared" si="28"/>
        <v>0</v>
      </c>
      <c r="BE108" s="786">
        <f t="shared" si="29"/>
        <v>0</v>
      </c>
      <c r="BF108" s="85"/>
      <c r="BH108" s="436"/>
    </row>
    <row r="109" spans="1:60" s="38" customFormat="1" ht="15" customHeight="1">
      <c r="A109" s="91">
        <v>97</v>
      </c>
      <c r="B109" s="170" t="s">
        <v>159</v>
      </c>
      <c r="C109" s="538" t="s">
        <v>61</v>
      </c>
      <c r="D109" s="164">
        <v>25</v>
      </c>
      <c r="E109" s="100">
        <v>346</v>
      </c>
      <c r="F109" s="100">
        <f>SUMIF(pro!$A:$A,$V:$V,pro!$N:$N)</f>
        <v>0</v>
      </c>
      <c r="G109" s="100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346</v>
      </c>
      <c r="N109" s="652">
        <f t="shared" si="30"/>
        <v>8650</v>
      </c>
      <c r="O109" s="1159">
        <f t="shared" si="31"/>
        <v>13550</v>
      </c>
      <c r="P109" s="804"/>
      <c r="Q109" s="804"/>
      <c r="R109" s="100">
        <f>O109/INTGRATE!$N$293</f>
        <v>1231.8181818181818</v>
      </c>
      <c r="S109" s="665">
        <f t="shared" si="42"/>
        <v>7.0221402214022142</v>
      </c>
      <c r="T109" s="549"/>
      <c r="U109" s="136"/>
      <c r="V109" s="836" t="str">
        <f t="shared" si="43"/>
        <v>551GP25</v>
      </c>
      <c r="W109" s="823">
        <v>314011</v>
      </c>
      <c r="X109" s="386"/>
      <c r="Y109" s="386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7"/>
        <v>13550</v>
      </c>
      <c r="BD109" s="786">
        <f t="shared" si="28"/>
        <v>5</v>
      </c>
      <c r="BE109" s="786">
        <f t="shared" si="29"/>
        <v>2710</v>
      </c>
      <c r="BF109" s="85"/>
      <c r="BH109" s="436"/>
    </row>
    <row r="110" spans="1:60" s="38" customFormat="1" ht="15" customHeight="1">
      <c r="A110" s="91">
        <v>98</v>
      </c>
      <c r="B110" s="94">
        <v>552</v>
      </c>
      <c r="C110" s="94" t="s">
        <v>64</v>
      </c>
      <c r="D110" s="91">
        <v>25</v>
      </c>
      <c r="E110" s="100">
        <v>4216</v>
      </c>
      <c r="F110" s="100">
        <f>SUMIF(pro!$A:$A,$V:$V,pro!$N:$N)</f>
        <v>645</v>
      </c>
      <c r="G110" s="100"/>
      <c r="H110" s="100">
        <f>SUMIF(CBIN!$A:$A,BRAN!$V:$V,CBIN!$G:$G)</f>
        <v>0</v>
      </c>
      <c r="I110" s="100">
        <f>SUMIF(data!$D:$D,$B110&amp;$D110,data!$J:$J)</f>
        <v>1183</v>
      </c>
      <c r="J110" s="100">
        <f>SUMIF(data!$D:$D,$B110&amp;$D110,data!$K:$K)</f>
        <v>29575</v>
      </c>
      <c r="K110" s="100">
        <f>SUMIF(AJOUT!$A:$A,BRAN!$V:$V,AJOUT!$L:$L)</f>
        <v>0</v>
      </c>
      <c r="L110" s="100">
        <f>SUMIF(CBOUT!$A:$A,BRAN!$V:$V,CBOUT!$G:$G)</f>
        <v>0</v>
      </c>
      <c r="M110" s="1158">
        <f>E110+F110+H110-I110-L110+G110-K110</f>
        <v>3678</v>
      </c>
      <c r="N110" s="652">
        <f t="shared" si="30"/>
        <v>91950</v>
      </c>
      <c r="O110" s="1159">
        <f t="shared" si="31"/>
        <v>252075</v>
      </c>
      <c r="P110" s="804"/>
      <c r="Q110" s="804"/>
      <c r="R110" s="100">
        <f>O110/INTGRATE!$N$293</f>
        <v>22915.909090909092</v>
      </c>
      <c r="S110" s="665">
        <f t="shared" si="42"/>
        <v>4.0124962808687892</v>
      </c>
      <c r="T110" s="403"/>
      <c r="U110" s="136"/>
      <c r="V110" s="836" t="str">
        <f t="shared" si="43"/>
        <v>55225</v>
      </c>
      <c r="W110" s="823">
        <v>321001</v>
      </c>
      <c r="X110" s="386"/>
      <c r="Y110" s="386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7"/>
        <v>252075</v>
      </c>
      <c r="BD110" s="786">
        <f t="shared" si="28"/>
        <v>10</v>
      </c>
      <c r="BE110" s="786">
        <f t="shared" si="29"/>
        <v>25207.5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528" t="s">
        <v>66</v>
      </c>
      <c r="E111" s="100"/>
      <c r="F111" s="425">
        <f>+J111</f>
        <v>0</v>
      </c>
      <c r="G111" s="100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100"/>
      <c r="L111" s="100"/>
      <c r="M111" s="1158"/>
      <c r="N111" s="652">
        <f t="shared" si="30"/>
        <v>0</v>
      </c>
      <c r="O111" s="1159">
        <f t="shared" si="31"/>
        <v>0</v>
      </c>
      <c r="P111" s="804"/>
      <c r="Q111" s="804"/>
      <c r="R111" s="100">
        <f>O111/INTGRATE!$N$293</f>
        <v>0</v>
      </c>
      <c r="S111" s="665">
        <f t="shared" si="42"/>
        <v>0</v>
      </c>
      <c r="T111" s="403"/>
      <c r="U111" s="136"/>
      <c r="V111" s="836" t="str">
        <f>B111&amp;D111</f>
        <v>552ProSILO</v>
      </c>
      <c r="W111" s="823">
        <v>321021</v>
      </c>
      <c r="X111" s="386"/>
      <c r="Y111" s="386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/>
      <c r="AK111" s="100"/>
      <c r="AL111" s="100"/>
      <c r="AM111" s="100"/>
      <c r="AN111" s="100"/>
      <c r="AO111" s="425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7"/>
        <v>0</v>
      </c>
      <c r="BD111" s="786">
        <f t="shared" si="28"/>
        <v>0</v>
      </c>
      <c r="BE111" s="786">
        <f t="shared" si="29"/>
        <v>0</v>
      </c>
      <c r="BF111" s="85"/>
      <c r="BH111" s="436"/>
    </row>
    <row r="112" spans="1:60" s="38" customFormat="1" ht="15" customHeight="1">
      <c r="A112" s="91">
        <v>100</v>
      </c>
      <c r="B112" s="94" t="s">
        <v>63</v>
      </c>
      <c r="C112" s="94" t="s">
        <v>64</v>
      </c>
      <c r="D112" s="91">
        <v>25</v>
      </c>
      <c r="E112" s="100">
        <v>0</v>
      </c>
      <c r="F112" s="100">
        <f>SUMIF(pro!$A:$A,$V:$V,pro!$N:$N)</f>
        <v>0</v>
      </c>
      <c r="G112" s="100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1158">
        <f>E112+F112+H112-I112-L112+G112-K112</f>
        <v>0</v>
      </c>
      <c r="N112" s="652">
        <f t="shared" si="30"/>
        <v>0</v>
      </c>
      <c r="O112" s="1159">
        <f t="shared" si="31"/>
        <v>24300</v>
      </c>
      <c r="P112" s="804"/>
      <c r="Q112" s="804"/>
      <c r="R112" s="100">
        <f>O112/INTGRATE!$N$293</f>
        <v>2209.090909090909</v>
      </c>
      <c r="S112" s="665">
        <f>IF(R112=0,0,N112/R112)</f>
        <v>0</v>
      </c>
      <c r="T112" s="461"/>
      <c r="U112" s="136"/>
      <c r="V112" s="836" t="str">
        <f t="shared" si="43"/>
        <v>552Pro25</v>
      </c>
      <c r="W112" s="823">
        <v>321012</v>
      </c>
      <c r="X112" s="386"/>
      <c r="Y112" s="386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7"/>
        <v>24300</v>
      </c>
      <c r="BD112" s="786">
        <f t="shared" si="28"/>
        <v>8</v>
      </c>
      <c r="BE112" s="786">
        <f t="shared" si="29"/>
        <v>3037.5</v>
      </c>
      <c r="BF112" s="85"/>
      <c r="BH112" s="436"/>
    </row>
    <row r="113" spans="1:60" s="38" customFormat="1" ht="15" customHeight="1">
      <c r="A113" s="91">
        <v>101</v>
      </c>
      <c r="B113" s="94">
        <v>552</v>
      </c>
      <c r="C113" s="92" t="s">
        <v>64</v>
      </c>
      <c r="D113" s="528" t="s">
        <v>66</v>
      </c>
      <c r="E113" s="100">
        <v>0</v>
      </c>
      <c r="F113" s="425">
        <f>+J113</f>
        <v>3460</v>
      </c>
      <c r="G113" s="425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3460</v>
      </c>
      <c r="K113" s="100">
        <f>SUMIF(AJOUT!$A:$A,BRAN!$V:$V,AJOUT!$L:$L)</f>
        <v>0</v>
      </c>
      <c r="L113" s="100">
        <f>SUMIF(CBOUT!$A:$A,BRAN!$V:$V,CBOUT!$G:$G)</f>
        <v>0</v>
      </c>
      <c r="M113" s="528">
        <v>0</v>
      </c>
      <c r="N113" s="652">
        <f t="shared" si="30"/>
        <v>0</v>
      </c>
      <c r="O113" s="1159">
        <f t="shared" si="31"/>
        <v>61400</v>
      </c>
      <c r="P113" s="427"/>
      <c r="Q113" s="427"/>
      <c r="R113" s="425">
        <f>O113/INTGRATE!$N$293</f>
        <v>5581.818181818182</v>
      </c>
      <c r="S113" s="665">
        <f t="shared" si="42"/>
        <v>0</v>
      </c>
      <c r="T113" s="403"/>
      <c r="U113" s="136"/>
      <c r="V113" s="836" t="str">
        <f t="shared" si="43"/>
        <v>552SILO</v>
      </c>
      <c r="W113" s="823">
        <v>321012</v>
      </c>
      <c r="X113" s="386"/>
      <c r="Y113" s="386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25">
        <v>15060</v>
      </c>
      <c r="AI113" s="100">
        <v>3460</v>
      </c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7"/>
        <v>61400</v>
      </c>
      <c r="BD113" s="786">
        <f t="shared" si="28"/>
        <v>5</v>
      </c>
      <c r="BE113" s="786">
        <f t="shared" si="29"/>
        <v>12280</v>
      </c>
      <c r="BF113" s="85"/>
      <c r="BH113" s="436"/>
    </row>
    <row r="114" spans="1:60" s="38" customFormat="1" ht="15" customHeight="1">
      <c r="A114" s="91">
        <v>102</v>
      </c>
      <c r="B114" s="94" t="s">
        <v>160</v>
      </c>
      <c r="C114" s="92" t="s">
        <v>61</v>
      </c>
      <c r="D114" s="514">
        <v>25</v>
      </c>
      <c r="E114" s="100">
        <v>1</v>
      </c>
      <c r="F114" s="100">
        <f>SUMIF(pro!$A:$A,$V:$V,pro!$N:$N)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>
        <f>SUMIF(AJOUT!$A:$A,BRAN!$V:$V,AJOUT!$L:$L)</f>
        <v>0</v>
      </c>
      <c r="L114" s="100">
        <f>SUMIF(CBOUT!$A:$A,BRAN!$V:$V,CBOUT!$G:$G)</f>
        <v>0</v>
      </c>
      <c r="M114" s="1158">
        <f>E114+F114+H114-I114-L114+G114-K114</f>
        <v>1</v>
      </c>
      <c r="N114" s="652">
        <f t="shared" si="30"/>
        <v>25</v>
      </c>
      <c r="O114" s="1159">
        <f t="shared" si="31"/>
        <v>10000</v>
      </c>
      <c r="P114" s="804"/>
      <c r="Q114" s="804"/>
      <c r="R114" s="100">
        <f>O114/INTGRATE!$N$293</f>
        <v>909.09090909090912</v>
      </c>
      <c r="S114" s="665">
        <f>IF(R114=0,0,N114/R114)</f>
        <v>2.75E-2</v>
      </c>
      <c r="T114" s="403"/>
      <c r="U114" s="136"/>
      <c r="V114" s="836" t="str">
        <f t="shared" si="43"/>
        <v>552E25</v>
      </c>
      <c r="W114" s="823">
        <v>321072</v>
      </c>
      <c r="X114" s="386"/>
      <c r="Y114" s="386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25">
        <v>625</v>
      </c>
      <c r="AI114" s="100">
        <v>0</v>
      </c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7"/>
        <v>10000</v>
      </c>
      <c r="BD114" s="786">
        <f t="shared" si="28"/>
        <v>8</v>
      </c>
      <c r="BE114" s="786">
        <f t="shared" si="29"/>
        <v>1250</v>
      </c>
      <c r="BF114" s="85"/>
      <c r="BH114" s="436"/>
    </row>
    <row r="115" spans="1:60" s="38" customFormat="1" ht="15" customHeight="1">
      <c r="A115" s="91">
        <v>103</v>
      </c>
      <c r="B115" s="94" t="s">
        <v>161</v>
      </c>
      <c r="C115" s="537" t="s">
        <v>64</v>
      </c>
      <c r="D115" s="617" t="s">
        <v>66</v>
      </c>
      <c r="E115" s="100"/>
      <c r="F115" s="100">
        <f>J115</f>
        <v>0</v>
      </c>
      <c r="G115" s="100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100"/>
      <c r="L115" s="100"/>
      <c r="M115" s="1158"/>
      <c r="N115" s="652">
        <f t="shared" si="30"/>
        <v>0</v>
      </c>
      <c r="O115" s="1159">
        <f t="shared" ref="O115:O116" si="44">SUM(X115:BB115)</f>
        <v>0</v>
      </c>
      <c r="P115" s="804"/>
      <c r="Q115" s="804"/>
      <c r="R115" s="100">
        <f>O115/INTGRATE!$N$293</f>
        <v>0</v>
      </c>
      <c r="S115" s="665">
        <f t="shared" ref="S115:S116" si="45">IF(R115=0,0,N115/R115)</f>
        <v>0</v>
      </c>
      <c r="T115" s="403"/>
      <c r="U115" s="136"/>
      <c r="V115" s="836" t="str">
        <f t="shared" si="43"/>
        <v>552XSILO</v>
      </c>
      <c r="W115" s="823"/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25">
        <v>0</v>
      </c>
      <c r="AI115" s="100">
        <v>0</v>
      </c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7"/>
        <v>0</v>
      </c>
      <c r="BD115" s="786">
        <f t="shared" si="28"/>
        <v>0</v>
      </c>
      <c r="BE115" s="786">
        <f t="shared" si="29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617" t="s">
        <v>66</v>
      </c>
      <c r="E116" s="100"/>
      <c r="F116" s="425">
        <f>J116</f>
        <v>0</v>
      </c>
      <c r="G116" s="100"/>
      <c r="H116" s="100"/>
      <c r="I116" s="100"/>
      <c r="J116" s="100">
        <f>SUMIF(data!$D:$D,$B116&amp;$D116,data!$K:$K)</f>
        <v>0</v>
      </c>
      <c r="K116" s="100"/>
      <c r="L116" s="100"/>
      <c r="M116" s="1158"/>
      <c r="N116" s="652"/>
      <c r="O116" s="1159">
        <f t="shared" si="44"/>
        <v>0</v>
      </c>
      <c r="P116" s="804"/>
      <c r="Q116" s="804"/>
      <c r="R116" s="100">
        <f>O116/INTGRATE!$N$293</f>
        <v>0</v>
      </c>
      <c r="S116" s="665">
        <f t="shared" si="45"/>
        <v>0</v>
      </c>
      <c r="T116" s="403"/>
      <c r="U116" s="136"/>
      <c r="V116" s="836" t="str">
        <f t="shared" ref="V116" si="46">B116&amp;D116</f>
        <v>552MSILO</v>
      </c>
      <c r="W116" s="823">
        <v>321012</v>
      </c>
      <c r="X116" s="386"/>
      <c r="Y116" s="386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25">
        <v>0</v>
      </c>
      <c r="AI116" s="100">
        <v>0</v>
      </c>
      <c r="AJ116" s="100"/>
      <c r="AK116" s="100"/>
      <c r="AL116" s="100"/>
      <c r="AM116" s="100"/>
      <c r="AN116" s="100"/>
      <c r="AO116" s="425"/>
      <c r="AP116" s="100"/>
      <c r="AQ116" s="425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7"/>
        <v>0</v>
      </c>
      <c r="BD116" s="786">
        <f t="shared" si="28"/>
        <v>0</v>
      </c>
      <c r="BE116" s="786">
        <f t="shared" si="29"/>
        <v>0</v>
      </c>
      <c r="BF116" s="85"/>
      <c r="BH116" s="436"/>
    </row>
    <row r="117" spans="1:60" s="38" customFormat="1" ht="15" customHeight="1">
      <c r="A117" s="91">
        <v>105</v>
      </c>
      <c r="B117" s="94" t="s">
        <v>162</v>
      </c>
      <c r="C117" s="537" t="s">
        <v>61</v>
      </c>
      <c r="D117" s="91">
        <v>25</v>
      </c>
      <c r="E117" s="100">
        <v>522</v>
      </c>
      <c r="F117" s="100">
        <f>SUMIF(pro!$A:$A,$V:$V,pro!$N:$N)</f>
        <v>1992</v>
      </c>
      <c r="G117" s="100"/>
      <c r="H117" s="100">
        <f>SUMIF(CBIN!$A:$A,BRAN!$V:$V,CBIN!$G:$G)</f>
        <v>0</v>
      </c>
      <c r="I117" s="100">
        <f>SUMIF(data!$D:$D,$B117&amp;$D117,data!$J:$J)</f>
        <v>415</v>
      </c>
      <c r="J117" s="100">
        <f>SUMIF(data!$D:$D,$B117&amp;$D117,data!$K:$K)</f>
        <v>10375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2099</v>
      </c>
      <c r="N117" s="652">
        <f t="shared" si="30"/>
        <v>52475</v>
      </c>
      <c r="O117" s="1159">
        <f t="shared" si="31"/>
        <v>125550</v>
      </c>
      <c r="P117" s="804"/>
      <c r="Q117" s="804"/>
      <c r="R117" s="100">
        <f>O117/INTGRATE!$N$293</f>
        <v>11413.636363636364</v>
      </c>
      <c r="S117" s="665">
        <f t="shared" si="42"/>
        <v>4.5975706889685384</v>
      </c>
      <c r="T117" s="403"/>
      <c r="U117" s="136"/>
      <c r="V117" s="836" t="str">
        <f t="shared" si="43"/>
        <v>552M25</v>
      </c>
      <c r="W117" s="823">
        <v>321012</v>
      </c>
      <c r="X117" s="386"/>
      <c r="Y117" s="386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7"/>
        <v>125550</v>
      </c>
      <c r="BD117" s="786">
        <f t="shared" si="28"/>
        <v>10</v>
      </c>
      <c r="BE117" s="786">
        <f t="shared" si="29"/>
        <v>12555</v>
      </c>
      <c r="BH117" s="436"/>
    </row>
    <row r="118" spans="1:60" s="38" customFormat="1" ht="15" customHeight="1">
      <c r="A118" s="91">
        <v>106</v>
      </c>
      <c r="B118" s="170" t="s">
        <v>163</v>
      </c>
      <c r="C118" s="538" t="s">
        <v>61</v>
      </c>
      <c r="D118" s="164">
        <v>25</v>
      </c>
      <c r="E118" s="100">
        <v>180</v>
      </c>
      <c r="F118" s="100">
        <f>SUMIF(pro!$A:$A,$V:$V,pro!$N:$N)</f>
        <v>0</v>
      </c>
      <c r="G118" s="100"/>
      <c r="H118" s="100">
        <f>SUMIF(CBIN!$A:$A,BRAN!$V:$V,CBIN!$G:$G)</f>
        <v>0</v>
      </c>
      <c r="I118" s="100">
        <f>SUMIF(data!$D:$D,$B118&amp;$D118,data!$J:$J)</f>
        <v>20</v>
      </c>
      <c r="J118" s="100">
        <f>SUMIF(data!$D:$D,$B118&amp;$D118,data!$K:$K)</f>
        <v>500</v>
      </c>
      <c r="K118" s="100">
        <f>SUMIF(AJOUT!$A:$A,BRAN!$V:$V,AJOUT!$L:$L)</f>
        <v>0</v>
      </c>
      <c r="L118" s="100">
        <f>SUMIF(CBOUT!$A:$A,BRAN!$V:$V,CBOUT!$G:$G)</f>
        <v>0</v>
      </c>
      <c r="M118" s="1158">
        <f>E118+F118+H118-I118-L118+G118-K118</f>
        <v>160</v>
      </c>
      <c r="N118" s="652">
        <f t="shared" si="30"/>
        <v>4000</v>
      </c>
      <c r="O118" s="1159">
        <f t="shared" si="31"/>
        <v>7750</v>
      </c>
      <c r="P118" s="804"/>
      <c r="Q118" s="804"/>
      <c r="R118" s="100">
        <f>O118/INTGRATE!$N$293</f>
        <v>704.5454545454545</v>
      </c>
      <c r="S118" s="665">
        <f t="shared" si="42"/>
        <v>5.67741935483871</v>
      </c>
      <c r="T118" s="403"/>
      <c r="U118" s="136"/>
      <c r="V118" s="836" t="str">
        <f t="shared" si="43"/>
        <v>552MX25</v>
      </c>
      <c r="W118" s="823">
        <v>321018</v>
      </c>
      <c r="X118" s="386"/>
      <c r="Y118" s="386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7"/>
        <v>7750</v>
      </c>
      <c r="BD118" s="786">
        <f t="shared" si="28"/>
        <v>6</v>
      </c>
      <c r="BE118" s="786">
        <f t="shared" si="29"/>
        <v>1291.6666666666667</v>
      </c>
      <c r="BH118" s="436"/>
    </row>
    <row r="119" spans="1:60" s="38" customFormat="1" ht="14.25" customHeight="1">
      <c r="A119" s="91">
        <v>107</v>
      </c>
      <c r="B119" s="94" t="s">
        <v>164</v>
      </c>
      <c r="C119" s="92" t="s">
        <v>61</v>
      </c>
      <c r="D119" s="528" t="s">
        <v>66</v>
      </c>
      <c r="E119" s="425"/>
      <c r="F119" s="425">
        <f>+J119</f>
        <v>0</v>
      </c>
      <c r="G119" s="425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100">
        <f>SUMIF(AJOUT!$A:$A,BRAN!$V:$V,AJOUT!$L:$L)</f>
        <v>0</v>
      </c>
      <c r="L119" s="100">
        <f>SUMIF(CBOUT!$A:$A,BRAN!$V:$V,CBOUT!$G:$G)</f>
        <v>0</v>
      </c>
      <c r="M119" s="528"/>
      <c r="N119" s="652">
        <f t="shared" si="30"/>
        <v>0</v>
      </c>
      <c r="O119" s="1159">
        <f t="shared" si="31"/>
        <v>83100</v>
      </c>
      <c r="P119" s="427"/>
      <c r="Q119" s="427"/>
      <c r="R119" s="425">
        <f>O119/INTGRATE!$N$293</f>
        <v>7554.545454545455</v>
      </c>
      <c r="S119" s="665">
        <f t="shared" si="42"/>
        <v>0</v>
      </c>
      <c r="T119" s="511"/>
      <c r="U119" s="136"/>
      <c r="V119" s="836" t="str">
        <f t="shared" si="43"/>
        <v>552SSILO</v>
      </c>
      <c r="W119" s="823">
        <v>32000890</v>
      </c>
      <c r="X119" s="386"/>
      <c r="Y119" s="386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25">
        <v>0</v>
      </c>
      <c r="AI119" s="100">
        <v>0</v>
      </c>
      <c r="AJ119" s="100"/>
      <c r="AK119" s="100"/>
      <c r="AL119" s="100"/>
      <c r="AM119" s="100"/>
      <c r="AN119" s="100"/>
      <c r="AO119" s="425"/>
      <c r="AP119" s="100"/>
      <c r="AQ119" s="425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7"/>
        <v>83100</v>
      </c>
      <c r="BD119" s="786">
        <f t="shared" si="28"/>
        <v>4</v>
      </c>
      <c r="BE119" s="786">
        <f t="shared" si="29"/>
        <v>20775</v>
      </c>
      <c r="BH119" s="436"/>
    </row>
    <row r="120" spans="1:60" s="38" customFormat="1" ht="14.25" customHeight="1">
      <c r="A120" s="91">
        <v>108</v>
      </c>
      <c r="B120" s="94" t="s">
        <v>164</v>
      </c>
      <c r="C120" s="537" t="s">
        <v>61</v>
      </c>
      <c r="D120" s="91">
        <v>25</v>
      </c>
      <c r="E120" s="100">
        <v>4308</v>
      </c>
      <c r="F120" s="100">
        <f>SUMIF(pro!$A:$A,$V:$V,pro!$N:$N)</f>
        <v>1398</v>
      </c>
      <c r="G120" s="100"/>
      <c r="H120" s="100">
        <f>SUMIF(CBIN!$A:$A,BRAN!$V:$V,CBIN!$G:$G)</f>
        <v>0</v>
      </c>
      <c r="I120" s="100">
        <f>SUMIF(data!$D:$D,$B120&amp;$D120,data!$J:$J)</f>
        <v>3124</v>
      </c>
      <c r="J120" s="100">
        <f>SUMIF(data!$D:$D,$B120&amp;$D120,data!$K:$K)</f>
        <v>78100</v>
      </c>
      <c r="K120" s="100">
        <f>SUMIF(AJOUT!$A:$A,BRAN!$V:$V,AJOUT!$L:$L)</f>
        <v>0</v>
      </c>
      <c r="L120" s="100">
        <f>SUMIF(CBOUT!$A:$A,BRAN!$V:$V,CBOUT!$G:$G)</f>
        <v>0</v>
      </c>
      <c r="M120" s="1158">
        <f>E120+F120+H120-I120-L120+G120-K120</f>
        <v>2582</v>
      </c>
      <c r="N120" s="652">
        <f t="shared" si="30"/>
        <v>64550</v>
      </c>
      <c r="O120" s="1159">
        <f t="shared" si="31"/>
        <v>343025</v>
      </c>
      <c r="P120" s="804"/>
      <c r="Q120" s="804"/>
      <c r="R120" s="100">
        <f>O120/INTGRATE!$N$293</f>
        <v>31184.090909090908</v>
      </c>
      <c r="S120" s="665">
        <f t="shared" si="42"/>
        <v>2.069965745936885</v>
      </c>
      <c r="T120" s="530"/>
      <c r="U120" s="136"/>
      <c r="V120" s="836" t="str">
        <f t="shared" si="43"/>
        <v>552S25</v>
      </c>
      <c r="W120" s="823">
        <v>320001</v>
      </c>
      <c r="X120" s="386"/>
      <c r="Y120" s="386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7"/>
        <v>343025</v>
      </c>
      <c r="BD120" s="786">
        <f t="shared" si="28"/>
        <v>10</v>
      </c>
      <c r="BE120" s="786">
        <f t="shared" si="29"/>
        <v>34302.5</v>
      </c>
      <c r="BF120" s="328"/>
      <c r="BH120" s="436"/>
    </row>
    <row r="121" spans="1:60" s="38" customFormat="1" ht="14.25" customHeight="1">
      <c r="A121" s="91">
        <v>109</v>
      </c>
      <c r="B121" s="94" t="s">
        <v>65</v>
      </c>
      <c r="C121" s="92" t="s">
        <v>61</v>
      </c>
      <c r="D121" s="528" t="s">
        <v>66</v>
      </c>
      <c r="E121" s="425"/>
      <c r="F121" s="425">
        <f>+J121</f>
        <v>0</v>
      </c>
      <c r="G121" s="425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100">
        <f>SUMIF(AJOUT!$A:$A,BRAN!$V:$V,AJOUT!$L:$L)</f>
        <v>0</v>
      </c>
      <c r="L121" s="100"/>
      <c r="M121" s="528"/>
      <c r="N121" s="652">
        <f t="shared" si="30"/>
        <v>0</v>
      </c>
      <c r="O121" s="1159">
        <f t="shared" si="31"/>
        <v>0</v>
      </c>
      <c r="P121" s="427"/>
      <c r="Q121" s="427"/>
      <c r="R121" s="425">
        <f>O121/INTGRATE!$N$293</f>
        <v>0</v>
      </c>
      <c r="S121" s="665">
        <f>IF(R121=0,0,N121/R121)</f>
        <v>0</v>
      </c>
      <c r="T121" s="511"/>
      <c r="U121" s="136"/>
      <c r="V121" s="836" t="str">
        <f>B121&amp;D121</f>
        <v>552SProSILO</v>
      </c>
      <c r="W121" s="823">
        <v>320021</v>
      </c>
      <c r="X121" s="386"/>
      <c r="Y121" s="386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25">
        <v>0</v>
      </c>
      <c r="AI121" s="100">
        <v>0</v>
      </c>
      <c r="AJ121" s="100"/>
      <c r="AK121" s="100"/>
      <c r="AL121" s="100"/>
      <c r="AM121" s="100"/>
      <c r="AN121" s="100"/>
      <c r="AO121" s="425"/>
      <c r="AP121" s="100"/>
      <c r="AQ121" s="425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7"/>
        <v>0</v>
      </c>
      <c r="BD121" s="786">
        <f t="shared" si="28"/>
        <v>0</v>
      </c>
      <c r="BE121" s="786">
        <f t="shared" si="29"/>
        <v>0</v>
      </c>
      <c r="BH121" s="436"/>
    </row>
    <row r="122" spans="1:60" s="38" customFormat="1" ht="14.25" customHeight="1">
      <c r="A122" s="91">
        <v>110</v>
      </c>
      <c r="B122" s="94" t="s">
        <v>65</v>
      </c>
      <c r="C122" s="537" t="s">
        <v>61</v>
      </c>
      <c r="D122" s="91">
        <v>25</v>
      </c>
      <c r="E122" s="100">
        <v>1711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90</v>
      </c>
      <c r="J122" s="100">
        <f>SUMIF(data!$D:$D,$B122&amp;$D122,data!$K:$K)</f>
        <v>2250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1621</v>
      </c>
      <c r="N122" s="652">
        <f t="shared" si="30"/>
        <v>40525</v>
      </c>
      <c r="O122" s="1159">
        <f t="shared" si="31"/>
        <v>51950</v>
      </c>
      <c r="P122" s="804"/>
      <c r="Q122" s="804"/>
      <c r="R122" s="100">
        <f>O122/INTGRATE!$N$293</f>
        <v>4722.727272727273</v>
      </c>
      <c r="S122" s="665">
        <f t="shared" si="42"/>
        <v>8.5808469682386903</v>
      </c>
      <c r="T122" s="461"/>
      <c r="U122" s="136"/>
      <c r="V122" s="836" t="str">
        <f t="shared" si="43"/>
        <v>552SPro25</v>
      </c>
      <c r="W122" s="823">
        <v>320021</v>
      </c>
      <c r="X122" s="386"/>
      <c r="Y122" s="386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7"/>
        <v>51950</v>
      </c>
      <c r="BD122" s="786">
        <f t="shared" si="28"/>
        <v>9</v>
      </c>
      <c r="BE122" s="786">
        <f t="shared" si="29"/>
        <v>5772.2222222222226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164">
        <v>25</v>
      </c>
      <c r="E123" s="100">
        <v>2169</v>
      </c>
      <c r="F123" s="100">
        <f>SUMIF(pro!$A:$A,$V:$V,pro!$N:$N)</f>
        <v>1587</v>
      </c>
      <c r="G123" s="100"/>
      <c r="H123" s="100">
        <f>SUMIF(CBIN!$A:$A,BRAN!$V:$V,CBIN!$G:$G)</f>
        <v>0</v>
      </c>
      <c r="I123" s="100">
        <f>SUMIF(data!$D:$D,$B123&amp;$D123,data!$J:$J)</f>
        <v>490</v>
      </c>
      <c r="J123" s="100">
        <f>SUMIF(data!$D:$D,$B123&amp;$D123,data!$K:$K)</f>
        <v>12250</v>
      </c>
      <c r="K123" s="100">
        <f>SUMIF(AJOUT!$A:$A,BRAN!$V:$V,AJOUT!$L:$L)</f>
        <v>0</v>
      </c>
      <c r="L123" s="100">
        <f>SUMIF(CBOUT!$A:$A,BRAN!$V:$V,CBOUT!$G:$G)</f>
        <v>0</v>
      </c>
      <c r="M123" s="1158">
        <f>E123+F123+H123-I123-L123+G123-K123</f>
        <v>3266</v>
      </c>
      <c r="N123" s="652">
        <f t="shared" si="30"/>
        <v>81650</v>
      </c>
      <c r="O123" s="1159">
        <f t="shared" si="31"/>
        <v>83475</v>
      </c>
      <c r="P123" s="804"/>
      <c r="Q123" s="804"/>
      <c r="R123" s="100">
        <f>O123/INTGRATE!$N$293</f>
        <v>7588.636363636364</v>
      </c>
      <c r="S123" s="665">
        <f t="shared" si="42"/>
        <v>10.759508834980533</v>
      </c>
      <c r="T123" s="403"/>
      <c r="U123" s="136"/>
      <c r="V123" s="836" t="str">
        <f t="shared" si="43"/>
        <v>552SX25</v>
      </c>
      <c r="W123" s="823">
        <v>320008</v>
      </c>
      <c r="X123" s="386"/>
      <c r="Y123" s="386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7"/>
        <v>83475</v>
      </c>
      <c r="BD123" s="786">
        <f t="shared" si="28"/>
        <v>10</v>
      </c>
      <c r="BE123" s="786">
        <f t="shared" si="29"/>
        <v>8347.5</v>
      </c>
      <c r="BF123" s="328"/>
      <c r="BH123" s="436"/>
    </row>
    <row r="124" spans="1:60" s="38" customFormat="1" ht="15" customHeight="1">
      <c r="A124" s="91">
        <v>112</v>
      </c>
      <c r="B124" s="170" t="s">
        <v>165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>
        <f>SUMIF(CBOUT!$A:$A,BRAN!$V:$V,CBOUT!$G:$G)</f>
        <v>0</v>
      </c>
      <c r="M124" s="1158">
        <v>0</v>
      </c>
      <c r="N124" s="652">
        <f t="shared" si="30"/>
        <v>0</v>
      </c>
      <c r="O124" s="1159">
        <f t="shared" si="31"/>
        <v>0</v>
      </c>
      <c r="P124" s="804"/>
      <c r="Q124" s="804"/>
      <c r="R124" s="100">
        <f>O124/INTGRATE!$N$293</f>
        <v>0</v>
      </c>
      <c r="S124" s="665">
        <f t="shared" si="42"/>
        <v>0</v>
      </c>
      <c r="T124" s="403"/>
      <c r="U124" s="136"/>
      <c r="V124" s="836" t="str">
        <f>B124&amp;D124</f>
        <v>552SXSILO</v>
      </c>
      <c r="W124" s="823">
        <v>320008</v>
      </c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25">
        <v>0</v>
      </c>
      <c r="AI124" s="100">
        <v>0</v>
      </c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7"/>
        <v>0</v>
      </c>
      <c r="BD124" s="786">
        <f t="shared" si="28"/>
        <v>0</v>
      </c>
      <c r="BE124" s="786">
        <f t="shared" si="29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 t="s">
        <v>66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/>
      <c r="M125" s="1158">
        <v>0</v>
      </c>
      <c r="N125" s="652">
        <f t="shared" si="30"/>
        <v>0</v>
      </c>
      <c r="O125" s="1159">
        <f t="shared" si="31"/>
        <v>0</v>
      </c>
      <c r="P125" s="804"/>
      <c r="Q125" s="804"/>
      <c r="R125" s="100">
        <f>O125/INTGRATE!$N$293</f>
        <v>0</v>
      </c>
      <c r="S125" s="665">
        <f>IF(R125=0,0,N125/R125)</f>
        <v>0</v>
      </c>
      <c r="T125" s="403"/>
      <c r="U125" s="136"/>
      <c r="V125" s="836" t="str">
        <f>B125&amp;D125</f>
        <v>552SXProSILO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25">
        <v>0</v>
      </c>
      <c r="AI125" s="100">
        <v>0</v>
      </c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7"/>
        <v>0</v>
      </c>
      <c r="BD125" s="786">
        <f t="shared" si="28"/>
        <v>0</v>
      </c>
      <c r="BE125" s="786">
        <f t="shared" si="29"/>
        <v>0</v>
      </c>
      <c r="BF125" s="328"/>
      <c r="BH125" s="436"/>
    </row>
    <row r="126" spans="1:60" s="38" customFormat="1" ht="15" customHeight="1">
      <c r="A126" s="91">
        <v>114</v>
      </c>
      <c r="B126" s="170" t="s">
        <v>62</v>
      </c>
      <c r="C126" s="538" t="s">
        <v>61</v>
      </c>
      <c r="D126" s="615">
        <v>25</v>
      </c>
      <c r="E126" s="100">
        <v>0</v>
      </c>
      <c r="F126" s="425">
        <f>+J126</f>
        <v>0</v>
      </c>
      <c r="G126" s="425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100">
        <f>SUMIF(AJOUT!$A:$A,BRAN!$V:$V,AJOUT!$L:$L)</f>
        <v>0</v>
      </c>
      <c r="L126" s="100">
        <f>SUMIF(CBOUT!$A:$A,BRAN!$V:$V,CBOUT!$G:$G)</f>
        <v>0</v>
      </c>
      <c r="M126" s="1158">
        <v>0</v>
      </c>
      <c r="N126" s="652">
        <f t="shared" si="30"/>
        <v>0</v>
      </c>
      <c r="O126" s="1159">
        <f t="shared" si="31"/>
        <v>0</v>
      </c>
      <c r="P126" s="804"/>
      <c r="Q126" s="804"/>
      <c r="R126" s="100">
        <f>O126/INTGRATE!$N$293</f>
        <v>0</v>
      </c>
      <c r="S126" s="665">
        <f t="shared" si="42"/>
        <v>0</v>
      </c>
      <c r="T126" s="403"/>
      <c r="U126" s="136"/>
      <c r="V126" s="836" t="str">
        <f>B126&amp;D126</f>
        <v>552SXPro25</v>
      </c>
      <c r="W126" s="823"/>
      <c r="X126" s="386"/>
      <c r="Y126" s="386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25">
        <v>0</v>
      </c>
      <c r="AI126" s="100">
        <v>0</v>
      </c>
      <c r="AJ126" s="100"/>
      <c r="AK126" s="100"/>
      <c r="AL126" s="100"/>
      <c r="AM126" s="100"/>
      <c r="AN126" s="100"/>
      <c r="AO126" s="425"/>
      <c r="AP126" s="100"/>
      <c r="AQ126" s="425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7"/>
        <v>0</v>
      </c>
      <c r="BD126" s="786">
        <f t="shared" si="28"/>
        <v>0</v>
      </c>
      <c r="BE126" s="786">
        <f t="shared" si="29"/>
        <v>0</v>
      </c>
      <c r="BF126" s="328"/>
      <c r="BH126" s="436"/>
    </row>
    <row r="127" spans="1:60" s="38" customFormat="1" ht="15" customHeight="1">
      <c r="A127" s="91">
        <v>115</v>
      </c>
      <c r="B127" s="94">
        <v>553</v>
      </c>
      <c r="C127" s="94" t="s">
        <v>64</v>
      </c>
      <c r="D127" s="91">
        <v>25</v>
      </c>
      <c r="E127" s="100">
        <v>1172</v>
      </c>
      <c r="F127" s="100">
        <f>SUMIF(pro!$A:$A,$V:$V,pro!$N:$N)</f>
        <v>0</v>
      </c>
      <c r="G127" s="100"/>
      <c r="H127" s="100">
        <f>SUMIF(CBIN!$A:$A,BRAN!$V:$V,CBIN!$G:$G)</f>
        <v>0</v>
      </c>
      <c r="I127" s="100">
        <f>SUMIF(data!$D:$D,$B127&amp;$D127,data!$J:$J)</f>
        <v>887</v>
      </c>
      <c r="J127" s="100">
        <f>SUMIF(data!$D:$D,$B127&amp;$D127,data!$K:$K)</f>
        <v>22175</v>
      </c>
      <c r="K127" s="100">
        <f>SUMIF(AJOUT!$A:$A,BRAN!$V:$V,AJOUT!$L:$L)</f>
        <v>0</v>
      </c>
      <c r="L127" s="100">
        <f>SUMIF(CBOUT!$A:$A,BRAN!$V:$V,CBOUT!$G:$G)</f>
        <v>0</v>
      </c>
      <c r="M127" s="1158">
        <f>E127+F127+H127-I127-L127+G127-K127</f>
        <v>285</v>
      </c>
      <c r="N127" s="652">
        <f t="shared" si="30"/>
        <v>7125</v>
      </c>
      <c r="O127" s="1159">
        <f t="shared" si="31"/>
        <v>104775</v>
      </c>
      <c r="P127" s="804"/>
      <c r="Q127" s="804"/>
      <c r="R127" s="100">
        <f>O127/INTGRATE!$N$293</f>
        <v>9525</v>
      </c>
      <c r="S127" s="665">
        <f t="shared" si="42"/>
        <v>0.74803149606299213</v>
      </c>
      <c r="T127" s="403"/>
      <c r="U127" s="136"/>
      <c r="V127" s="836" t="str">
        <f t="shared" si="43"/>
        <v>55325</v>
      </c>
      <c r="W127" s="823">
        <v>332301</v>
      </c>
      <c r="X127" s="386"/>
      <c r="Y127" s="386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7"/>
        <v>104775</v>
      </c>
      <c r="BD127" s="786">
        <f t="shared" si="28"/>
        <v>10</v>
      </c>
      <c r="BE127" s="786">
        <f t="shared" si="29"/>
        <v>10477.5</v>
      </c>
      <c r="BH127" s="436"/>
    </row>
    <row r="128" spans="1:60" s="38" customFormat="1" ht="15" customHeight="1">
      <c r="A128" s="91">
        <v>116</v>
      </c>
      <c r="B128" s="94">
        <v>553</v>
      </c>
      <c r="C128" s="163" t="s">
        <v>64</v>
      </c>
      <c r="D128" s="528" t="s">
        <v>66</v>
      </c>
      <c r="E128" s="425">
        <v>0</v>
      </c>
      <c r="F128" s="425">
        <f>+J128</f>
        <v>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30"/>
        <v>0</v>
      </c>
      <c r="O128" s="1159">
        <f t="shared" si="31"/>
        <v>0</v>
      </c>
      <c r="P128" s="427"/>
      <c r="Q128" s="427"/>
      <c r="R128" s="425">
        <f>O128/INTGRATE!$N$293</f>
        <v>0</v>
      </c>
      <c r="S128" s="665">
        <f t="shared" si="42"/>
        <v>0</v>
      </c>
      <c r="T128" s="403"/>
      <c r="U128" s="136"/>
      <c r="V128" s="836" t="str">
        <f t="shared" si="43"/>
        <v>553SILO</v>
      </c>
      <c r="W128" s="823">
        <v>332301</v>
      </c>
      <c r="X128" s="386"/>
      <c r="Y128" s="386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25">
        <v>0</v>
      </c>
      <c r="AI128" s="100">
        <v>0</v>
      </c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7"/>
        <v>0</v>
      </c>
      <c r="BD128" s="786">
        <f t="shared" si="28"/>
        <v>0</v>
      </c>
      <c r="BE128" s="786">
        <f t="shared" si="29"/>
        <v>0</v>
      </c>
      <c r="BH128" s="436"/>
    </row>
    <row r="129" spans="1:60" s="38" customFormat="1" ht="15" customHeight="1">
      <c r="A129" s="91">
        <v>117</v>
      </c>
      <c r="B129" s="94" t="s">
        <v>166</v>
      </c>
      <c r="C129" s="163" t="s">
        <v>64</v>
      </c>
      <c r="D129" s="528" t="s">
        <v>66</v>
      </c>
      <c r="E129" s="425">
        <v>0</v>
      </c>
      <c r="F129" s="425">
        <f>+J129</f>
        <v>14900</v>
      </c>
      <c r="G129" s="425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14900</v>
      </c>
      <c r="K129" s="100">
        <f>SUMIF(AJOUT!$A:$A,BRAN!$V:$V,AJOUT!$L:$L)</f>
        <v>0</v>
      </c>
      <c r="L129" s="100">
        <f>SUMIF(CBOUT!$A:$A,BRAN!$V:$V,CBOUT!$G:$G)</f>
        <v>0</v>
      </c>
      <c r="M129" s="528">
        <v>0</v>
      </c>
      <c r="N129" s="652">
        <f t="shared" si="30"/>
        <v>0</v>
      </c>
      <c r="O129" s="1159">
        <f t="shared" si="31"/>
        <v>142440</v>
      </c>
      <c r="P129" s="427"/>
      <c r="Q129" s="427"/>
      <c r="R129" s="425">
        <f>O129/INTGRATE!$N$293</f>
        <v>12949.09090909091</v>
      </c>
      <c r="S129" s="665">
        <f t="shared" si="42"/>
        <v>0</v>
      </c>
      <c r="T129" s="403"/>
      <c r="U129" s="136"/>
      <c r="V129" s="836" t="str">
        <f t="shared" si="43"/>
        <v>553SSILO</v>
      </c>
      <c r="W129" s="823">
        <v>332302</v>
      </c>
      <c r="X129" s="386"/>
      <c r="Y129" s="386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25">
        <v>17730</v>
      </c>
      <c r="AI129" s="100">
        <v>14900</v>
      </c>
      <c r="AJ129" s="100"/>
      <c r="AK129" s="100"/>
      <c r="AL129" s="100"/>
      <c r="AM129" s="100"/>
      <c r="AN129" s="100"/>
      <c r="AO129" s="425"/>
      <c r="AP129" s="100"/>
      <c r="AQ129" s="425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7"/>
        <v>142440</v>
      </c>
      <c r="BD129" s="786">
        <f t="shared" si="28"/>
        <v>8</v>
      </c>
      <c r="BE129" s="786">
        <f t="shared" si="29"/>
        <v>17805</v>
      </c>
      <c r="BH129" s="436"/>
    </row>
    <row r="130" spans="1:60" s="38" customFormat="1" ht="15" customHeight="1">
      <c r="A130" s="91">
        <v>118</v>
      </c>
      <c r="B130" s="94" t="s">
        <v>67</v>
      </c>
      <c r="C130" s="163" t="s">
        <v>68</v>
      </c>
      <c r="D130" s="617">
        <v>25</v>
      </c>
      <c r="E130" s="561">
        <v>0</v>
      </c>
      <c r="F130" s="100">
        <f>SUMIF(pro!$A:$A,$V:$V,pro!$N:$N)</f>
        <v>0</v>
      </c>
      <c r="G130" s="100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>
        <f>SUMIF(AJOUT!$A:$A,BRAN!$V:$V,AJOUT!$L:$L)</f>
        <v>0</v>
      </c>
      <c r="L130" s="100">
        <f>SUMIF(CBOUT!$A:$A,BRAN!$V:$V,CBOUT!$G:$G)</f>
        <v>0</v>
      </c>
      <c r="M130" s="1158">
        <f>E130+F130+H130-I130-L130+G130-K130</f>
        <v>0</v>
      </c>
      <c r="N130" s="652">
        <f t="shared" si="30"/>
        <v>0</v>
      </c>
      <c r="O130" s="1159">
        <f t="shared" si="31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553SPro25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25">
        <v>0</v>
      </c>
      <c r="AI130" s="100">
        <v>0</v>
      </c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7"/>
        <v>0</v>
      </c>
      <c r="BD130" s="786">
        <f t="shared" si="28"/>
        <v>0</v>
      </c>
      <c r="BE130" s="786">
        <f t="shared" si="29"/>
        <v>0</v>
      </c>
      <c r="BH130" s="436"/>
    </row>
    <row r="131" spans="1:60" s="38" customFormat="1" ht="15" customHeight="1">
      <c r="A131" s="91">
        <v>119</v>
      </c>
      <c r="B131" s="94" t="s">
        <v>67</v>
      </c>
      <c r="C131" s="163" t="s">
        <v>64</v>
      </c>
      <c r="D131" s="528" t="s">
        <v>66</v>
      </c>
      <c r="E131" s="561"/>
      <c r="F131" s="425">
        <f>+J131</f>
        <v>0</v>
      </c>
      <c r="G131" s="425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100"/>
      <c r="L131" s="100"/>
      <c r="M131" s="1158"/>
      <c r="N131" s="652">
        <f t="shared" si="30"/>
        <v>0</v>
      </c>
      <c r="O131" s="1159">
        <f t="shared" si="31"/>
        <v>0</v>
      </c>
      <c r="P131" s="804"/>
      <c r="Q131" s="804"/>
      <c r="R131" s="100">
        <f>O131/INTGRATE!$N$293</f>
        <v>0</v>
      </c>
      <c r="S131" s="665">
        <f>IF(R131=0,0,N131/R131)</f>
        <v>0</v>
      </c>
      <c r="T131" s="403"/>
      <c r="U131" s="136"/>
      <c r="V131" s="836" t="str">
        <f>B131&amp;D131</f>
        <v>553SProSILO</v>
      </c>
      <c r="W131" s="823">
        <v>332121</v>
      </c>
      <c r="X131" s="386"/>
      <c r="Y131" s="386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25">
        <v>0</v>
      </c>
      <c r="AI131" s="100">
        <v>0</v>
      </c>
      <c r="AJ131" s="100"/>
      <c r="AK131" s="100"/>
      <c r="AL131" s="100"/>
      <c r="AM131" s="100"/>
      <c r="AN131" s="100"/>
      <c r="AO131" s="425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7"/>
        <v>0</v>
      </c>
      <c r="BD131" s="786">
        <f t="shared" si="28"/>
        <v>0</v>
      </c>
      <c r="BE131" s="786">
        <f t="shared" si="29"/>
        <v>0</v>
      </c>
      <c r="BH131" s="436"/>
    </row>
    <row r="132" spans="1:60" s="38" customFormat="1" ht="15" customHeight="1">
      <c r="A132" s="91">
        <v>120</v>
      </c>
      <c r="B132" s="94" t="s">
        <v>166</v>
      </c>
      <c r="C132" s="94" t="s">
        <v>64</v>
      </c>
      <c r="D132" s="91">
        <v>25</v>
      </c>
      <c r="E132" s="100">
        <v>2521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359</v>
      </c>
      <c r="J132" s="100">
        <f>SUMIF(data!$D:$D,$B132&amp;$D132,data!$K:$K)</f>
        <v>8975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2162</v>
      </c>
      <c r="N132" s="652">
        <f t="shared" si="30"/>
        <v>54050</v>
      </c>
      <c r="O132" s="1159">
        <f t="shared" si="31"/>
        <v>154775</v>
      </c>
      <c r="P132" s="804"/>
      <c r="Q132" s="804"/>
      <c r="R132" s="100">
        <f>O132/INTGRATE!$N$293</f>
        <v>14070.454545454546</v>
      </c>
      <c r="S132" s="665">
        <f t="shared" si="42"/>
        <v>3.8413826522371184</v>
      </c>
      <c r="T132" s="403"/>
      <c r="U132" s="136"/>
      <c r="V132" s="836" t="str">
        <f t="shared" si="43"/>
        <v>553S25</v>
      </c>
      <c r="W132" s="823">
        <v>332101</v>
      </c>
      <c r="X132" s="386"/>
      <c r="Y132" s="386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7"/>
        <v>154775</v>
      </c>
      <c r="BD132" s="786">
        <f t="shared" si="28"/>
        <v>9</v>
      </c>
      <c r="BE132" s="786">
        <f t="shared" si="29"/>
        <v>17197.222222222223</v>
      </c>
      <c r="BH132" s="436"/>
    </row>
    <row r="133" spans="1:60" s="38" customFormat="1" ht="15" customHeight="1">
      <c r="A133" s="91">
        <v>121</v>
      </c>
      <c r="B133" s="171">
        <v>562</v>
      </c>
      <c r="C133" s="172" t="s">
        <v>64</v>
      </c>
      <c r="D133" s="173">
        <v>25</v>
      </c>
      <c r="E133" s="100">
        <v>957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927</v>
      </c>
      <c r="J133" s="100">
        <f>SUMIF(data!$D:$D,$B133&amp;$D133,data!$K:$K)</f>
        <v>23175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30</v>
      </c>
      <c r="N133" s="652">
        <f t="shared" si="30"/>
        <v>750</v>
      </c>
      <c r="O133" s="1159">
        <f t="shared" si="31"/>
        <v>48200</v>
      </c>
      <c r="P133" s="100"/>
      <c r="Q133" s="100"/>
      <c r="R133" s="100">
        <f>O133/INTGRATE!$N$293</f>
        <v>4381.818181818182</v>
      </c>
      <c r="S133" s="665">
        <f t="shared" si="42"/>
        <v>0.17116182572614108</v>
      </c>
      <c r="T133" s="403"/>
      <c r="U133" s="136"/>
      <c r="V133" s="836" t="str">
        <f t="shared" si="43"/>
        <v>56225</v>
      </c>
      <c r="W133" s="823">
        <v>362001</v>
      </c>
      <c r="X133" s="386"/>
      <c r="Y133" s="386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7"/>
        <v>48200</v>
      </c>
      <c r="BD133" s="786">
        <f t="shared" si="28"/>
        <v>3</v>
      </c>
      <c r="BE133" s="786">
        <f t="shared" si="29"/>
        <v>16066.666666666666</v>
      </c>
      <c r="BF133" s="328"/>
      <c r="BH133" s="436"/>
    </row>
    <row r="134" spans="1:60" s="38" customFormat="1" ht="15" customHeight="1">
      <c r="A134" s="91">
        <v>122</v>
      </c>
      <c r="B134" s="171" t="s">
        <v>167</v>
      </c>
      <c r="C134" s="172" t="s">
        <v>64</v>
      </c>
      <c r="D134" s="173">
        <v>25</v>
      </c>
      <c r="E134" s="100">
        <v>227</v>
      </c>
      <c r="F134" s="100">
        <f>SUMIF(pro!$A:$A,$V:$V,pro!$N:$N)</f>
        <v>0</v>
      </c>
      <c r="G134" s="100"/>
      <c r="H134" s="100">
        <f>SUMIF(CBIN!$A:$A,BRAN!$V:$V,CBIN!$G:$G)</f>
        <v>0</v>
      </c>
      <c r="I134" s="100">
        <f>SUMIF(data!$D:$D,$B134&amp;$D134,data!$J:$J)</f>
        <v>5</v>
      </c>
      <c r="J134" s="100">
        <f>SUMIF(data!$D:$D,$B134&amp;$D134,data!$K:$K)</f>
        <v>125</v>
      </c>
      <c r="K134" s="100">
        <f>SUMIF(AJOUT!$A:$A,BRAN!$V:$V,AJOUT!$L:$L)</f>
        <v>0</v>
      </c>
      <c r="L134" s="100">
        <f>SUMIF(CBOUT!$A:$A,BRAN!$V:$V,CBOUT!$G:$G)</f>
        <v>0</v>
      </c>
      <c r="M134" s="1158">
        <f>E134+F134+H134-I134-L134+G134-K134</f>
        <v>222</v>
      </c>
      <c r="N134" s="652">
        <f t="shared" si="30"/>
        <v>5550</v>
      </c>
      <c r="O134" s="1159">
        <f t="shared" si="31"/>
        <v>8825</v>
      </c>
      <c r="P134" s="100"/>
      <c r="Q134" s="100"/>
      <c r="R134" s="100">
        <f>O134/INTGRATE!$N$293</f>
        <v>802.27272727272725</v>
      </c>
      <c r="S134" s="665">
        <f t="shared" si="42"/>
        <v>6.9178470254957505</v>
      </c>
      <c r="T134" s="403"/>
      <c r="U134" s="136"/>
      <c r="V134" s="836" t="str">
        <f t="shared" si="43"/>
        <v>562P25</v>
      </c>
      <c r="W134" s="823">
        <v>364201</v>
      </c>
      <c r="X134" s="386"/>
      <c r="Y134" s="386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7"/>
        <v>8825</v>
      </c>
      <c r="BD134" s="786">
        <f t="shared" si="28"/>
        <v>8</v>
      </c>
      <c r="BE134" s="786">
        <f t="shared" si="29"/>
        <v>1103.125</v>
      </c>
      <c r="BH134" s="436"/>
    </row>
    <row r="135" spans="1:60" s="38" customFormat="1" ht="15" customHeight="1">
      <c r="A135" s="91">
        <v>123</v>
      </c>
      <c r="B135" s="171" t="s">
        <v>167</v>
      </c>
      <c r="C135" s="172" t="s">
        <v>64</v>
      </c>
      <c r="D135" s="614" t="s">
        <v>66</v>
      </c>
      <c r="E135" s="100">
        <v>0</v>
      </c>
      <c r="F135" s="425">
        <f>+J135</f>
        <v>0</v>
      </c>
      <c r="G135" s="425"/>
      <c r="H135" s="100">
        <f>SUMIF(CBIN!$A:$A,BRAN!$V:$V,CBIN!$G:$G)</f>
        <v>0</v>
      </c>
      <c r="I135" s="100">
        <f>SUMIF(data!$D:$D,$B135&amp;$D135,data!$J:$J)</f>
        <v>0</v>
      </c>
      <c r="J135" s="425">
        <f>SUMIF(data!$D:$D,$B135&amp;$D135,data!$K:$K)</f>
        <v>0</v>
      </c>
      <c r="K135" s="100">
        <f>SUMIF(AJOUT!$A:$A,BRAN!$V:$V,AJOUT!$L:$L)</f>
        <v>0</v>
      </c>
      <c r="L135" s="100">
        <f>SUMIF(CBOUT!$A:$A,BRAN!$V:$V,CBOUT!$G:$G)</f>
        <v>0</v>
      </c>
      <c r="M135" s="528">
        <v>0</v>
      </c>
      <c r="N135" s="652">
        <f t="shared" si="30"/>
        <v>0</v>
      </c>
      <c r="O135" s="1159">
        <f t="shared" si="31"/>
        <v>12040</v>
      </c>
      <c r="P135" s="425"/>
      <c r="Q135" s="425"/>
      <c r="R135" s="425">
        <f>O135/INTGRATE!$N$293</f>
        <v>1094.5454545454545</v>
      </c>
      <c r="S135" s="665">
        <f t="shared" si="42"/>
        <v>0</v>
      </c>
      <c r="T135" s="403"/>
      <c r="U135" s="136"/>
      <c r="V135" s="836" t="str">
        <f t="shared" si="43"/>
        <v>562PSILO</v>
      </c>
      <c r="W135" s="823">
        <v>364201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25">
        <v>0</v>
      </c>
      <c r="AI135" s="100">
        <v>0</v>
      </c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7"/>
        <v>12040</v>
      </c>
      <c r="BD135" s="786">
        <f t="shared" si="28"/>
        <v>1</v>
      </c>
      <c r="BE135" s="786">
        <f t="shared" si="29"/>
        <v>12040</v>
      </c>
      <c r="BH135" s="436"/>
    </row>
    <row r="136" spans="1:60" s="38" customFormat="1" ht="15" customHeight="1">
      <c r="A136" s="91">
        <v>124</v>
      </c>
      <c r="B136" s="171" t="s">
        <v>168</v>
      </c>
      <c r="C136" s="172" t="s">
        <v>64</v>
      </c>
      <c r="D136" s="614" t="s">
        <v>66</v>
      </c>
      <c r="E136" s="100"/>
      <c r="F136" s="425">
        <f>+J136</f>
        <v>0</v>
      </c>
      <c r="G136" s="425"/>
      <c r="H136" s="100"/>
      <c r="I136" s="100"/>
      <c r="J136" s="425">
        <f>SUMIF(data!$D:$D,$B136&amp;$D136,data!$K:$K)</f>
        <v>0</v>
      </c>
      <c r="K136" s="100"/>
      <c r="L136" s="100"/>
      <c r="M136" s="528"/>
      <c r="N136" s="652"/>
      <c r="O136" s="1159">
        <f>SUM(X136:BB136)</f>
        <v>0</v>
      </c>
      <c r="P136" s="425"/>
      <c r="Q136" s="425"/>
      <c r="R136" s="425">
        <f>O136/INTGRATE!$N$293</f>
        <v>0</v>
      </c>
      <c r="S136" s="665">
        <f>IF(R136=0,0,N136/R136)</f>
        <v>0</v>
      </c>
      <c r="T136" s="403"/>
      <c r="U136" s="136"/>
      <c r="V136" s="836" t="str">
        <f t="shared" si="43"/>
        <v>562PXSILO</v>
      </c>
      <c r="W136" s="823">
        <v>364208</v>
      </c>
      <c r="X136" s="386"/>
      <c r="Y136" s="386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25">
        <v>0</v>
      </c>
      <c r="AI136" s="100">
        <v>0</v>
      </c>
      <c r="AJ136" s="100"/>
      <c r="AK136" s="100"/>
      <c r="AL136" s="100"/>
      <c r="AM136" s="100"/>
      <c r="AN136" s="100"/>
      <c r="AO136" s="425"/>
      <c r="AP136" s="100"/>
      <c r="AQ136" s="425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7"/>
        <v>0</v>
      </c>
      <c r="BD136" s="786">
        <f t="shared" si="28"/>
        <v>0</v>
      </c>
      <c r="BE136" s="786">
        <f t="shared" si="29"/>
        <v>0</v>
      </c>
      <c r="BH136" s="436"/>
    </row>
    <row r="137" spans="1:60" s="38" customFormat="1" ht="15" customHeight="1">
      <c r="A137" s="91">
        <v>125</v>
      </c>
      <c r="B137" s="171">
        <v>566</v>
      </c>
      <c r="C137" s="172" t="s">
        <v>64</v>
      </c>
      <c r="D137" s="614" t="s">
        <v>66</v>
      </c>
      <c r="E137" s="425">
        <v>0</v>
      </c>
      <c r="F137" s="425">
        <f>+J137</f>
        <v>0</v>
      </c>
      <c r="G137" s="425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100">
        <f>SUMIF(AJOUT!$A:$A,BRAN!$V:$V,AJOUT!$L:$L)</f>
        <v>0</v>
      </c>
      <c r="L137" s="100">
        <f>SUMIF(CBOUT!$A:$A,BRAN!$V:$V,CBOUT!$G:$G)</f>
        <v>0</v>
      </c>
      <c r="M137" s="528">
        <v>0</v>
      </c>
      <c r="N137" s="652">
        <f t="shared" si="30"/>
        <v>0</v>
      </c>
      <c r="O137" s="1159">
        <f t="shared" si="31"/>
        <v>36390</v>
      </c>
      <c r="P137" s="425"/>
      <c r="Q137" s="425"/>
      <c r="R137" s="425">
        <f>O137/INTGRATE!$N$293</f>
        <v>3308.181818181818</v>
      </c>
      <c r="S137" s="665">
        <f t="shared" si="42"/>
        <v>0</v>
      </c>
      <c r="T137" s="403"/>
      <c r="U137" s="136"/>
      <c r="V137" s="836" t="str">
        <f t="shared" si="43"/>
        <v>566SILO</v>
      </c>
      <c r="W137" s="823">
        <v>364201</v>
      </c>
      <c r="X137" s="386"/>
      <c r="Y137" s="386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7"/>
        <v>36390</v>
      </c>
      <c r="BD137" s="786">
        <f t="shared" si="28"/>
        <v>3</v>
      </c>
      <c r="BE137" s="786">
        <f t="shared" si="29"/>
        <v>12130</v>
      </c>
      <c r="BH137" s="436"/>
    </row>
    <row r="138" spans="1:60" s="38" customFormat="1" ht="15" customHeight="1">
      <c r="A138" s="91">
        <v>126</v>
      </c>
      <c r="B138" s="171">
        <v>566</v>
      </c>
      <c r="C138" s="172" t="s">
        <v>64</v>
      </c>
      <c r="D138" s="173">
        <v>25</v>
      </c>
      <c r="E138" s="100">
        <v>4390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796</v>
      </c>
      <c r="J138" s="100">
        <f>SUMIF(data!$D:$D,$B138&amp;$D138,data!$K:$K)</f>
        <v>19900</v>
      </c>
      <c r="K138" s="100">
        <f>SUMIF(AJOUT!$A:$A,BRAN!$V:$V,AJOUT!$L:$L)</f>
        <v>0</v>
      </c>
      <c r="L138" s="100">
        <f>SUMIF(CBOUT!$A:$A,BRAN!$V:$V,CBOUT!$G:$G)</f>
        <v>0</v>
      </c>
      <c r="M138" s="1158">
        <f>E138+F138+H138-I138-L138+G138-K138</f>
        <v>3594</v>
      </c>
      <c r="N138" s="652">
        <f t="shared" si="30"/>
        <v>89850</v>
      </c>
      <c r="O138" s="1159">
        <f t="shared" si="31"/>
        <v>196850</v>
      </c>
      <c r="P138" s="100"/>
      <c r="Q138" s="100"/>
      <c r="R138" s="100">
        <f>O138/INTGRATE!$N$293</f>
        <v>17895.454545454544</v>
      </c>
      <c r="S138" s="665">
        <f t="shared" si="42"/>
        <v>5.0208280416560838</v>
      </c>
      <c r="T138" s="403"/>
      <c r="U138" s="136"/>
      <c r="V138" s="836" t="str">
        <f t="shared" si="43"/>
        <v>56625</v>
      </c>
      <c r="W138" s="823">
        <v>366201</v>
      </c>
      <c r="X138" s="386"/>
      <c r="Y138" s="386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7"/>
        <v>196850</v>
      </c>
      <c r="BD138" s="786">
        <f t="shared" si="28"/>
        <v>10</v>
      </c>
      <c r="BE138" s="786">
        <f t="shared" si="29"/>
        <v>19685</v>
      </c>
      <c r="BH138" s="436"/>
    </row>
    <row r="139" spans="1:60" s="38" customFormat="1" ht="15" customHeight="1">
      <c r="A139" s="91">
        <v>127</v>
      </c>
      <c r="B139" s="171" t="s">
        <v>169</v>
      </c>
      <c r="C139" s="172" t="s">
        <v>64</v>
      </c>
      <c r="D139" s="173">
        <v>25</v>
      </c>
      <c r="E139" s="100">
        <v>0</v>
      </c>
      <c r="F139" s="100">
        <f>SUMIF(pro!$A:$A,$V:$V,pro!$N:$N)</f>
        <v>0</v>
      </c>
      <c r="G139" s="100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100">
        <f>SUMIF(AJOUT!$A:$A,BRAN!$V:$V,AJOUT!$L:$L)</f>
        <v>0</v>
      </c>
      <c r="L139" s="100"/>
      <c r="M139" s="1158">
        <f>E139+F139+H139-I139-L139+G139-K139</f>
        <v>0</v>
      </c>
      <c r="N139" s="652">
        <f t="shared" si="30"/>
        <v>0</v>
      </c>
      <c r="O139" s="1159">
        <f t="shared" si="31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43"/>
        <v>566X25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7"/>
        <v>0</v>
      </c>
      <c r="BD139" s="786">
        <f t="shared" si="28"/>
        <v>0</v>
      </c>
      <c r="BE139" s="786">
        <f t="shared" si="29"/>
        <v>0</v>
      </c>
      <c r="BH139" s="436"/>
    </row>
    <row r="140" spans="1:60" s="38" customFormat="1" ht="15" customHeight="1">
      <c r="A140" s="91">
        <v>128</v>
      </c>
      <c r="B140" s="171" t="s">
        <v>169</v>
      </c>
      <c r="C140" s="172" t="s">
        <v>64</v>
      </c>
      <c r="D140" s="616" t="s">
        <v>66</v>
      </c>
      <c r="E140" s="100"/>
      <c r="F140" s="100">
        <f>J140</f>
        <v>0</v>
      </c>
      <c r="G140" s="100"/>
      <c r="H140" s="100"/>
      <c r="I140" s="100"/>
      <c r="J140" s="100">
        <f>SUMIF(data!$D:$D,$B140&amp;$D140,data!$K:$K)</f>
        <v>0</v>
      </c>
      <c r="K140" s="100"/>
      <c r="L140" s="100"/>
      <c r="M140" s="1158"/>
      <c r="N140" s="652">
        <f t="shared" si="30"/>
        <v>0</v>
      </c>
      <c r="O140" s="1159">
        <f t="shared" si="31"/>
        <v>0</v>
      </c>
      <c r="P140" s="100"/>
      <c r="Q140" s="100"/>
      <c r="R140" s="100">
        <f>O140/INTGRATE!$N$293</f>
        <v>0</v>
      </c>
      <c r="S140" s="665">
        <f>IF(R140=0,0,N140/R140)</f>
        <v>0</v>
      </c>
      <c r="T140" s="403"/>
      <c r="U140" s="136"/>
      <c r="V140" s="836" t="str">
        <f t="shared" si="43"/>
        <v>566XSILO</v>
      </c>
      <c r="W140" s="823">
        <v>366208</v>
      </c>
      <c r="X140" s="386"/>
      <c r="Y140" s="386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7"/>
        <v>0</v>
      </c>
      <c r="BD140" s="786">
        <f t="shared" si="28"/>
        <v>0</v>
      </c>
      <c r="BE140" s="786">
        <f t="shared" si="29"/>
        <v>0</v>
      </c>
      <c r="BH140" s="436"/>
    </row>
    <row r="141" spans="1:60" s="38" customFormat="1" ht="15" customHeight="1">
      <c r="A141" s="91">
        <v>129</v>
      </c>
      <c r="B141" s="171">
        <f>567</f>
        <v>567</v>
      </c>
      <c r="C141" s="172" t="s">
        <v>64</v>
      </c>
      <c r="D141" s="173">
        <v>25</v>
      </c>
      <c r="E141" s="100">
        <v>828</v>
      </c>
      <c r="F141" s="100">
        <f>SUMIF(pro!$A:$A,$V:$V,pro!$N:$N)</f>
        <v>0</v>
      </c>
      <c r="G141" s="100"/>
      <c r="H141" s="100">
        <f>SUMIF(CBIN!$A:$A,BRAN!$V:$V,CBIN!$G:$G)</f>
        <v>0</v>
      </c>
      <c r="I141" s="100">
        <f>SUMIF(data!$D:$D,$B141&amp;$D141,data!$J:$J)</f>
        <v>300</v>
      </c>
      <c r="J141" s="100">
        <f>SUMIF(data!$D:$D,$B141&amp;$D141,data!$K:$K)</f>
        <v>7500</v>
      </c>
      <c r="K141" s="100">
        <f>SUMIF(AJOUT!$A:$A,BRAN!$V:$V,AJOUT!$L:$L)</f>
        <v>0</v>
      </c>
      <c r="L141" s="100">
        <f>SUMIF(CBOUT!$A:$A,BRAN!$V:$V,CBOUT!$G:$G)</f>
        <v>0</v>
      </c>
      <c r="M141" s="1158">
        <f>E141+F141+H141-I141-L141+G141-K141</f>
        <v>528</v>
      </c>
      <c r="N141" s="652">
        <f t="shared" si="30"/>
        <v>13200</v>
      </c>
      <c r="O141" s="1159">
        <f t="shared" si="31"/>
        <v>52325</v>
      </c>
      <c r="P141" s="100"/>
      <c r="Q141" s="100"/>
      <c r="R141" s="100">
        <f>O141/INTGRATE!$N$293</f>
        <v>4756.818181818182</v>
      </c>
      <c r="S141" s="665">
        <f t="shared" si="42"/>
        <v>2.7749641662685138</v>
      </c>
      <c r="T141" s="402"/>
      <c r="U141" s="136"/>
      <c r="V141" s="836" t="str">
        <f t="shared" si="43"/>
        <v>56725</v>
      </c>
      <c r="W141" s="823">
        <v>367201</v>
      </c>
      <c r="X141" s="386"/>
      <c r="Y141" s="386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7"/>
        <v>52325</v>
      </c>
      <c r="BD141" s="786">
        <f t="shared" si="28"/>
        <v>10</v>
      </c>
      <c r="BE141" s="786">
        <f t="shared" si="29"/>
        <v>5232.5</v>
      </c>
      <c r="BH141" s="436"/>
    </row>
    <row r="142" spans="1:60" s="38" customFormat="1" ht="15" customHeight="1">
      <c r="A142" s="91">
        <v>130</v>
      </c>
      <c r="B142" s="171" t="s">
        <v>170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100">
        <f>SUMIF(AJOUT!$A:$A,BRAN!$V:$V,AJOUT!$L:$L)</f>
        <v>0</v>
      </c>
      <c r="L142" s="100">
        <f>SUMIF(CBOUT!$A:$A,BRAN!$V:$V,CBOUT!$G:$G)</f>
        <v>0</v>
      </c>
      <c r="M142" s="528"/>
      <c r="N142" s="652">
        <f t="shared" si="30"/>
        <v>0</v>
      </c>
      <c r="O142" s="1159">
        <f t="shared" si="31"/>
        <v>12020</v>
      </c>
      <c r="P142" s="425"/>
      <c r="Q142" s="425"/>
      <c r="R142" s="425">
        <f>O142/INTGRATE!$N$293</f>
        <v>1092.7272727272727</v>
      </c>
      <c r="S142" s="665">
        <f t="shared" si="42"/>
        <v>0</v>
      </c>
      <c r="T142" s="403"/>
      <c r="U142" s="136"/>
      <c r="V142" s="836" t="str">
        <f t="shared" si="43"/>
        <v>567SSILO</v>
      </c>
      <c r="W142" s="823">
        <v>367101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25">
        <v>0</v>
      </c>
      <c r="AI142" s="100">
        <v>0</v>
      </c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7"/>
        <v>12020</v>
      </c>
      <c r="BD142" s="786">
        <f t="shared" si="28"/>
        <v>1</v>
      </c>
      <c r="BE142" s="786">
        <f t="shared" si="29"/>
        <v>12020</v>
      </c>
      <c r="BH142" s="436"/>
    </row>
    <row r="143" spans="1:60" s="38" customFormat="1" ht="15" customHeight="1">
      <c r="A143" s="91">
        <v>131</v>
      </c>
      <c r="B143" s="171" t="s">
        <v>171</v>
      </c>
      <c r="C143" s="172" t="s">
        <v>64</v>
      </c>
      <c r="D143" s="614" t="s">
        <v>66</v>
      </c>
      <c r="E143" s="529"/>
      <c r="F143" s="425">
        <f>+J143</f>
        <v>0</v>
      </c>
      <c r="G143" s="425"/>
      <c r="H143" s="100"/>
      <c r="I143" s="100"/>
      <c r="J143" s="425">
        <f>SUMIF(data!$D:$D,$B143&amp;$D143,data!$K:$K)</f>
        <v>0</v>
      </c>
      <c r="K143" s="100"/>
      <c r="L143" s="100"/>
      <c r="M143" s="528"/>
      <c r="N143" s="652">
        <f t="shared" si="30"/>
        <v>0</v>
      </c>
      <c r="O143" s="1159">
        <f t="shared" si="31"/>
        <v>0</v>
      </c>
      <c r="P143" s="425"/>
      <c r="Q143" s="425"/>
      <c r="R143" s="425">
        <f>O143/INTGRATE!$N$293</f>
        <v>0</v>
      </c>
      <c r="S143" s="665">
        <f>IF(R143=0,0,N143/R143)</f>
        <v>0</v>
      </c>
      <c r="T143" s="403"/>
      <c r="U143" s="136"/>
      <c r="V143" s="836" t="str">
        <f t="shared" si="43"/>
        <v>567SXSILO</v>
      </c>
      <c r="W143" s="823">
        <v>367108</v>
      </c>
      <c r="X143" s="386"/>
      <c r="Y143" s="386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25">
        <v>0</v>
      </c>
      <c r="AI143" s="100">
        <v>0</v>
      </c>
      <c r="AJ143" s="100"/>
      <c r="AK143" s="100"/>
      <c r="AL143" s="100"/>
      <c r="AM143" s="100"/>
      <c r="AN143" s="100"/>
      <c r="AO143" s="425"/>
      <c r="AP143" s="100"/>
      <c r="AQ143" s="425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7"/>
        <v>0</v>
      </c>
      <c r="BD143" s="786">
        <f t="shared" si="28"/>
        <v>0</v>
      </c>
      <c r="BE143" s="786">
        <f t="shared" si="29"/>
        <v>0</v>
      </c>
      <c r="BH143" s="436"/>
    </row>
    <row r="144" spans="1:60" s="38" customFormat="1" ht="15" customHeight="1">
      <c r="A144" s="91">
        <v>132</v>
      </c>
      <c r="B144" s="171" t="s">
        <v>170</v>
      </c>
      <c r="C144" s="172" t="s">
        <v>64</v>
      </c>
      <c r="D144" s="173">
        <v>25</v>
      </c>
      <c r="E144" s="717">
        <v>224</v>
      </c>
      <c r="F144" s="100">
        <f>SUMIF(pro!$A:$A,$V:$V,pro!$N:$N)</f>
        <v>2547</v>
      </c>
      <c r="G144" s="100"/>
      <c r="H144" s="100">
        <f>SUMIF(CBIN!$A:$A,BRAN!$V:$V,CBIN!$G:$G)</f>
        <v>0</v>
      </c>
      <c r="I144" s="100">
        <f>SUMIF(data!$D:$D,$B144&amp;$D144,data!$J:$J)</f>
        <v>1097</v>
      </c>
      <c r="J144" s="100">
        <f>SUMIF(data!$D:$D,$B144&amp;$D144,data!$K:$K)</f>
        <v>27425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ref="M144:M150" si="47">E144+F144+H144-I144-L144+G144-K144</f>
        <v>1674</v>
      </c>
      <c r="N144" s="652">
        <f t="shared" si="30"/>
        <v>41850</v>
      </c>
      <c r="O144" s="1159">
        <f t="shared" si="31"/>
        <v>220775</v>
      </c>
      <c r="P144" s="100"/>
      <c r="Q144" s="100"/>
      <c r="R144" s="100">
        <f>O144/INTGRATE!$N$293</f>
        <v>20070.454545454544</v>
      </c>
      <c r="S144" s="665">
        <f t="shared" si="42"/>
        <v>2.0851545691314688</v>
      </c>
      <c r="T144" s="403"/>
      <c r="U144" s="136"/>
      <c r="V144" s="836" t="str">
        <f t="shared" si="43"/>
        <v>567S25</v>
      </c>
      <c r="W144" s="823">
        <v>367101</v>
      </c>
      <c r="X144" s="386"/>
      <c r="Y144" s="386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7"/>
        <v>220775</v>
      </c>
      <c r="BD144" s="786">
        <f t="shared" si="28"/>
        <v>10</v>
      </c>
      <c r="BE144" s="786">
        <f t="shared" si="29"/>
        <v>22077.5</v>
      </c>
      <c r="BH144" s="436"/>
    </row>
    <row r="145" spans="1:151" s="95" customFormat="1" ht="15" customHeight="1">
      <c r="A145" s="91">
        <v>133</v>
      </c>
      <c r="B145" s="410">
        <v>584</v>
      </c>
      <c r="C145" s="464" t="s">
        <v>64</v>
      </c>
      <c r="D145" s="1174">
        <v>25</v>
      </c>
      <c r="E145" s="717">
        <v>696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44</v>
      </c>
      <c r="J145" s="100">
        <f>SUMIF(data!$D:$D,$B145&amp;$D145,data!$K:$K)</f>
        <v>1100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7"/>
        <v>652</v>
      </c>
      <c r="N145" s="652">
        <f t="shared" si="30"/>
        <v>16300</v>
      </c>
      <c r="O145" s="1159">
        <f t="shared" si="31"/>
        <v>5800</v>
      </c>
      <c r="P145" s="804"/>
      <c r="Q145" s="804"/>
      <c r="R145" s="100">
        <f>O145/INTGRATE!$N$293</f>
        <v>527.27272727272725</v>
      </c>
      <c r="S145" s="665">
        <f t="shared" si="42"/>
        <v>30.913793103448278</v>
      </c>
      <c r="T145" s="403"/>
      <c r="U145" s="136"/>
      <c r="V145" s="836" t="str">
        <f t="shared" si="43"/>
        <v>58425</v>
      </c>
      <c r="W145" s="823">
        <v>433001</v>
      </c>
      <c r="X145" s="386"/>
      <c r="Y145" s="386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7"/>
        <v>5800</v>
      </c>
      <c r="BD145" s="786">
        <f t="shared" si="28"/>
        <v>9</v>
      </c>
      <c r="BE145" s="786">
        <f t="shared" si="29"/>
        <v>644.44444444444446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172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7"/>
        <v>0</v>
      </c>
      <c r="N146" s="652">
        <f t="shared" si="30"/>
        <v>0</v>
      </c>
      <c r="O146" s="1159">
        <f t="shared" si="31"/>
        <v>0</v>
      </c>
      <c r="P146" s="804"/>
      <c r="Q146" s="804"/>
      <c r="R146" s="100">
        <f>O146/INTGRATE!$N$293</f>
        <v>0</v>
      </c>
      <c r="S146" s="665">
        <f>IF(R146=0,0,N146/R146)</f>
        <v>0</v>
      </c>
      <c r="T146" s="403"/>
      <c r="U146" s="136"/>
      <c r="V146" s="836" t="str">
        <f t="shared" si="43"/>
        <v>571 O125</v>
      </c>
      <c r="W146" s="823">
        <v>411001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7"/>
        <v>0</v>
      </c>
      <c r="BD146" s="786">
        <f t="shared" si="28"/>
        <v>0</v>
      </c>
      <c r="BE146" s="786">
        <f t="shared" si="29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 t="s">
        <v>173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7"/>
        <v>0</v>
      </c>
      <c r="N147" s="652">
        <f t="shared" si="30"/>
        <v>0</v>
      </c>
      <c r="O147" s="1159">
        <f t="shared" si="31"/>
        <v>0</v>
      </c>
      <c r="P147" s="804"/>
      <c r="Q147" s="804"/>
      <c r="R147" s="100">
        <f>O147/INTGRATE!$N$293</f>
        <v>0</v>
      </c>
      <c r="S147" s="665">
        <f t="shared" si="42"/>
        <v>0</v>
      </c>
      <c r="T147" s="403"/>
      <c r="U147" s="136"/>
      <c r="V147" s="836" t="str">
        <f t="shared" si="43"/>
        <v>585S25</v>
      </c>
      <c r="W147" s="823">
        <v>433011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si="27"/>
        <v>0</v>
      </c>
      <c r="BD147" s="786">
        <f t="shared" si="28"/>
        <v>0</v>
      </c>
      <c r="BE147" s="786">
        <f t="shared" si="29"/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596</v>
      </c>
      <c r="C148" s="464" t="s">
        <v>64</v>
      </c>
      <c r="D148" s="1174">
        <v>25</v>
      </c>
      <c r="E148" s="717">
        <v>0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7"/>
        <v>0</v>
      </c>
      <c r="N148" s="652">
        <f t="shared" si="30"/>
        <v>0</v>
      </c>
      <c r="O148" s="1159">
        <f t="shared" si="31"/>
        <v>0</v>
      </c>
      <c r="P148" s="804"/>
      <c r="Q148" s="804"/>
      <c r="R148" s="100">
        <f>O148/INTGRATE!$N$293</f>
        <v>0</v>
      </c>
      <c r="S148" s="665">
        <f t="shared" si="42"/>
        <v>0</v>
      </c>
      <c r="T148" s="403"/>
      <c r="U148" s="136"/>
      <c r="V148" s="836" t="str">
        <f t="shared" si="43"/>
        <v>59625</v>
      </c>
      <c r="W148" s="823">
        <v>424001</v>
      </c>
      <c r="X148" s="389"/>
      <c r="Y148" s="389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ref="BC148:BC150" si="48">SUM(X148:BB148)</f>
        <v>0</v>
      </c>
      <c r="BD148" s="786">
        <f t="shared" ref="BD148:BD150" si="49">COUNTIF(X148:BB148,"&gt;0")</f>
        <v>0</v>
      </c>
      <c r="BE148" s="786">
        <f t="shared" ref="BE148:BE150" si="50">IFERROR(BC148/BD148,0)</f>
        <v>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594</v>
      </c>
      <c r="C149" s="464" t="s">
        <v>64</v>
      </c>
      <c r="D149" s="1174">
        <v>25</v>
      </c>
      <c r="E149" s="717">
        <v>561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7"/>
        <v>561</v>
      </c>
      <c r="N149" s="652">
        <f t="shared" si="30"/>
        <v>14025</v>
      </c>
      <c r="O149" s="1159">
        <f t="shared" si="31"/>
        <v>3500</v>
      </c>
      <c r="P149" s="804"/>
      <c r="Q149" s="804"/>
      <c r="R149" s="100">
        <f>O149/INTGRATE!$N$293</f>
        <v>318.18181818181819</v>
      </c>
      <c r="S149" s="665">
        <f t="shared" si="42"/>
        <v>44.078571428571429</v>
      </c>
      <c r="T149" s="403"/>
      <c r="U149" s="136"/>
      <c r="V149" s="836" t="str">
        <f t="shared" si="43"/>
        <v>59425</v>
      </c>
      <c r="W149" s="823">
        <v>422001</v>
      </c>
      <c r="X149" s="389"/>
      <c r="Y149" s="389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30"/>
      <c r="AY149" s="100"/>
      <c r="AZ149" s="100"/>
      <c r="BA149" s="100"/>
      <c r="BB149" s="100"/>
      <c r="BC149" s="276">
        <f t="shared" si="48"/>
        <v>3500</v>
      </c>
      <c r="BD149" s="786">
        <f t="shared" si="49"/>
        <v>2</v>
      </c>
      <c r="BE149" s="786">
        <f t="shared" si="50"/>
        <v>1750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410">
        <v>595</v>
      </c>
      <c r="C150" s="464" t="s">
        <v>64</v>
      </c>
      <c r="D150" s="1174">
        <v>25</v>
      </c>
      <c r="E150" s="717">
        <v>1161</v>
      </c>
      <c r="F150" s="100">
        <f>SUMIF(pro!$A:$A,$V:$V,pro!$N:$N)</f>
        <v>0</v>
      </c>
      <c r="G150" s="100"/>
      <c r="H150" s="100">
        <f>SUMIF(CBIN!$A:$A,BRAN!$V:$V,CBIN!$G:$G)</f>
        <v>0</v>
      </c>
      <c r="I150" s="100">
        <f>SUMIF(data!$D:$D,$B150&amp;$D150,data!$J:$J)</f>
        <v>322</v>
      </c>
      <c r="J150" s="100">
        <f>SUMIF(data!$D:$D,$B150&amp;$D150,data!$K:$K)</f>
        <v>8050</v>
      </c>
      <c r="K150" s="100">
        <f>SUMIF(AJOUT!$A:$A,BRAN!$V:$V,AJOUT!$L:$L)</f>
        <v>0</v>
      </c>
      <c r="L150" s="100">
        <f>SUMIF(CBOUT!$A:$A,BRAN!$V:$V,CBOUT!$G:$G)</f>
        <v>0</v>
      </c>
      <c r="M150" s="1158">
        <f t="shared" si="47"/>
        <v>839</v>
      </c>
      <c r="N150" s="652">
        <f t="shared" si="30"/>
        <v>20975</v>
      </c>
      <c r="O150" s="1159">
        <f t="shared" si="31"/>
        <v>79900</v>
      </c>
      <c r="P150" s="804"/>
      <c r="Q150" s="804"/>
      <c r="R150" s="100">
        <f>O150/INTGRATE!$N$293</f>
        <v>7263.636363636364</v>
      </c>
      <c r="S150" s="665">
        <f t="shared" si="42"/>
        <v>2.8876720901126407</v>
      </c>
      <c r="T150" s="511"/>
      <c r="U150" s="136"/>
      <c r="V150" s="836" t="str">
        <f t="shared" si="43"/>
        <v>59525</v>
      </c>
      <c r="W150" s="823">
        <v>423001</v>
      </c>
      <c r="X150" s="389"/>
      <c r="Y150" s="389">
        <v>2000</v>
      </c>
      <c r="Z150" s="157">
        <v>1375</v>
      </c>
      <c r="AA150" s="157">
        <v>11925</v>
      </c>
      <c r="AB150" s="157">
        <v>10875</v>
      </c>
      <c r="AC150" s="157">
        <v>3300</v>
      </c>
      <c r="AD150" s="157">
        <v>7875</v>
      </c>
      <c r="AE150" s="157">
        <v>16050</v>
      </c>
      <c r="AF150" s="157">
        <v>11700</v>
      </c>
      <c r="AG150" s="157"/>
      <c r="AH150" s="100">
        <v>6750</v>
      </c>
      <c r="AI150" s="157">
        <v>8050</v>
      </c>
      <c r="AJ150" s="157"/>
      <c r="AK150" s="157"/>
      <c r="AL150" s="157"/>
      <c r="AM150" s="157"/>
      <c r="AN150" s="157"/>
      <c r="AO150" s="100"/>
      <c r="AP150" s="157"/>
      <c r="AQ150" s="100"/>
      <c r="AR150" s="157"/>
      <c r="AS150" s="157"/>
      <c r="AT150" s="157"/>
      <c r="AU150" s="157"/>
      <c r="AV150" s="157"/>
      <c r="AW150" s="157"/>
      <c r="AX150" s="230"/>
      <c r="AY150" s="157"/>
      <c r="AZ150" s="157"/>
      <c r="BA150" s="157"/>
      <c r="BB150" s="157"/>
      <c r="BC150" s="276">
        <f t="shared" si="48"/>
        <v>79900</v>
      </c>
      <c r="BD150" s="786">
        <f t="shared" si="49"/>
        <v>10</v>
      </c>
      <c r="BE150" s="786">
        <f t="shared" si="50"/>
        <v>7990</v>
      </c>
      <c r="BF150" s="38"/>
      <c r="BG150" s="38"/>
      <c r="BH150" s="436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117" t="s">
        <v>69</v>
      </c>
      <c r="B151" s="1118"/>
      <c r="C151" s="1118"/>
      <c r="D151" s="1119"/>
      <c r="E151" s="64"/>
      <c r="F151" s="64"/>
      <c r="G151" s="64"/>
      <c r="H151" s="64"/>
      <c r="I151" s="64"/>
      <c r="J151" s="64"/>
      <c r="K151" s="64"/>
      <c r="L151" s="64"/>
      <c r="M151" s="588"/>
      <c r="N151" s="64"/>
      <c r="O151" s="124"/>
      <c r="P151" s="64">
        <f>SUM(P13:P19)</f>
        <v>1198060</v>
      </c>
      <c r="Q151" s="64">
        <f>SUM(Q13:Q19)</f>
        <v>3817325</v>
      </c>
      <c r="R151" s="64"/>
      <c r="S151" s="99"/>
      <c r="T151" s="1097"/>
      <c r="U151" s="137"/>
      <c r="V151" s="834" t="str">
        <f t="shared" si="43"/>
        <v/>
      </c>
      <c r="W151" s="831"/>
      <c r="X151" s="557">
        <f t="shared" ref="X151:BB151" si="51">SUM(X13:X150)</f>
        <v>0</v>
      </c>
      <c r="Y151" s="557">
        <f t="shared" si="51"/>
        <v>492560</v>
      </c>
      <c r="Z151" s="557">
        <f t="shared" si="51"/>
        <v>134085</v>
      </c>
      <c r="AA151" s="557">
        <f t="shared" si="51"/>
        <v>467085</v>
      </c>
      <c r="AB151" s="557">
        <f t="shared" si="51"/>
        <v>403845</v>
      </c>
      <c r="AC151" s="557">
        <f t="shared" si="51"/>
        <v>376520</v>
      </c>
      <c r="AD151" s="557">
        <f t="shared" si="51"/>
        <v>300575</v>
      </c>
      <c r="AE151" s="557">
        <f t="shared" si="51"/>
        <v>373040</v>
      </c>
      <c r="AF151" s="557">
        <f t="shared" si="51"/>
        <v>208675</v>
      </c>
      <c r="AG151" s="557">
        <f t="shared" si="51"/>
        <v>0</v>
      </c>
      <c r="AH151" s="557">
        <f t="shared" si="51"/>
        <v>535380</v>
      </c>
      <c r="AI151" s="557">
        <f t="shared" si="51"/>
        <v>525560</v>
      </c>
      <c r="AJ151" s="557">
        <f t="shared" si="51"/>
        <v>0</v>
      </c>
      <c r="AK151" s="557">
        <f t="shared" si="51"/>
        <v>0</v>
      </c>
      <c r="AL151" s="557">
        <f t="shared" si="51"/>
        <v>0</v>
      </c>
      <c r="AM151" s="557">
        <f t="shared" si="51"/>
        <v>0</v>
      </c>
      <c r="AN151" s="557">
        <f t="shared" si="51"/>
        <v>0</v>
      </c>
      <c r="AO151" s="557">
        <f t="shared" si="51"/>
        <v>0</v>
      </c>
      <c r="AP151" s="557">
        <f t="shared" si="51"/>
        <v>0</v>
      </c>
      <c r="AQ151" s="557">
        <f t="shared" si="51"/>
        <v>0</v>
      </c>
      <c r="AR151" s="557">
        <f t="shared" si="51"/>
        <v>0</v>
      </c>
      <c r="AS151" s="557">
        <f t="shared" si="51"/>
        <v>0</v>
      </c>
      <c r="AT151" s="557">
        <f t="shared" si="51"/>
        <v>0</v>
      </c>
      <c r="AU151" s="557">
        <f t="shared" si="51"/>
        <v>0</v>
      </c>
      <c r="AV151" s="557">
        <f t="shared" si="51"/>
        <v>0</v>
      </c>
      <c r="AW151" s="557">
        <f t="shared" si="51"/>
        <v>0</v>
      </c>
      <c r="AX151" s="557">
        <f t="shared" ref="AX151" si="52">SUM(AX13:AX150)</f>
        <v>0</v>
      </c>
      <c r="AY151" s="557">
        <f t="shared" si="51"/>
        <v>0</v>
      </c>
      <c r="AZ151" s="557">
        <f t="shared" si="51"/>
        <v>0</v>
      </c>
      <c r="BA151" s="557">
        <f t="shared" si="51"/>
        <v>0</v>
      </c>
      <c r="BB151" s="557">
        <f t="shared" si="51"/>
        <v>0</v>
      </c>
      <c r="BC151" s="766">
        <f t="shared" ref="BC151:BC168" si="53">SUM(X151:BB151)</f>
        <v>3817325</v>
      </c>
      <c r="BD151" s="788"/>
      <c r="BE151" s="788"/>
      <c r="BH151" s="437"/>
    </row>
    <row r="152" spans="1:151" s="63" customFormat="1" ht="18" customHeight="1">
      <c r="A152" s="1117" t="s">
        <v>70</v>
      </c>
      <c r="B152" s="1118"/>
      <c r="C152" s="1118"/>
      <c r="D152" s="1119"/>
      <c r="E152" s="589">
        <f>+E36</f>
        <v>16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0</v>
      </c>
      <c r="I152" s="64">
        <f t="shared" si="54"/>
        <v>5</v>
      </c>
      <c r="J152" s="64">
        <f t="shared" si="54"/>
        <v>50</v>
      </c>
      <c r="K152" s="64">
        <f t="shared" si="54"/>
        <v>0</v>
      </c>
      <c r="L152" s="64">
        <f t="shared" si="54"/>
        <v>0</v>
      </c>
      <c r="M152" s="589">
        <f t="shared" si="54"/>
        <v>11</v>
      </c>
      <c r="N152" s="64">
        <f t="shared" si="54"/>
        <v>110</v>
      </c>
      <c r="O152" s="589">
        <f t="shared" si="54"/>
        <v>2170</v>
      </c>
      <c r="P152" s="64"/>
      <c r="Q152" s="64"/>
      <c r="R152" s="64">
        <f>+R36</f>
        <v>197.27272727272728</v>
      </c>
      <c r="S152" s="64">
        <f>+S36</f>
        <v>0.55760368663594473</v>
      </c>
      <c r="T152" s="1098"/>
      <c r="U152" s="137"/>
      <c r="V152" s="834"/>
      <c r="W152" s="83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117" t="s">
        <v>71</v>
      </c>
      <c r="B153" s="1118"/>
      <c r="C153" s="1118"/>
      <c r="D153" s="1119"/>
      <c r="E153" s="589">
        <f>SUM(E13:E22)</f>
        <v>13</v>
      </c>
      <c r="F153" s="64">
        <f t="shared" ref="F153:O153" si="55">SUM(F13:F22)</f>
        <v>0</v>
      </c>
      <c r="G153" s="64">
        <f t="shared" si="55"/>
        <v>0</v>
      </c>
      <c r="H153" s="64">
        <f t="shared" si="55"/>
        <v>0</v>
      </c>
      <c r="I153" s="64">
        <f t="shared" si="55"/>
        <v>10</v>
      </c>
      <c r="J153" s="64">
        <f t="shared" si="55"/>
        <v>250</v>
      </c>
      <c r="K153" s="64">
        <f t="shared" si="55"/>
        <v>0</v>
      </c>
      <c r="L153" s="64">
        <f t="shared" si="55"/>
        <v>0</v>
      </c>
      <c r="M153" s="589">
        <f t="shared" si="55"/>
        <v>3</v>
      </c>
      <c r="N153" s="64">
        <f t="shared" si="55"/>
        <v>75</v>
      </c>
      <c r="O153" s="589">
        <f t="shared" si="55"/>
        <v>3875</v>
      </c>
      <c r="P153" s="64"/>
      <c r="Q153" s="64"/>
      <c r="R153" s="64">
        <f>SUM(R13:R22)</f>
        <v>352.27272727272725</v>
      </c>
      <c r="S153" s="64">
        <f>SUM(S13:S22)</f>
        <v>0.21290322580645163</v>
      </c>
      <c r="T153" s="1098"/>
      <c r="U153" s="64">
        <f>SUM(U13:U22)*25</f>
        <v>0</v>
      </c>
      <c r="V153" s="837" t="str">
        <f t="shared" ref="V153:V163" si="56">B153&amp;D153</f>
        <v/>
      </c>
      <c r="W153" s="83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117" t="s">
        <v>72</v>
      </c>
      <c r="B154" s="1118"/>
      <c r="C154" s="1118"/>
      <c r="D154" s="1119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45867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21228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0</v>
      </c>
      <c r="I154" s="64">
        <f t="shared" si="57"/>
        <v>19180</v>
      </c>
      <c r="J154" s="64">
        <f t="shared" si="57"/>
        <v>479500</v>
      </c>
      <c r="K154" s="64">
        <f t="shared" si="57"/>
        <v>0</v>
      </c>
      <c r="L154" s="64">
        <f t="shared" si="57"/>
        <v>0</v>
      </c>
      <c r="M154" s="64">
        <f t="shared" si="57"/>
        <v>47915</v>
      </c>
      <c r="N154" s="64">
        <f t="shared" si="57"/>
        <v>1197875</v>
      </c>
      <c r="O154" s="64">
        <f t="shared" si="57"/>
        <v>3235500</v>
      </c>
      <c r="P154" s="64">
        <f t="shared" si="57"/>
        <v>595900</v>
      </c>
      <c r="Q154" s="64">
        <f t="shared" si="57"/>
        <v>1888140</v>
      </c>
      <c r="R154" s="64">
        <f t="shared" si="57"/>
        <v>294136.36363636347</v>
      </c>
      <c r="S154" s="64">
        <f>SUM(S23:S33,S37,S38:S47,S80,S51,S55:S64,S73,S75:S78,S82:S84,S87:S89,S91,S104,S109:S110,S117,S120:S127,S132:S134,S138:S141,S144:S150,S69,S118)-S124</f>
        <v>260.53712876851978</v>
      </c>
      <c r="T154" s="1098"/>
      <c r="U154" s="398">
        <f>SUM(U23:U77,U82:U150)*25</f>
        <v>0</v>
      </c>
      <c r="V154" s="834" t="str">
        <f t="shared" si="56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117" t="s">
        <v>73</v>
      </c>
      <c r="B155" s="1118"/>
      <c r="C155" s="1118"/>
      <c r="D155" s="1119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R155" si="59">SUM(P13:P150)-P152-P153-P154-P156-P67</f>
        <v>1198060</v>
      </c>
      <c r="Q155" s="64">
        <f t="shared" si="59"/>
        <v>3817325</v>
      </c>
      <c r="R155" s="64">
        <v>0</v>
      </c>
      <c r="S155" s="64">
        <f>SUM(S13:S150)-S152-S153-S154-S156</f>
        <v>67.441614962773144</v>
      </c>
      <c r="T155" s="1098"/>
      <c r="U155" s="137">
        <f>SUM(U79:U79)*40</f>
        <v>0</v>
      </c>
      <c r="V155" s="834" t="str">
        <f t="shared" si="56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63" customFormat="1" ht="18" customHeight="1">
      <c r="A156" s="1117" t="s">
        <v>74</v>
      </c>
      <c r="B156" s="1118"/>
      <c r="C156" s="1118"/>
      <c r="D156" s="1119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45760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45760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575780</v>
      </c>
      <c r="P156" s="64">
        <f t="shared" si="60"/>
        <v>0</v>
      </c>
      <c r="Q156" s="64">
        <f t="shared" si="60"/>
        <v>0</v>
      </c>
      <c r="R156" s="64">
        <f t="shared" si="60"/>
        <v>52343.636363636368</v>
      </c>
      <c r="S156" s="64">
        <f>S34+S35+S48+S52+S65+S68+S74+S85+S86+S90+S103+S108+S113+S119+S128+S129+S135+S137+S142+S124+S121+S106+S111+S131+S95+S31+S125+S102</f>
        <v>0</v>
      </c>
      <c r="T156" s="1098"/>
      <c r="U156" s="137"/>
      <c r="V156" s="834" t="str">
        <f t="shared" si="56"/>
        <v/>
      </c>
      <c r="W156" s="83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437"/>
    </row>
    <row r="157" spans="1:151" s="126" customFormat="1" ht="18" customHeight="1">
      <c r="A157" s="1111" t="s">
        <v>75</v>
      </c>
      <c r="B157" s="1112"/>
      <c r="C157" s="1112"/>
      <c r="D157" s="1113"/>
      <c r="E157" s="127">
        <f>SUM(E13:E150)</f>
        <v>45896</v>
      </c>
      <c r="F157" s="127">
        <f>SUM(F151:F155)</f>
        <v>21228</v>
      </c>
      <c r="G157" s="127">
        <f>SUM(G151:G155)</f>
        <v>0</v>
      </c>
      <c r="H157" s="127">
        <f>SUM(H13:H150)</f>
        <v>0</v>
      </c>
      <c r="I157" s="127">
        <f>SUM(I151:I155)</f>
        <v>19195</v>
      </c>
      <c r="J157" s="127">
        <f>SUM(J151:J155)</f>
        <v>479800</v>
      </c>
      <c r="K157" s="127">
        <f>SUM(K151:K155)</f>
        <v>0</v>
      </c>
      <c r="L157" s="127">
        <f>SUM(L151:L155)</f>
        <v>0</v>
      </c>
      <c r="M157" s="127">
        <f>SUM(M13:M150)</f>
        <v>47929</v>
      </c>
      <c r="N157" s="127">
        <f>SUM(N13:N150)</f>
        <v>1198060</v>
      </c>
      <c r="O157" s="1104">
        <f>SUM(O13:O150)</f>
        <v>3817325</v>
      </c>
      <c r="P157" s="186"/>
      <c r="Q157" s="186"/>
      <c r="R157" s="1106">
        <f>SUM(R13:R150)</f>
        <v>347029.5454545453</v>
      </c>
      <c r="S157" s="1115" t="s">
        <v>76</v>
      </c>
      <c r="T157" s="1098"/>
      <c r="U157" s="1160"/>
      <c r="V157" s="834" t="str">
        <f t="shared" si="56"/>
        <v/>
      </c>
      <c r="W157" s="831"/>
      <c r="X157" s="278"/>
      <c r="Y157" s="278"/>
      <c r="Z157" s="278"/>
      <c r="AA157" s="278"/>
      <c r="AB157" s="278"/>
      <c r="AC157" s="278"/>
      <c r="AD157" s="278"/>
      <c r="AE157" s="278"/>
      <c r="AF157" s="278"/>
      <c r="AG157" s="278"/>
      <c r="AH157" s="278"/>
      <c r="AI157" s="278"/>
      <c r="AJ157" s="278"/>
      <c r="AK157" s="278"/>
      <c r="AL157" s="278"/>
      <c r="AM157" s="278"/>
      <c r="AN157" s="278"/>
      <c r="AO157" s="278"/>
      <c r="AP157" s="278"/>
      <c r="AQ157" s="278"/>
      <c r="AR157" s="278"/>
      <c r="AS157" s="278"/>
      <c r="AT157" s="278"/>
      <c r="AU157" s="278"/>
      <c r="AV157" s="278"/>
      <c r="AW157" s="278"/>
      <c r="AX157" s="278"/>
      <c r="AY157" s="278"/>
      <c r="AZ157" s="278"/>
      <c r="BA157" s="278"/>
      <c r="BB157" s="278"/>
      <c r="BC157" s="278"/>
      <c r="BD157" s="278"/>
      <c r="BE157" s="278"/>
      <c r="BF157" s="278"/>
      <c r="BG157" s="278"/>
      <c r="BH157" s="437"/>
      <c r="BI157" s="353"/>
      <c r="BJ157" s="353"/>
      <c r="BK157" s="353"/>
      <c r="BL157" s="353"/>
      <c r="BM157" s="353"/>
      <c r="BN157" s="353"/>
      <c r="BO157" s="353"/>
      <c r="BP157" s="353"/>
      <c r="BQ157" s="353"/>
      <c r="BR157" s="353"/>
      <c r="BS157" s="353"/>
      <c r="BT157" s="353"/>
      <c r="BU157" s="353"/>
      <c r="BV157" s="353"/>
      <c r="BW157" s="353"/>
      <c r="BX157" s="353"/>
      <c r="BY157" s="353"/>
      <c r="BZ157" s="353"/>
      <c r="CA157" s="353"/>
      <c r="CB157" s="353"/>
      <c r="CC157" s="353"/>
      <c r="CD157" s="353"/>
      <c r="CE157" s="353"/>
      <c r="CF157" s="353"/>
      <c r="CG157" s="353"/>
      <c r="CH157" s="353"/>
      <c r="CI157" s="353"/>
      <c r="CJ157" s="353"/>
      <c r="CK157" s="353"/>
      <c r="CL157" s="353"/>
      <c r="CM157" s="353"/>
      <c r="CN157" s="353"/>
      <c r="CO157" s="353"/>
      <c r="CP157" s="353"/>
      <c r="CQ157" s="353"/>
      <c r="CR157" s="353"/>
      <c r="CS157" s="353"/>
      <c r="CT157" s="353"/>
      <c r="CU157" s="353"/>
      <c r="CV157" s="353"/>
      <c r="CW157" s="353"/>
      <c r="CX157" s="353"/>
      <c r="CY157" s="353"/>
      <c r="CZ157" s="353"/>
      <c r="DA157" s="353"/>
      <c r="DB157" s="353"/>
      <c r="DC157" s="353"/>
      <c r="DD157" s="353"/>
      <c r="DE157" s="353"/>
      <c r="DF157" s="353"/>
      <c r="DG157" s="353"/>
      <c r="DH157" s="353"/>
      <c r="DI157" s="353"/>
      <c r="DJ157" s="353"/>
      <c r="DK157" s="353"/>
      <c r="DL157" s="353"/>
      <c r="DM157" s="353"/>
      <c r="DN157" s="353"/>
      <c r="DO157" s="353"/>
      <c r="DP157" s="353"/>
      <c r="DQ157" s="353"/>
      <c r="DR157" s="353"/>
      <c r="DS157" s="353"/>
      <c r="DT157" s="353"/>
      <c r="DU157" s="353"/>
      <c r="DV157" s="353"/>
      <c r="DW157" s="353"/>
      <c r="DX157" s="353"/>
      <c r="DY157" s="353"/>
      <c r="DZ157" s="353"/>
      <c r="EA157" s="353"/>
      <c r="EB157" s="353"/>
      <c r="EC157" s="353"/>
      <c r="ED157" s="353"/>
      <c r="EE157" s="353"/>
      <c r="EF157" s="353"/>
      <c r="EG157" s="353"/>
      <c r="EH157" s="353"/>
      <c r="EI157" s="353"/>
      <c r="EJ157" s="353"/>
      <c r="EK157" s="353"/>
      <c r="EL157" s="353"/>
      <c r="EM157" s="353"/>
      <c r="EN157" s="353"/>
      <c r="EO157" s="353"/>
      <c r="EP157" s="353"/>
      <c r="EQ157" s="353"/>
      <c r="ER157" s="353"/>
      <c r="ES157" s="353"/>
      <c r="ET157" s="353"/>
      <c r="EU157" s="353"/>
    </row>
    <row r="158" spans="1:151" s="86" customFormat="1" ht="15" customHeight="1">
      <c r="A158" s="1117" t="s">
        <v>77</v>
      </c>
      <c r="B158" s="1118"/>
      <c r="C158" s="1118"/>
      <c r="D158" s="1119"/>
      <c r="E158" s="121">
        <f>E152*10+E153*25+E154*25+E155*40+E156</f>
        <v>1147160</v>
      </c>
      <c r="F158" s="121">
        <f>F152*10+F153*25+F154*25+F155*40+F156</f>
        <v>576460</v>
      </c>
      <c r="G158" s="121">
        <f>SUM(G153:G154)*25+G155*40+G65+G74+G68+G52+G152*10</f>
        <v>0</v>
      </c>
      <c r="H158" s="121">
        <f>SUM(H153:H154)*25+H155*40+H65+H74+H68+H52+H152*10</f>
        <v>0</v>
      </c>
      <c r="I158" s="121">
        <f>SUM(I13:I150)</f>
        <v>19195</v>
      </c>
      <c r="J158" s="121">
        <f>SUM(J13:J150)</f>
        <v>525560</v>
      </c>
      <c r="K158" s="121">
        <f>SUM(K153:K154)*25+K155*40+K65+K74+K68+K52+K152*10</f>
        <v>0</v>
      </c>
      <c r="L158" s="121">
        <f>SUM(L153:L154)*25+L155*40+L65+L74+L68+L52+L152*10</f>
        <v>0</v>
      </c>
      <c r="M158" s="471">
        <f>SUM(M153:M154)*25+M155*40+M65+M74+M68+M52+M152*10</f>
        <v>1198060</v>
      </c>
      <c r="N158" s="121">
        <f>SUM(N13:N150)</f>
        <v>1198060</v>
      </c>
      <c r="O158" s="1105"/>
      <c r="P158" s="187"/>
      <c r="Q158" s="187"/>
      <c r="R158" s="1107"/>
      <c r="S158" s="1116"/>
      <c r="T158" s="1123"/>
      <c r="U158" s="138">
        <f>+U151+U153+U154+U155</f>
        <v>0</v>
      </c>
      <c r="V158" s="834" t="str">
        <f t="shared" si="56"/>
        <v/>
      </c>
      <c r="W158" s="831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  <c r="AT158" s="128"/>
      <c r="AU158" s="128"/>
      <c r="AV158" s="128"/>
      <c r="AW158" s="128"/>
      <c r="AX158" s="128"/>
      <c r="AY158" s="128"/>
      <c r="AZ158" s="128"/>
      <c r="BA158" s="128"/>
      <c r="BB158" s="128"/>
      <c r="BC158" s="128"/>
      <c r="BD158" s="128"/>
      <c r="BE158" s="128"/>
      <c r="BF158" s="128"/>
      <c r="BG158" s="128"/>
      <c r="BH158" s="437"/>
    </row>
    <row r="159" spans="1:151" s="38" customFormat="1" ht="15" customHeight="1">
      <c r="A159" s="286" t="s">
        <v>174</v>
      </c>
      <c r="B159" s="37"/>
      <c r="C159" s="37"/>
      <c r="D159" s="37"/>
      <c r="E159" s="130"/>
      <c r="F159" s="130"/>
      <c r="G159" s="130"/>
      <c r="H159" s="37"/>
      <c r="J159" s="130"/>
      <c r="K159" s="130"/>
      <c r="L159" s="37"/>
      <c r="M159" s="472"/>
      <c r="N159" s="37"/>
      <c r="O159" s="37"/>
      <c r="P159" s="37"/>
      <c r="Q159" s="37"/>
      <c r="R159" s="37"/>
      <c r="S159" s="37"/>
      <c r="T159" s="458"/>
      <c r="U159" s="139"/>
      <c r="V159" s="839" t="str">
        <f t="shared" si="56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175</v>
      </c>
      <c r="E160" s="85"/>
      <c r="F160" s="623"/>
      <c r="M160" s="465"/>
      <c r="N160" s="85"/>
      <c r="T160" s="459"/>
      <c r="U160" s="131"/>
      <c r="V160" s="839" t="str">
        <f t="shared" si="56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38" customFormat="1" ht="15" customHeight="1">
      <c r="A161" s="286" t="s">
        <v>176</v>
      </c>
      <c r="B161" s="362"/>
      <c r="C161" s="362"/>
      <c r="D161" s="362"/>
      <c r="E161" s="362"/>
      <c r="F161" s="362"/>
      <c r="G161" s="362"/>
      <c r="H161" s="362"/>
      <c r="I161" s="362"/>
      <c r="J161" s="362"/>
      <c r="K161" s="362"/>
      <c r="L161" s="362"/>
      <c r="M161" s="473"/>
      <c r="N161" s="362"/>
      <c r="O161" s="362"/>
      <c r="P161" s="362"/>
      <c r="Q161" s="362"/>
      <c r="R161" s="362"/>
      <c r="S161" s="362"/>
      <c r="T161" s="460"/>
      <c r="U161" s="131"/>
      <c r="V161" s="839" t="str">
        <f t="shared" si="56"/>
        <v/>
      </c>
      <c r="W161" s="82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436"/>
    </row>
    <row r="162" spans="1:151" s="63" customFormat="1" ht="15" customHeight="1">
      <c r="A162" s="443" t="s">
        <v>20</v>
      </c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  <c r="L162" s="443"/>
      <c r="M162" s="468"/>
      <c r="N162" s="443"/>
      <c r="O162" s="443"/>
      <c r="P162" s="443"/>
      <c r="Q162" s="443"/>
      <c r="R162" s="443"/>
      <c r="S162" s="443"/>
      <c r="T162" s="78"/>
      <c r="U162" s="139"/>
      <c r="V162" s="839" t="str">
        <f t="shared" si="56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15" customHeight="1">
      <c r="A163" s="444" t="s">
        <v>177</v>
      </c>
      <c r="B163" s="444"/>
      <c r="C163" s="444"/>
      <c r="D163" s="444"/>
      <c r="E163" s="444"/>
      <c r="F163" s="444"/>
      <c r="G163" s="444"/>
      <c r="H163" s="444"/>
      <c r="I163" s="444"/>
      <c r="J163" s="444"/>
      <c r="K163" s="444"/>
      <c r="L163" s="444"/>
      <c r="M163" s="469"/>
      <c r="N163" s="444"/>
      <c r="O163" s="444"/>
      <c r="P163" s="444"/>
      <c r="Q163" s="444"/>
      <c r="R163" s="444"/>
      <c r="S163" s="444"/>
      <c r="T163" s="457"/>
      <c r="U163" s="140"/>
      <c r="V163" s="839" t="str">
        <f t="shared" si="56"/>
        <v/>
      </c>
      <c r="W163" s="82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28.5" customHeight="1">
      <c r="A164" s="910" t="s">
        <v>22</v>
      </c>
      <c r="B164" s="901" t="s">
        <v>23</v>
      </c>
      <c r="C164" s="901" t="s">
        <v>24</v>
      </c>
      <c r="D164" s="907" t="s">
        <v>178</v>
      </c>
      <c r="E164" s="61" t="s">
        <v>26</v>
      </c>
      <c r="F164" s="904" t="s">
        <v>27</v>
      </c>
      <c r="G164" s="905"/>
      <c r="H164" s="906"/>
      <c r="I164" s="904" t="s">
        <v>28</v>
      </c>
      <c r="J164" s="905"/>
      <c r="K164" s="905"/>
      <c r="L164" s="905"/>
      <c r="M164" s="904" t="s">
        <v>29</v>
      </c>
      <c r="N164" s="906"/>
      <c r="O164" s="183" t="s">
        <v>30</v>
      </c>
      <c r="P164" s="183"/>
      <c r="Q164" s="183"/>
      <c r="R164" s="183" t="s">
        <v>31</v>
      </c>
      <c r="S164" s="907" t="s">
        <v>32</v>
      </c>
      <c r="T164" s="919" t="s">
        <v>33</v>
      </c>
      <c r="U164" s="1092" t="s">
        <v>34</v>
      </c>
      <c r="V164" s="830"/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49.5" customHeight="1">
      <c r="A165" s="911"/>
      <c r="B165" s="902"/>
      <c r="C165" s="902"/>
      <c r="D165" s="908" t="s">
        <v>35</v>
      </c>
      <c r="E165" s="64" t="s">
        <v>36</v>
      </c>
      <c r="F165" s="680" t="s">
        <v>37</v>
      </c>
      <c r="G165" s="512" t="s">
        <v>38</v>
      </c>
      <c r="H165" s="681" t="s">
        <v>39</v>
      </c>
      <c r="I165" s="904" t="s">
        <v>40</v>
      </c>
      <c r="J165" s="905"/>
      <c r="K165" s="512" t="s">
        <v>41</v>
      </c>
      <c r="L165" s="681" t="s">
        <v>42</v>
      </c>
      <c r="M165" s="904" t="s">
        <v>43</v>
      </c>
      <c r="N165" s="906"/>
      <c r="O165" s="683" t="s">
        <v>44</v>
      </c>
      <c r="P165" s="184"/>
      <c r="Q165" s="184"/>
      <c r="R165" s="683" t="s">
        <v>45</v>
      </c>
      <c r="S165" s="908"/>
      <c r="T165" s="920"/>
      <c r="U165" s="1093"/>
      <c r="V165" s="830" t="str">
        <f t="shared" ref="V165:V203" si="61">B165&amp;D165</f>
        <v>SIZE</v>
      </c>
      <c r="W165" s="83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437"/>
    </row>
    <row r="166" spans="1:151" s="63" customFormat="1" ht="18.75" customHeight="1">
      <c r="A166" s="912"/>
      <c r="B166" s="903"/>
      <c r="C166" s="903"/>
      <c r="D166" s="909" t="s">
        <v>46</v>
      </c>
      <c r="E166" s="64" t="s">
        <v>47</v>
      </c>
      <c r="F166" s="64" t="s">
        <v>47</v>
      </c>
      <c r="G166" s="64" t="s">
        <v>47</v>
      </c>
      <c r="H166" s="64" t="s">
        <v>47</v>
      </c>
      <c r="I166" s="64" t="s">
        <v>47</v>
      </c>
      <c r="J166" s="64" t="s">
        <v>46</v>
      </c>
      <c r="K166" s="64" t="s">
        <v>47</v>
      </c>
      <c r="L166" s="64" t="s">
        <v>47</v>
      </c>
      <c r="M166" s="64" t="s">
        <v>47</v>
      </c>
      <c r="N166" s="65" t="s">
        <v>46</v>
      </c>
      <c r="O166" s="65" t="s">
        <v>46</v>
      </c>
      <c r="P166" s="185"/>
      <c r="Q166" s="185"/>
      <c r="R166" s="65" t="s">
        <v>48</v>
      </c>
      <c r="S166" s="909"/>
      <c r="T166" s="921"/>
      <c r="U166" s="684" t="s">
        <v>47</v>
      </c>
      <c r="V166" s="835" t="str">
        <f t="shared" si="61"/>
        <v>(Kg)</v>
      </c>
      <c r="W166" s="831"/>
      <c r="X166" s="311">
        <v>1</v>
      </c>
      <c r="Y166" s="89">
        <v>2</v>
      </c>
      <c r="Z166" s="311">
        <v>3</v>
      </c>
      <c r="AA166" s="89">
        <v>4</v>
      </c>
      <c r="AB166" s="311">
        <v>5</v>
      </c>
      <c r="AC166" s="89">
        <v>6</v>
      </c>
      <c r="AD166" s="311">
        <v>7</v>
      </c>
      <c r="AE166" s="89">
        <v>8</v>
      </c>
      <c r="AF166" s="311">
        <v>9</v>
      </c>
      <c r="AG166" s="89">
        <v>10</v>
      </c>
      <c r="AH166" s="311">
        <v>11</v>
      </c>
      <c r="AI166" s="89">
        <v>12</v>
      </c>
      <c r="AJ166" s="311">
        <v>13</v>
      </c>
      <c r="AK166" s="89">
        <v>14</v>
      </c>
      <c r="AL166" s="311">
        <v>15</v>
      </c>
      <c r="AM166" s="89">
        <v>16</v>
      </c>
      <c r="AN166" s="311">
        <v>17</v>
      </c>
      <c r="AO166" s="89">
        <v>18</v>
      </c>
      <c r="AP166" s="311">
        <v>19</v>
      </c>
      <c r="AQ166" s="89">
        <v>20</v>
      </c>
      <c r="AR166" s="311">
        <v>21</v>
      </c>
      <c r="AS166" s="89">
        <v>22</v>
      </c>
      <c r="AT166" s="311">
        <v>23</v>
      </c>
      <c r="AU166" s="89">
        <v>24</v>
      </c>
      <c r="AV166" s="311">
        <v>25</v>
      </c>
      <c r="AW166" s="89">
        <v>26</v>
      </c>
      <c r="AX166" s="311">
        <v>27</v>
      </c>
      <c r="AY166" s="89">
        <v>28</v>
      </c>
      <c r="AZ166" s="311">
        <v>29</v>
      </c>
      <c r="BA166" s="89">
        <v>30</v>
      </c>
      <c r="BB166" s="506">
        <v>31</v>
      </c>
      <c r="BC166" s="106" t="s">
        <v>49</v>
      </c>
      <c r="BD166" s="785" t="s">
        <v>85</v>
      </c>
      <c r="BE166" s="785" t="s">
        <v>86</v>
      </c>
      <c r="BG166" s="38"/>
      <c r="BH166" s="437"/>
    </row>
    <row r="167" spans="1:151" s="38" customFormat="1" ht="15" customHeight="1">
      <c r="A167" s="91">
        <v>1</v>
      </c>
      <c r="B167" s="360">
        <v>884</v>
      </c>
      <c r="C167" s="360" t="s">
        <v>79</v>
      </c>
      <c r="D167" s="1169">
        <v>25</v>
      </c>
      <c r="E167" s="100">
        <v>160</v>
      </c>
      <c r="F167" s="100">
        <f>SUMIF(pro!$A:$A,$V:$V,pro!$N:$N)</f>
        <v>399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>E167+F167+H167-I167-L167+G167-K167</f>
        <v>559</v>
      </c>
      <c r="N167" s="100">
        <f>M167*D167</f>
        <v>13975</v>
      </c>
      <c r="O167" s="1159">
        <f t="shared" ref="O167:O193" si="62">SUM(X167:BB167)</f>
        <v>11550</v>
      </c>
      <c r="P167" s="804"/>
      <c r="Q167" s="804"/>
      <c r="R167" s="804">
        <f>O167/INTGRATE!$N$293</f>
        <v>1050</v>
      </c>
      <c r="S167" s="665">
        <f>IF(R167=0,0,N167/R167)</f>
        <v>13.30952380952381</v>
      </c>
      <c r="T167" s="544"/>
      <c r="U167" s="141"/>
      <c r="V167" s="840" t="str">
        <f t="shared" si="61"/>
        <v>88425</v>
      </c>
      <c r="W167" s="83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100">
        <v>3125</v>
      </c>
      <c r="AE167" s="100">
        <v>0</v>
      </c>
      <c r="AF167" s="100">
        <v>2625</v>
      </c>
      <c r="AG167" s="100"/>
      <c r="AH167" s="100">
        <v>925</v>
      </c>
      <c r="AI167" s="100">
        <v>0</v>
      </c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  <c r="BC167" s="276">
        <f t="shared" si="53"/>
        <v>11550</v>
      </c>
      <c r="BD167" s="786">
        <f>COUNTIF(X167:BB167,"&gt;0")</f>
        <v>5</v>
      </c>
      <c r="BE167" s="786">
        <f>IFERROR(BC167/BD167,0)</f>
        <v>2310</v>
      </c>
      <c r="BH167" s="436"/>
    </row>
    <row r="168" spans="1:151" s="38" customFormat="1" ht="15" customHeight="1">
      <c r="A168" s="91">
        <v>2</v>
      </c>
      <c r="B168" s="360" t="s">
        <v>179</v>
      </c>
      <c r="C168" s="360" t="s">
        <v>79</v>
      </c>
      <c r="D168" s="1169">
        <v>25</v>
      </c>
      <c r="E168" s="100">
        <v>88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ref="M168:M192" si="63">E168+F168+H168-I168-L168+G168-K168</f>
        <v>88</v>
      </c>
      <c r="N168" s="100">
        <f t="shared" ref="N168:N193" si="64">M168*D168</f>
        <v>2200</v>
      </c>
      <c r="O168" s="1159">
        <f t="shared" si="62"/>
        <v>2625</v>
      </c>
      <c r="P168" s="804">
        <f>+SUM(N167:N168)</f>
        <v>16175</v>
      </c>
      <c r="Q168" s="804">
        <f>+SUM(O167:O168)</f>
        <v>14175</v>
      </c>
      <c r="R168" s="804">
        <f>O168/INTGRATE!$N$293</f>
        <v>238.63636363636363</v>
      </c>
      <c r="S168" s="665">
        <f>IF(R168=0,0,N168/R168)</f>
        <v>9.21904761904762</v>
      </c>
      <c r="T168" s="402"/>
      <c r="U168" s="141"/>
      <c r="V168" s="840" t="str">
        <f t="shared" si="61"/>
        <v>885S25</v>
      </c>
      <c r="W168" s="83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750</v>
      </c>
      <c r="AE168" s="100">
        <v>0</v>
      </c>
      <c r="AF168" s="100">
        <v>625</v>
      </c>
      <c r="AG168" s="100"/>
      <c r="AH168" s="100">
        <v>1250</v>
      </c>
      <c r="AI168" s="100">
        <v>0</v>
      </c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B168" s="100"/>
      <c r="BC168" s="276">
        <f t="shared" si="53"/>
        <v>2625</v>
      </c>
      <c r="BD168" s="786">
        <f t="shared" ref="BD168" si="65">COUNTIF(X168:BB168,"&gt;0")</f>
        <v>3</v>
      </c>
      <c r="BE168" s="786">
        <f t="shared" ref="BE168" si="66">IFERROR(BC168/BD168,0)</f>
        <v>875</v>
      </c>
      <c r="BH168" s="436"/>
    </row>
    <row r="169" spans="1:151" s="101" customFormat="1" ht="15" customHeight="1">
      <c r="A169" s="91">
        <v>3</v>
      </c>
      <c r="B169" s="167">
        <v>910</v>
      </c>
      <c r="C169" s="167" t="s">
        <v>132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 t="shared" si="63"/>
        <v>0</v>
      </c>
      <c r="N169" s="100">
        <f t="shared" si="64"/>
        <v>0</v>
      </c>
      <c r="O169" s="1159">
        <f t="shared" si="62"/>
        <v>0</v>
      </c>
      <c r="P169" s="804">
        <f>+N171+N170</f>
        <v>0</v>
      </c>
      <c r="Q169" s="804">
        <f>+O171+O170</f>
        <v>0</v>
      </c>
      <c r="R169" s="804">
        <f>O169/INTGRATE!$N$293</f>
        <v>0</v>
      </c>
      <c r="S169" s="665">
        <f>IF(R169=0,0,(N42+N169)/(R169+R42))</f>
        <v>0</v>
      </c>
      <c r="T169" s="402"/>
      <c r="U169" s="141"/>
      <c r="V169" s="840" t="str">
        <f t="shared" si="61"/>
        <v>91025</v>
      </c>
      <c r="W169" s="83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>
        <v>0</v>
      </c>
      <c r="AF169" s="100">
        <v>0</v>
      </c>
      <c r="AG169" s="100"/>
      <c r="AH169" s="100">
        <v>0</v>
      </c>
      <c r="AI169" s="100">
        <v>0</v>
      </c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ref="BC169:BC193" si="67">SUM(X169:BB169)</f>
        <v>0</v>
      </c>
      <c r="BD169" s="786">
        <f t="shared" ref="BD169:BD193" si="68">COUNTIF(X169:BB169,"&gt;0")</f>
        <v>0</v>
      </c>
      <c r="BE169" s="786">
        <f t="shared" ref="BE169:BE193" si="69">IFERROR(BC169/BD169,0)</f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67" t="s">
        <v>180</v>
      </c>
      <c r="C170" s="167" t="s">
        <v>55</v>
      </c>
      <c r="D170" s="166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64"/>
        <v>0</v>
      </c>
      <c r="O170" s="1159">
        <f>SUM(X170:BB170)</f>
        <v>0</v>
      </c>
      <c r="P170" s="804">
        <f>+N169</f>
        <v>0</v>
      </c>
      <c r="Q170" s="804"/>
      <c r="R170" s="804">
        <f>O170/INTGRATE!$N$293</f>
        <v>0</v>
      </c>
      <c r="S170" s="665">
        <f>IF(R170=0,0,(N43+N170)/(R170+R43))</f>
        <v>0</v>
      </c>
      <c r="T170" s="402"/>
      <c r="U170" s="141"/>
      <c r="V170" s="840" t="str">
        <f>B170&amp;D170</f>
        <v>911B25</v>
      </c>
      <c r="W170" s="831" t="s">
        <v>140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>
        <v>0</v>
      </c>
      <c r="AF170" s="100">
        <v>0</v>
      </c>
      <c r="AG170" s="100"/>
      <c r="AH170" s="100">
        <v>0</v>
      </c>
      <c r="AI170" s="100">
        <v>0</v>
      </c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7"/>
        <v>0</v>
      </c>
      <c r="BD170" s="786">
        <f t="shared" si="68"/>
        <v>0</v>
      </c>
      <c r="BE170" s="786">
        <f t="shared" si="69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551">
        <v>948</v>
      </c>
      <c r="C171" s="551" t="s">
        <v>55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64"/>
        <v>0</v>
      </c>
      <c r="O171" s="1159">
        <f>SUM(X171:BB171)</f>
        <v>0</v>
      </c>
      <c r="P171" s="804">
        <f>SUM(N179:N182)+N177</f>
        <v>23175</v>
      </c>
      <c r="Q171" s="804">
        <f>SUM(O179:O182)+O177</f>
        <v>51525</v>
      </c>
      <c r="R171" s="804">
        <f>O171/INTGRATE!$N$293</f>
        <v>0</v>
      </c>
      <c r="S171" s="665">
        <f>IF(R171=0,0,(N57+N171)/(R171+R57))</f>
        <v>0</v>
      </c>
      <c r="T171" s="402"/>
      <c r="U171" s="136"/>
      <c r="V171" s="840" t="str">
        <f t="shared" si="61"/>
        <v>94825</v>
      </c>
      <c r="W171" s="82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>
        <v>0</v>
      </c>
      <c r="AF171" s="100">
        <v>0</v>
      </c>
      <c r="AG171" s="100"/>
      <c r="AH171" s="100">
        <v>0</v>
      </c>
      <c r="AI171" s="100">
        <v>0</v>
      </c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7"/>
        <v>0</v>
      </c>
      <c r="BD171" s="786">
        <f t="shared" si="68"/>
        <v>0</v>
      </c>
      <c r="BE171" s="786">
        <f t="shared" si="69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551" t="s">
        <v>181</v>
      </c>
      <c r="C172" s="551" t="s">
        <v>64</v>
      </c>
      <c r="D172" s="552">
        <v>25</v>
      </c>
      <c r="E172" s="100">
        <v>0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0</v>
      </c>
      <c r="J172" s="100">
        <f>SUMIF(data!$D:$D,$B172&amp;$D172,data!$K:$K)</f>
        <v>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0</v>
      </c>
      <c r="N172" s="100">
        <f t="shared" si="64"/>
        <v>0</v>
      </c>
      <c r="O172" s="1159">
        <f t="shared" si="62"/>
        <v>0</v>
      </c>
      <c r="P172" s="804">
        <f>+SUM(N167:N193)-P168-P169-P171</f>
        <v>25975</v>
      </c>
      <c r="Q172" s="804">
        <f>+SUM(O167:O193)-Q168-Q169-Q171</f>
        <v>193850</v>
      </c>
      <c r="R172" s="804">
        <f>O172/INTGRATE!$N$293</f>
        <v>0</v>
      </c>
      <c r="S172" s="665">
        <f>IF(R172=0,0,(N57+N172)/(R172+R57))</f>
        <v>0</v>
      </c>
      <c r="T172" s="402"/>
      <c r="U172" s="136"/>
      <c r="V172" s="840" t="str">
        <f t="shared" si="61"/>
        <v>949M25</v>
      </c>
      <c r="W172" s="82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100">
        <v>0</v>
      </c>
      <c r="AE172" s="100">
        <v>0</v>
      </c>
      <c r="AF172" s="100">
        <v>0</v>
      </c>
      <c r="AG172" s="100"/>
      <c r="AH172" s="100">
        <v>0</v>
      </c>
      <c r="AI172" s="100">
        <v>0</v>
      </c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7"/>
        <v>0</v>
      </c>
      <c r="BD172" s="786">
        <f t="shared" si="68"/>
        <v>0</v>
      </c>
      <c r="BE172" s="786">
        <f t="shared" si="69"/>
        <v>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551">
        <v>949</v>
      </c>
      <c r="C173" s="551" t="s">
        <v>64</v>
      </c>
      <c r="D173" s="552">
        <v>25</v>
      </c>
      <c r="E173" s="100">
        <v>527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467</v>
      </c>
      <c r="J173" s="100">
        <f>SUMIF(data!$D:$D,$B173&amp;$D173,data!$K:$K)</f>
        <v>11675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60</v>
      </c>
      <c r="N173" s="100">
        <f t="shared" si="64"/>
        <v>1500</v>
      </c>
      <c r="O173" s="1159">
        <f>SUM(X173:BB173)</f>
        <v>54600</v>
      </c>
      <c r="P173" s="804"/>
      <c r="Q173" s="804"/>
      <c r="R173" s="804">
        <f>O173/INTGRATE!$N$293</f>
        <v>4963.636363636364</v>
      </c>
      <c r="S173" s="665">
        <f>IF(R173=0,0,(N58+N173)/(R173+R58))</f>
        <v>0.29589240276263173</v>
      </c>
      <c r="T173" s="402"/>
      <c r="U173" s="136"/>
      <c r="V173" s="840" t="str">
        <f t="shared" si="61"/>
        <v>94925</v>
      </c>
      <c r="W173" s="82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100">
        <v>2500</v>
      </c>
      <c r="AE173" s="100">
        <v>0</v>
      </c>
      <c r="AF173" s="100">
        <v>13875</v>
      </c>
      <c r="AG173" s="100"/>
      <c r="AH173" s="100">
        <v>4450</v>
      </c>
      <c r="AI173" s="100">
        <v>11675</v>
      </c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7"/>
        <v>54600</v>
      </c>
      <c r="BD173" s="786">
        <f t="shared" si="68"/>
        <v>7</v>
      </c>
      <c r="BE173" s="786">
        <f t="shared" si="69"/>
        <v>7800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551">
        <v>944</v>
      </c>
      <c r="C174" s="551" t="s">
        <v>64</v>
      </c>
      <c r="D174" s="552">
        <v>25</v>
      </c>
      <c r="E174" s="100">
        <v>59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59</v>
      </c>
      <c r="J174" s="100">
        <f>SUMIF(data!$D:$D,$B174&amp;$D174,data!$K:$K)</f>
        <v>1475</v>
      </c>
      <c r="K174" s="100">
        <f>SUMIF(AJOUT!$A:$A,BRAN!$V:$V,AJOUT!$L:$L)</f>
        <v>0</v>
      </c>
      <c r="L174" s="100">
        <f>SUMIF(CBOUT!$A:$A,BRAN!$V:$V,CBOUT!$G:$G)</f>
        <v>0</v>
      </c>
      <c r="M174" s="1158">
        <f>E174+F174+H174-I174-L174+G174-K174</f>
        <v>0</v>
      </c>
      <c r="N174" s="100">
        <f t="shared" si="64"/>
        <v>0</v>
      </c>
      <c r="O174" s="1159">
        <f>SUM(X174:BB174)</f>
        <v>6225</v>
      </c>
      <c r="P174" s="804"/>
      <c r="Q174" s="804"/>
      <c r="R174" s="804">
        <f>O174/INTGRATE!$N$293</f>
        <v>565.90909090909088</v>
      </c>
      <c r="S174" s="665">
        <f>IF(R174=0,0,(N59+N174)/(R174+R59))</f>
        <v>5.375690607734807</v>
      </c>
      <c r="T174" s="402"/>
      <c r="U174" s="136"/>
      <c r="V174" s="840" t="str">
        <f t="shared" si="61"/>
        <v>94425</v>
      </c>
      <c r="W174" s="831">
        <v>216201</v>
      </c>
      <c r="X174" s="91"/>
      <c r="Y174" s="91">
        <v>4750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>
        <v>0</v>
      </c>
      <c r="AF174" s="100">
        <v>0</v>
      </c>
      <c r="AG174" s="100"/>
      <c r="AH174" s="100">
        <v>0</v>
      </c>
      <c r="AI174" s="100">
        <v>1475</v>
      </c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7"/>
        <v>6225</v>
      </c>
      <c r="BD174" s="786">
        <f t="shared" si="68"/>
        <v>2</v>
      </c>
      <c r="BE174" s="786">
        <f t="shared" si="69"/>
        <v>3112.5</v>
      </c>
      <c r="BF174" s="38"/>
      <c r="BG174" s="38"/>
      <c r="BH174" s="436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.75" customHeight="1">
      <c r="A175" s="91">
        <v>9</v>
      </c>
      <c r="B175" s="102">
        <v>944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63"/>
        <v>0</v>
      </c>
      <c r="N175" s="100">
        <f t="shared" si="64"/>
        <v>0</v>
      </c>
      <c r="O175" s="1159">
        <f t="shared" si="62"/>
        <v>0</v>
      </c>
      <c r="P175" s="804"/>
      <c r="Q175" s="804"/>
      <c r="R175" s="804">
        <f>O175/INTGRATE!$N$293</f>
        <v>0</v>
      </c>
      <c r="S175" s="665">
        <f t="shared" ref="S175:S193" si="70">IF(R175=0,0,N175/R175)</f>
        <v>0</v>
      </c>
      <c r="T175" s="402"/>
      <c r="U175" s="141"/>
      <c r="V175" s="840" t="str">
        <f t="shared" si="61"/>
        <v>94440</v>
      </c>
      <c r="W175" s="831">
        <v>216201</v>
      </c>
      <c r="X175" s="559"/>
      <c r="Y175" s="559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>
        <v>0</v>
      </c>
      <c r="AF175" s="100">
        <v>0</v>
      </c>
      <c r="AG175" s="100"/>
      <c r="AH175" s="100">
        <v>0</v>
      </c>
      <c r="AI175" s="100">
        <v>0</v>
      </c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7"/>
        <v>0</v>
      </c>
      <c r="BD175" s="786">
        <f t="shared" si="68"/>
        <v>0</v>
      </c>
      <c r="BE175" s="786">
        <f t="shared" si="69"/>
        <v>0</v>
      </c>
      <c r="BF175" s="63"/>
      <c r="BG175" s="38"/>
      <c r="BH175" s="437"/>
      <c r="BI175" s="63"/>
      <c r="BJ175" s="63"/>
      <c r="BK175" s="63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5" customFormat="1" ht="15" customHeight="1">
      <c r="A176" s="91">
        <v>10</v>
      </c>
      <c r="B176" s="102">
        <v>945</v>
      </c>
      <c r="C176" s="102" t="s">
        <v>64</v>
      </c>
      <c r="D176" s="103">
        <v>40</v>
      </c>
      <c r="E176" s="100">
        <v>0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0</v>
      </c>
      <c r="J176" s="100">
        <f>SUMIF(data!$D:$D,$B176&amp;$D176,data!$K:$K)</f>
        <v>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63"/>
        <v>0</v>
      </c>
      <c r="N176" s="100">
        <f t="shared" si="64"/>
        <v>0</v>
      </c>
      <c r="O176" s="1159">
        <f t="shared" si="62"/>
        <v>0</v>
      </c>
      <c r="P176" s="804"/>
      <c r="Q176" s="804"/>
      <c r="R176" s="804">
        <f>O176/INTGRATE!$N$293</f>
        <v>0</v>
      </c>
      <c r="S176" s="665">
        <f t="shared" si="70"/>
        <v>0</v>
      </c>
      <c r="T176" s="402"/>
      <c r="U176" s="141"/>
      <c r="V176" s="840" t="str">
        <f t="shared" si="61"/>
        <v>94540</v>
      </c>
      <c r="W176" s="831">
        <v>216251</v>
      </c>
      <c r="X176" s="91"/>
      <c r="Y176" s="91">
        <v>0</v>
      </c>
      <c r="Z176" s="100">
        <v>0</v>
      </c>
      <c r="AA176" s="100">
        <v>0</v>
      </c>
      <c r="AB176" s="100">
        <v>0</v>
      </c>
      <c r="AC176" s="100">
        <v>0</v>
      </c>
      <c r="AD176" s="100">
        <v>0</v>
      </c>
      <c r="AE176" s="100">
        <v>0</v>
      </c>
      <c r="AF176" s="100">
        <v>0</v>
      </c>
      <c r="AG176" s="100"/>
      <c r="AH176" s="100">
        <v>0</v>
      </c>
      <c r="AI176" s="100">
        <v>0</v>
      </c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7"/>
        <v>0</v>
      </c>
      <c r="BD176" s="786">
        <f t="shared" si="68"/>
        <v>0</v>
      </c>
      <c r="BE176" s="786">
        <f t="shared" si="69"/>
        <v>0</v>
      </c>
      <c r="BF176" s="104"/>
      <c r="BG176" s="38"/>
      <c r="BH176" s="437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4"/>
      <c r="DB176" s="104"/>
      <c r="DC176" s="104"/>
      <c r="DD176" s="104"/>
      <c r="DE176" s="104"/>
      <c r="DF176" s="104"/>
      <c r="DG176" s="104"/>
      <c r="DH176" s="104"/>
      <c r="DI176" s="104"/>
      <c r="DJ176" s="104"/>
      <c r="DK176" s="104"/>
      <c r="DL176" s="104"/>
      <c r="DM176" s="104"/>
      <c r="DN176" s="104"/>
      <c r="DO176" s="104"/>
      <c r="DP176" s="104"/>
      <c r="DQ176" s="104"/>
      <c r="DR176" s="104"/>
      <c r="DS176" s="104"/>
      <c r="DT176" s="104"/>
      <c r="DU176" s="104"/>
      <c r="DV176" s="104"/>
      <c r="DW176" s="104"/>
      <c r="DX176" s="104"/>
      <c r="DY176" s="104"/>
      <c r="DZ176" s="104"/>
      <c r="EA176" s="104"/>
      <c r="EB176" s="104"/>
      <c r="EC176" s="104"/>
      <c r="ED176" s="104"/>
      <c r="EE176" s="104"/>
      <c r="EF176" s="104"/>
      <c r="EG176" s="104"/>
      <c r="EH176" s="104"/>
      <c r="EI176" s="104"/>
      <c r="EJ176" s="104"/>
      <c r="EK176" s="104"/>
      <c r="EL176" s="104"/>
      <c r="EM176" s="104"/>
      <c r="EN176" s="104"/>
      <c r="EO176" s="104"/>
      <c r="EP176" s="104"/>
      <c r="EQ176" s="104"/>
      <c r="ER176" s="104"/>
      <c r="ES176" s="104"/>
      <c r="ET176" s="104"/>
      <c r="EU176" s="104"/>
    </row>
    <row r="177" spans="1:60" s="38" customFormat="1" ht="15" customHeight="1">
      <c r="A177" s="91">
        <v>11</v>
      </c>
      <c r="B177" s="170">
        <v>951</v>
      </c>
      <c r="C177" s="538" t="s">
        <v>61</v>
      </c>
      <c r="D177" s="164">
        <v>25</v>
      </c>
      <c r="E177" s="100">
        <v>2</v>
      </c>
      <c r="F177" s="100">
        <f>SUMIF(pro!$A:$A,$V:$V,pro!$N:$N)</f>
        <v>301</v>
      </c>
      <c r="G177" s="100"/>
      <c r="H177" s="100">
        <f>SUMIF(CBIN!$A:$A,BRAN!$V:$V,CBIN!$G:$G)</f>
        <v>0</v>
      </c>
      <c r="I177" s="100">
        <f>SUMIF(data!$D:$D,$B177&amp;$D177,data!$J:$J)</f>
        <v>150</v>
      </c>
      <c r="J177" s="100">
        <f>SUMIF(data!$D:$D,$B177&amp;$D177,data!$K:$K)</f>
        <v>3750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63"/>
        <v>153</v>
      </c>
      <c r="N177" s="100">
        <f t="shared" si="64"/>
        <v>3825</v>
      </c>
      <c r="O177" s="1159">
        <f t="shared" si="62"/>
        <v>13650</v>
      </c>
      <c r="P177" s="804"/>
      <c r="Q177" s="804"/>
      <c r="R177" s="804">
        <f>O177/INTGRATE!$N$293</f>
        <v>1240.909090909091</v>
      </c>
      <c r="S177" s="665">
        <f t="shared" si="70"/>
        <v>3.0824175824175821</v>
      </c>
      <c r="T177" s="402"/>
      <c r="U177" s="141"/>
      <c r="V177" s="840" t="str">
        <f t="shared" si="61"/>
        <v>95125</v>
      </c>
      <c r="W177" s="831">
        <v>314001</v>
      </c>
      <c r="X177" s="91"/>
      <c r="Y177" s="91">
        <v>1925</v>
      </c>
      <c r="Z177" s="100">
        <v>600</v>
      </c>
      <c r="AA177" s="100">
        <v>550</v>
      </c>
      <c r="AB177" s="100">
        <v>3625</v>
      </c>
      <c r="AC177" s="100">
        <v>750</v>
      </c>
      <c r="AD177" s="100">
        <v>75</v>
      </c>
      <c r="AE177" s="100">
        <v>2375</v>
      </c>
      <c r="AF177" s="100">
        <v>0</v>
      </c>
      <c r="AG177" s="100"/>
      <c r="AH177" s="100">
        <v>0</v>
      </c>
      <c r="AI177" s="100">
        <v>3750</v>
      </c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7"/>
        <v>13650</v>
      </c>
      <c r="BD177" s="786">
        <f t="shared" si="68"/>
        <v>8</v>
      </c>
      <c r="BE177" s="786">
        <f t="shared" si="69"/>
        <v>1706.25</v>
      </c>
      <c r="BH177" s="436"/>
    </row>
    <row r="178" spans="1:60" s="38" customFormat="1" ht="15" customHeight="1">
      <c r="A178" s="91">
        <v>12</v>
      </c>
      <c r="B178" s="94">
        <v>952</v>
      </c>
      <c r="C178" s="94" t="s">
        <v>64</v>
      </c>
      <c r="D178" s="91">
        <v>25</v>
      </c>
      <c r="E178" s="100">
        <v>251</v>
      </c>
      <c r="F178" s="100">
        <f>SUMIF(pro!$A:$A,$V:$V,pro!$N:$N)</f>
        <v>607</v>
      </c>
      <c r="G178" s="100"/>
      <c r="H178" s="100">
        <f>SUMIF(CBIN!$A:$A,BRAN!$V:$V,CBIN!$G:$G)</f>
        <v>0</v>
      </c>
      <c r="I178" s="100">
        <f>SUMIF(data!$D:$D,$B178&amp;$D178,data!$J:$J)</f>
        <v>428</v>
      </c>
      <c r="J178" s="100">
        <f>SUMIF(data!$D:$D,$B178&amp;$D178,data!$K:$K)</f>
        <v>10700</v>
      </c>
      <c r="K178" s="100">
        <f>SUMIF(AJOUT!$A:$A,BRAN!$V:$V,AJOUT!$L:$L)</f>
        <v>0</v>
      </c>
      <c r="L178" s="100">
        <f>SUMIF(CBOUT!$A:$A,BRAN!$V:$V,CBOUT!$G:$G)</f>
        <v>0</v>
      </c>
      <c r="M178" s="1158">
        <f t="shared" si="63"/>
        <v>430</v>
      </c>
      <c r="N178" s="100">
        <f t="shared" si="64"/>
        <v>10750</v>
      </c>
      <c r="O178" s="1159">
        <f t="shared" si="62"/>
        <v>47575</v>
      </c>
      <c r="P178" s="804"/>
      <c r="Q178" s="804"/>
      <c r="R178" s="804">
        <f>O178/INTGRATE!$N$293</f>
        <v>4325</v>
      </c>
      <c r="S178" s="665">
        <f t="shared" si="70"/>
        <v>2.4855491329479769</v>
      </c>
      <c r="T178" s="403"/>
      <c r="U178" s="141"/>
      <c r="V178" s="840" t="str">
        <f t="shared" si="61"/>
        <v>95225</v>
      </c>
      <c r="W178" s="831">
        <v>321001</v>
      </c>
      <c r="X178" s="91"/>
      <c r="Y178" s="91">
        <v>7150</v>
      </c>
      <c r="Z178" s="100">
        <v>2775</v>
      </c>
      <c r="AA178" s="100">
        <v>3125</v>
      </c>
      <c r="AB178" s="100">
        <v>7100</v>
      </c>
      <c r="AC178" s="100">
        <v>0</v>
      </c>
      <c r="AD178" s="100">
        <v>1600</v>
      </c>
      <c r="AE178" s="100">
        <v>6525</v>
      </c>
      <c r="AF178" s="100">
        <v>1500</v>
      </c>
      <c r="AG178" s="100"/>
      <c r="AH178" s="100">
        <v>7100</v>
      </c>
      <c r="AI178" s="100">
        <v>10700</v>
      </c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7"/>
        <v>47575</v>
      </c>
      <c r="BD178" s="786">
        <f t="shared" si="68"/>
        <v>9</v>
      </c>
      <c r="BE178" s="786">
        <f t="shared" si="69"/>
        <v>5286.1111111111113</v>
      </c>
      <c r="BH178" s="436"/>
    </row>
    <row r="179" spans="1:60" s="38" customFormat="1" ht="15" customHeight="1">
      <c r="A179" s="91">
        <v>13</v>
      </c>
      <c r="B179" s="94" t="s">
        <v>182</v>
      </c>
      <c r="C179" s="92" t="s">
        <v>61</v>
      </c>
      <c r="D179" s="91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64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70"/>
        <v>0</v>
      </c>
      <c r="T179" s="403"/>
      <c r="U179" s="141"/>
      <c r="V179" s="840" t="str">
        <f t="shared" si="61"/>
        <v>952M25</v>
      </c>
      <c r="W179" s="831">
        <v>321012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/>
      <c r="AH179" s="100">
        <v>0</v>
      </c>
      <c r="AI179" s="100">
        <v>0</v>
      </c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7"/>
        <v>0</v>
      </c>
      <c r="BD179" s="786">
        <f t="shared" si="68"/>
        <v>0</v>
      </c>
      <c r="BE179" s="786">
        <f t="shared" si="69"/>
        <v>0</v>
      </c>
      <c r="BH179" s="436"/>
    </row>
    <row r="180" spans="1:60" s="38" customFormat="1" ht="15" customHeight="1">
      <c r="A180" s="91">
        <v>14</v>
      </c>
      <c r="B180" s="170" t="s">
        <v>183</v>
      </c>
      <c r="C180" s="538" t="s">
        <v>61</v>
      </c>
      <c r="D180" s="164">
        <v>25</v>
      </c>
      <c r="E180" s="100">
        <v>0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0</v>
      </c>
      <c r="J180" s="100">
        <f>SUMIF(data!$D:$D,$B180&amp;$D180,data!$K:$K)</f>
        <v>0</v>
      </c>
      <c r="K180" s="100">
        <f>SUMIF(AJOUT!$A:$A,BRAN!$V:$V,AJOUT!$L:$L)</f>
        <v>0</v>
      </c>
      <c r="L180" s="100">
        <f>SUMIF(CBOUT!$A:$A,BRAN!$V:$V,CBOUT!$G:$G)</f>
        <v>0</v>
      </c>
      <c r="M180" s="1158">
        <f>E180+F180+H180-I180-L180+G180-K180</f>
        <v>0</v>
      </c>
      <c r="N180" s="100">
        <f t="shared" si="64"/>
        <v>0</v>
      </c>
      <c r="O180" s="1159">
        <f>SUM(X180:BB180)</f>
        <v>0</v>
      </c>
      <c r="P180" s="804"/>
      <c r="Q180" s="804"/>
      <c r="R180" s="804">
        <f>O180/INTGRATE!$N$293</f>
        <v>0</v>
      </c>
      <c r="S180" s="665">
        <f t="shared" si="70"/>
        <v>0</v>
      </c>
      <c r="T180" s="403"/>
      <c r="U180" s="141"/>
      <c r="V180" s="840" t="str">
        <f t="shared" si="61"/>
        <v>952MX25</v>
      </c>
      <c r="W180" s="831">
        <v>321018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/>
      <c r="AH180" s="100">
        <v>0</v>
      </c>
      <c r="AI180" s="100">
        <v>0</v>
      </c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7"/>
        <v>0</v>
      </c>
      <c r="BD180" s="786">
        <f t="shared" si="68"/>
        <v>0</v>
      </c>
      <c r="BE180" s="786">
        <f t="shared" si="69"/>
        <v>0</v>
      </c>
      <c r="BH180" s="436"/>
    </row>
    <row r="181" spans="1:60" s="38" customFormat="1" ht="15" customHeight="1">
      <c r="A181" s="91">
        <v>15</v>
      </c>
      <c r="B181" s="94" t="s">
        <v>184</v>
      </c>
      <c r="C181" s="92" t="s">
        <v>61</v>
      </c>
      <c r="D181" s="91">
        <v>25</v>
      </c>
      <c r="E181" s="100">
        <v>82</v>
      </c>
      <c r="F181" s="100">
        <f>SUMIF(pro!$A:$A,$V:$V,pro!$N:$N)</f>
        <v>722</v>
      </c>
      <c r="G181" s="100"/>
      <c r="H181" s="100">
        <f>SUMIF(CBIN!$A:$A,BRAN!$V:$V,CBIN!$G:$G)</f>
        <v>0</v>
      </c>
      <c r="I181" s="100">
        <f>SUMIF(data!$D:$D,$B181&amp;$D181,data!$J:$J)</f>
        <v>30</v>
      </c>
      <c r="J181" s="100">
        <f>SUMIF(data!$D:$D,$B181&amp;$D181,data!$K:$K)</f>
        <v>750</v>
      </c>
      <c r="K181" s="100">
        <f>SUMIF(AJOUT!$A:$A,BRAN!$V:$V,AJOUT!$L:$L)</f>
        <v>0</v>
      </c>
      <c r="L181" s="100">
        <f>SUMIF(CBOUT!$A:$A,BRAN!$V:$V,CBOUT!$G:$G)</f>
        <v>0</v>
      </c>
      <c r="M181" s="1158">
        <f t="shared" si="63"/>
        <v>774</v>
      </c>
      <c r="N181" s="100">
        <f t="shared" si="64"/>
        <v>19350</v>
      </c>
      <c r="O181" s="1159">
        <f t="shared" si="62"/>
        <v>37875</v>
      </c>
      <c r="P181" s="804"/>
      <c r="Q181" s="804"/>
      <c r="R181" s="804">
        <f>O181/INTGRATE!$N$293</f>
        <v>3443.181818181818</v>
      </c>
      <c r="S181" s="665">
        <f t="shared" si="70"/>
        <v>5.6198019801980204</v>
      </c>
      <c r="T181" s="402"/>
      <c r="U181" s="141"/>
      <c r="V181" s="841" t="str">
        <f t="shared" si="61"/>
        <v>952S25</v>
      </c>
      <c r="W181" s="842">
        <v>320001</v>
      </c>
      <c r="X181" s="91"/>
      <c r="Y181" s="91">
        <v>1250</v>
      </c>
      <c r="Z181" s="100">
        <v>1250</v>
      </c>
      <c r="AA181" s="100">
        <v>750</v>
      </c>
      <c r="AB181" s="100">
        <v>9875</v>
      </c>
      <c r="AC181" s="100">
        <v>1100</v>
      </c>
      <c r="AD181" s="100">
        <v>900</v>
      </c>
      <c r="AE181" s="100">
        <v>11250</v>
      </c>
      <c r="AF181" s="100">
        <v>1750</v>
      </c>
      <c r="AG181" s="100"/>
      <c r="AH181" s="100">
        <v>9000</v>
      </c>
      <c r="AI181" s="100">
        <v>750</v>
      </c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7"/>
        <v>37875</v>
      </c>
      <c r="BD181" s="786">
        <f t="shared" si="68"/>
        <v>10</v>
      </c>
      <c r="BE181" s="786">
        <f t="shared" si="69"/>
        <v>3787.5</v>
      </c>
      <c r="BH181" s="436"/>
    </row>
    <row r="182" spans="1:60" s="38" customFormat="1" ht="15" customHeight="1">
      <c r="A182" s="91">
        <v>16</v>
      </c>
      <c r="B182" s="170" t="s">
        <v>185</v>
      </c>
      <c r="C182" s="538" t="s">
        <v>61</v>
      </c>
      <c r="D182" s="164">
        <v>25</v>
      </c>
      <c r="E182" s="100">
        <v>0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0</v>
      </c>
      <c r="J182" s="100">
        <f>SUMIF(data!$D:$D,$B182&amp;$D182,data!$K:$K)</f>
        <v>0</v>
      </c>
      <c r="K182" s="100">
        <f>SUMIF(AJOUT!$A:$A,BRAN!$V:$V,AJOUT!$L:$L)</f>
        <v>0</v>
      </c>
      <c r="L182" s="100">
        <f>SUMIF(CBOUT!$A:$A,BRAN!$V:$V,CBOUT!$G:$G)</f>
        <v>0</v>
      </c>
      <c r="M182" s="1158">
        <f>E182+F182+H182-I182-L182+G182-K182</f>
        <v>0</v>
      </c>
      <c r="N182" s="100">
        <f t="shared" si="64"/>
        <v>0</v>
      </c>
      <c r="O182" s="1159">
        <f t="shared" si="62"/>
        <v>0</v>
      </c>
      <c r="P182" s="804"/>
      <c r="Q182" s="804"/>
      <c r="R182" s="804">
        <f>O182/INTGRATE!$N$293</f>
        <v>0</v>
      </c>
      <c r="S182" s="665">
        <f t="shared" si="70"/>
        <v>0</v>
      </c>
      <c r="T182" s="402"/>
      <c r="U182" s="141"/>
      <c r="V182" s="841" t="str">
        <f t="shared" si="61"/>
        <v>952SX25</v>
      </c>
      <c r="W182" s="823">
        <v>320008</v>
      </c>
      <c r="X182" s="91"/>
      <c r="Y182" s="91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/>
      <c r="AH182" s="100">
        <v>0</v>
      </c>
      <c r="AI182" s="100">
        <v>0</v>
      </c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7"/>
        <v>0</v>
      </c>
      <c r="BD182" s="786">
        <f t="shared" si="68"/>
        <v>0</v>
      </c>
      <c r="BE182" s="786">
        <f t="shared" si="69"/>
        <v>0</v>
      </c>
      <c r="BH182" s="436"/>
    </row>
    <row r="183" spans="1:60" s="38" customFormat="1" ht="15" customHeight="1">
      <c r="A183" s="91">
        <v>17</v>
      </c>
      <c r="B183" s="94">
        <v>953</v>
      </c>
      <c r="C183" s="94" t="s">
        <v>64</v>
      </c>
      <c r="D183" s="91">
        <v>25</v>
      </c>
      <c r="E183" s="100">
        <v>340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140</v>
      </c>
      <c r="J183" s="100">
        <f>SUMIF(data!$D:$D,$B183&amp;$D183,data!$K:$K)</f>
        <v>3500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63"/>
        <v>200</v>
      </c>
      <c r="N183" s="100">
        <f t="shared" si="64"/>
        <v>5000</v>
      </c>
      <c r="O183" s="1159">
        <f t="shared" si="62"/>
        <v>35175</v>
      </c>
      <c r="P183" s="804"/>
      <c r="Q183" s="804"/>
      <c r="R183" s="804">
        <f>O183/INTGRATE!$N$293</f>
        <v>3197.7272727272725</v>
      </c>
      <c r="S183" s="665">
        <f t="shared" si="70"/>
        <v>1.5636105188343996</v>
      </c>
      <c r="T183" s="403"/>
      <c r="U183" s="141"/>
      <c r="V183" s="836" t="str">
        <f t="shared" si="61"/>
        <v>95325</v>
      </c>
      <c r="W183" s="823">
        <v>332301</v>
      </c>
      <c r="X183" s="91"/>
      <c r="Y183" s="91">
        <v>1750</v>
      </c>
      <c r="Z183" s="100">
        <v>1525</v>
      </c>
      <c r="AA183" s="100">
        <v>0</v>
      </c>
      <c r="AB183" s="100">
        <v>5000</v>
      </c>
      <c r="AC183" s="100">
        <v>5325</v>
      </c>
      <c r="AD183" s="100">
        <v>250</v>
      </c>
      <c r="AE183" s="100">
        <v>8250</v>
      </c>
      <c r="AF183" s="100">
        <v>0</v>
      </c>
      <c r="AG183" s="100"/>
      <c r="AH183" s="100">
        <v>9575</v>
      </c>
      <c r="AI183" s="100">
        <v>3500</v>
      </c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7"/>
        <v>35175</v>
      </c>
      <c r="BD183" s="786">
        <f t="shared" si="68"/>
        <v>8</v>
      </c>
      <c r="BE183" s="786">
        <f t="shared" si="69"/>
        <v>4396.875</v>
      </c>
      <c r="BH183" s="436"/>
    </row>
    <row r="184" spans="1:60" s="38" customFormat="1" ht="15" customHeight="1">
      <c r="A184" s="91">
        <v>18</v>
      </c>
      <c r="B184" s="94" t="s">
        <v>186</v>
      </c>
      <c r="C184" s="94" t="s">
        <v>64</v>
      </c>
      <c r="D184" s="91">
        <v>25</v>
      </c>
      <c r="E184" s="100">
        <v>0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0</v>
      </c>
      <c r="J184" s="100">
        <f>SUMIF(data!$D:$D,$B184&amp;$D184,data!$K:$K)</f>
        <v>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63"/>
        <v>0</v>
      </c>
      <c r="N184" s="100">
        <f t="shared" si="64"/>
        <v>0</v>
      </c>
      <c r="O184" s="1159">
        <f t="shared" si="62"/>
        <v>0</v>
      </c>
      <c r="P184" s="804"/>
      <c r="Q184" s="804"/>
      <c r="R184" s="804">
        <f>O184/INTGRATE!$N$293</f>
        <v>0</v>
      </c>
      <c r="S184" s="665">
        <f t="shared" si="70"/>
        <v>0</v>
      </c>
      <c r="T184" s="404"/>
      <c r="U184" s="141"/>
      <c r="V184" s="840" t="str">
        <f t="shared" si="61"/>
        <v>953S25</v>
      </c>
      <c r="W184" s="831">
        <v>332101</v>
      </c>
      <c r="X184" s="91"/>
      <c r="Y184" s="91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/>
      <c r="AH184" s="100">
        <v>0</v>
      </c>
      <c r="AI184" s="100">
        <v>0</v>
      </c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7"/>
        <v>0</v>
      </c>
      <c r="BD184" s="786">
        <f t="shared" si="68"/>
        <v>0</v>
      </c>
      <c r="BE184" s="786">
        <f t="shared" si="69"/>
        <v>0</v>
      </c>
      <c r="BH184" s="436"/>
    </row>
    <row r="185" spans="1:60" s="38" customFormat="1" ht="15" customHeight="1">
      <c r="A185" s="91">
        <v>19</v>
      </c>
      <c r="B185" s="171">
        <v>966</v>
      </c>
      <c r="C185" s="171" t="s">
        <v>64</v>
      </c>
      <c r="D185" s="173">
        <v>25</v>
      </c>
      <c r="E185" s="100">
        <v>245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233</v>
      </c>
      <c r="J185" s="100">
        <f>SUMIF(data!$D:$D,$B185&amp;$D185,data!$K:$K)</f>
        <v>5825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63"/>
        <v>12</v>
      </c>
      <c r="N185" s="100">
        <f t="shared" si="64"/>
        <v>300</v>
      </c>
      <c r="O185" s="1159">
        <f t="shared" si="62"/>
        <v>28450</v>
      </c>
      <c r="P185" s="804"/>
      <c r="Q185" s="804"/>
      <c r="R185" s="804">
        <f>O185/INTGRATE!$N$293</f>
        <v>2586.3636363636365</v>
      </c>
      <c r="S185" s="665">
        <f t="shared" si="70"/>
        <v>0.11599297012302284</v>
      </c>
      <c r="T185" s="402"/>
      <c r="U185" s="141"/>
      <c r="V185" s="840" t="str">
        <f t="shared" si="61"/>
        <v>96625</v>
      </c>
      <c r="W185" s="831">
        <v>366201</v>
      </c>
      <c r="X185" s="91"/>
      <c r="Y185" s="91">
        <v>1500</v>
      </c>
      <c r="Z185" s="100">
        <v>1625</v>
      </c>
      <c r="AA185" s="100">
        <v>5250</v>
      </c>
      <c r="AB185" s="100">
        <v>4250</v>
      </c>
      <c r="AC185" s="100">
        <v>3450</v>
      </c>
      <c r="AD185" s="100">
        <v>750</v>
      </c>
      <c r="AE185" s="100">
        <v>1875</v>
      </c>
      <c r="AF185" s="100">
        <v>1050</v>
      </c>
      <c r="AG185" s="100"/>
      <c r="AH185" s="100">
        <v>2875</v>
      </c>
      <c r="AI185" s="100">
        <v>5825</v>
      </c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7"/>
        <v>28450</v>
      </c>
      <c r="BD185" s="786">
        <f t="shared" si="68"/>
        <v>10</v>
      </c>
      <c r="BE185" s="786">
        <f t="shared" si="69"/>
        <v>2845</v>
      </c>
      <c r="BH185" s="436"/>
    </row>
    <row r="186" spans="1:60" s="38" customFormat="1" ht="15" customHeight="1">
      <c r="A186" s="91">
        <v>20</v>
      </c>
      <c r="B186" s="181">
        <v>967</v>
      </c>
      <c r="C186" s="171" t="s">
        <v>64</v>
      </c>
      <c r="D186" s="182">
        <v>25</v>
      </c>
      <c r="E186" s="157">
        <v>142</v>
      </c>
      <c r="F186" s="100">
        <f>SUMIF(pro!$A:$A,$V:$V,pro!$N:$N)</f>
        <v>0</v>
      </c>
      <c r="G186" s="100"/>
      <c r="H186" s="100">
        <f>SUMIF(CBIN!$A:$A,BRAN!$V:$V,CBIN!$G:$G)</f>
        <v>0</v>
      </c>
      <c r="I186" s="100">
        <f>SUMIF(data!$D:$D,$B186&amp;$D186,data!$J:$J)</f>
        <v>12</v>
      </c>
      <c r="J186" s="100">
        <f>SUMIF(data!$D:$D,$B186&amp;$D186,data!$K:$K)</f>
        <v>300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63"/>
        <v>130</v>
      </c>
      <c r="N186" s="100">
        <f t="shared" si="64"/>
        <v>3250</v>
      </c>
      <c r="O186" s="1159">
        <f t="shared" si="62"/>
        <v>5850</v>
      </c>
      <c r="P186" s="804"/>
      <c r="Q186" s="804"/>
      <c r="R186" s="804">
        <f>O186/INTGRATE!$N$293</f>
        <v>531.81818181818187</v>
      </c>
      <c r="S186" s="665">
        <f t="shared" si="70"/>
        <v>6.1111111111111107</v>
      </c>
      <c r="T186" s="402"/>
      <c r="U186" s="141"/>
      <c r="V186" s="840" t="str">
        <f t="shared" si="61"/>
        <v>96725</v>
      </c>
      <c r="W186" s="831">
        <v>367201</v>
      </c>
      <c r="X186" s="91"/>
      <c r="Y186" s="91">
        <v>50</v>
      </c>
      <c r="Z186" s="100">
        <v>625</v>
      </c>
      <c r="AA186" s="100">
        <v>1050</v>
      </c>
      <c r="AB186" s="100">
        <v>250</v>
      </c>
      <c r="AC186" s="100">
        <v>1400</v>
      </c>
      <c r="AD186" s="100">
        <v>2175</v>
      </c>
      <c r="AE186" s="100">
        <v>0</v>
      </c>
      <c r="AF186" s="100">
        <v>0</v>
      </c>
      <c r="AG186" s="100"/>
      <c r="AH186" s="100">
        <v>0</v>
      </c>
      <c r="AI186" s="100">
        <v>300</v>
      </c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7"/>
        <v>5850</v>
      </c>
      <c r="BD186" s="786">
        <f t="shared" si="68"/>
        <v>7</v>
      </c>
      <c r="BE186" s="786">
        <f t="shared" si="69"/>
        <v>835.71428571428567</v>
      </c>
      <c r="BH186" s="436"/>
    </row>
    <row r="187" spans="1:60" s="38" customFormat="1" ht="15" customHeight="1">
      <c r="A187" s="91">
        <v>21</v>
      </c>
      <c r="B187" s="181" t="s">
        <v>187</v>
      </c>
      <c r="C187" s="181" t="s">
        <v>64</v>
      </c>
      <c r="D187" s="182">
        <v>25</v>
      </c>
      <c r="E187" s="157">
        <v>171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100</v>
      </c>
      <c r="J187" s="100">
        <f>SUMIF(data!$D:$D,$B187&amp;$D187,data!$K:$K)</f>
        <v>2500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63"/>
        <v>71</v>
      </c>
      <c r="N187" s="100">
        <f t="shared" si="64"/>
        <v>1775</v>
      </c>
      <c r="O187" s="1159">
        <f t="shared" si="62"/>
        <v>7750</v>
      </c>
      <c r="P187" s="804"/>
      <c r="Q187" s="804"/>
      <c r="R187" s="804">
        <f>O187/INTGRATE!$N$293</f>
        <v>704.5454545454545</v>
      </c>
      <c r="S187" s="665">
        <f t="shared" si="70"/>
        <v>2.5193548387096776</v>
      </c>
      <c r="T187" s="405"/>
      <c r="U187" s="141"/>
      <c r="V187" s="840" t="str">
        <f t="shared" si="61"/>
        <v>967S25</v>
      </c>
      <c r="W187" s="831">
        <v>367101</v>
      </c>
      <c r="X187" s="560"/>
      <c r="Y187" s="560">
        <v>3000</v>
      </c>
      <c r="Z187" s="100">
        <v>0</v>
      </c>
      <c r="AA187" s="100">
        <v>0</v>
      </c>
      <c r="AB187" s="100">
        <v>1075</v>
      </c>
      <c r="AC187" s="100">
        <v>0</v>
      </c>
      <c r="AD187" s="100">
        <v>0</v>
      </c>
      <c r="AE187" s="100">
        <v>0</v>
      </c>
      <c r="AF187" s="100">
        <v>175</v>
      </c>
      <c r="AG187" s="100"/>
      <c r="AH187" s="100">
        <v>1000</v>
      </c>
      <c r="AI187" s="100">
        <v>2500</v>
      </c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7"/>
        <v>7750</v>
      </c>
      <c r="BD187" s="786">
        <f t="shared" si="68"/>
        <v>5</v>
      </c>
      <c r="BE187" s="786">
        <f t="shared" si="69"/>
        <v>1550</v>
      </c>
      <c r="BF187" s="85"/>
      <c r="BH187" s="436"/>
    </row>
    <row r="188" spans="1:60" s="38" customFormat="1" ht="15" customHeight="1">
      <c r="A188" s="91">
        <v>22</v>
      </c>
      <c r="B188" s="410" t="s">
        <v>188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 t="shared" si="63"/>
        <v>0</v>
      </c>
      <c r="N188" s="100">
        <f t="shared" si="64"/>
        <v>0</v>
      </c>
      <c r="O188" s="1159">
        <f t="shared" si="62"/>
        <v>0</v>
      </c>
      <c r="P188" s="804"/>
      <c r="Q188" s="804"/>
      <c r="R188" s="804">
        <f>O188/INTGRATE!$N$293</f>
        <v>0</v>
      </c>
      <c r="S188" s="665">
        <f t="shared" si="70"/>
        <v>0</v>
      </c>
      <c r="T188" s="403"/>
      <c r="U188" s="141"/>
      <c r="V188" s="840" t="str">
        <f t="shared" si="61"/>
        <v>985S25</v>
      </c>
      <c r="W188" s="831">
        <v>433011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/>
      <c r="AH188" s="100">
        <v>0</v>
      </c>
      <c r="AI188" s="100">
        <v>0</v>
      </c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7"/>
        <v>0</v>
      </c>
      <c r="BD188" s="786">
        <f t="shared" si="68"/>
        <v>0</v>
      </c>
      <c r="BE188" s="786">
        <f t="shared" si="69"/>
        <v>0</v>
      </c>
      <c r="BH188" s="436"/>
    </row>
    <row r="189" spans="1:60" s="38" customFormat="1" ht="15" customHeight="1">
      <c r="A189" s="91">
        <v>23</v>
      </c>
      <c r="B189" s="410">
        <v>996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64"/>
        <v>0</v>
      </c>
      <c r="O189" s="1159">
        <f t="shared" si="62"/>
        <v>0</v>
      </c>
      <c r="P189" s="804"/>
      <c r="Q189" s="804"/>
      <c r="R189" s="804">
        <f>O189/INTGRATE!$N$293</f>
        <v>0</v>
      </c>
      <c r="S189" s="665">
        <f t="shared" si="70"/>
        <v>0</v>
      </c>
      <c r="T189" s="405"/>
      <c r="U189" s="141"/>
      <c r="V189" s="840" t="str">
        <f t="shared" si="61"/>
        <v>99625</v>
      </c>
      <c r="W189" s="823">
        <v>424001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>
        <v>0</v>
      </c>
      <c r="AF189" s="100">
        <v>0</v>
      </c>
      <c r="AG189" s="100"/>
      <c r="AH189" s="100">
        <v>0</v>
      </c>
      <c r="AI189" s="100">
        <v>0</v>
      </c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7"/>
        <v>0</v>
      </c>
      <c r="BD189" s="786">
        <f t="shared" si="68"/>
        <v>0</v>
      </c>
      <c r="BE189" s="786">
        <f t="shared" si="69"/>
        <v>0</v>
      </c>
      <c r="BH189" s="436"/>
    </row>
    <row r="190" spans="1:60" s="38" customFormat="1">
      <c r="A190" s="91">
        <v>24</v>
      </c>
      <c r="B190" s="410">
        <v>995</v>
      </c>
      <c r="C190" s="410" t="s">
        <v>64</v>
      </c>
      <c r="D190" s="410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>E190+F190+H190-I190-L190+G190-K190</f>
        <v>0</v>
      </c>
      <c r="N190" s="100">
        <f t="shared" si="64"/>
        <v>0</v>
      </c>
      <c r="O190" s="1159">
        <f t="shared" si="62"/>
        <v>0</v>
      </c>
      <c r="P190" s="804"/>
      <c r="Q190" s="804"/>
      <c r="R190" s="804">
        <f>O190/INTGRATE!$N$293</f>
        <v>0</v>
      </c>
      <c r="S190" s="665">
        <f t="shared" si="70"/>
        <v>0</v>
      </c>
      <c r="T190" s="405"/>
      <c r="U190" s="141"/>
      <c r="V190" s="840" t="str">
        <f t="shared" si="61"/>
        <v>99525</v>
      </c>
      <c r="W190" s="831">
        <v>423001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>
        <v>0</v>
      </c>
      <c r="AF190" s="100">
        <v>0</v>
      </c>
      <c r="AG190" s="100"/>
      <c r="AH190" s="100">
        <v>0</v>
      </c>
      <c r="AI190" s="100">
        <v>0</v>
      </c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7"/>
        <v>0</v>
      </c>
      <c r="BD190" s="786">
        <f t="shared" si="68"/>
        <v>0</v>
      </c>
      <c r="BE190" s="786">
        <f t="shared" si="69"/>
        <v>0</v>
      </c>
      <c r="BH190" s="436"/>
    </row>
    <row r="191" spans="1:60" s="38" customFormat="1" ht="15" customHeight="1">
      <c r="A191" s="91">
        <v>25</v>
      </c>
      <c r="B191" s="448" t="s">
        <v>189</v>
      </c>
      <c r="C191" s="448" t="s">
        <v>64</v>
      </c>
      <c r="D191" s="448">
        <v>25</v>
      </c>
      <c r="E191" s="157">
        <v>0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63"/>
        <v>0</v>
      </c>
      <c r="N191" s="100">
        <f t="shared" si="64"/>
        <v>0</v>
      </c>
      <c r="O191" s="1159">
        <f t="shared" si="62"/>
        <v>0</v>
      </c>
      <c r="P191" s="804"/>
      <c r="Q191" s="804"/>
      <c r="R191" s="804">
        <f>O191/INTGRATE!$N$293</f>
        <v>0</v>
      </c>
      <c r="S191" s="665">
        <f t="shared" si="70"/>
        <v>0</v>
      </c>
      <c r="T191" s="461"/>
      <c r="U191" s="141"/>
      <c r="V191" s="840" t="str">
        <f t="shared" si="61"/>
        <v>991-1425</v>
      </c>
      <c r="W191" s="831">
        <v>513001</v>
      </c>
      <c r="X191" s="560"/>
      <c r="Y191" s="560">
        <v>0</v>
      </c>
      <c r="Z191" s="100">
        <v>0</v>
      </c>
      <c r="AA191" s="100">
        <v>0</v>
      </c>
      <c r="AB191" s="100">
        <v>0</v>
      </c>
      <c r="AC191" s="100">
        <v>0</v>
      </c>
      <c r="AD191" s="100">
        <v>0</v>
      </c>
      <c r="AE191" s="100">
        <v>0</v>
      </c>
      <c r="AF191" s="100">
        <v>0</v>
      </c>
      <c r="AG191" s="100"/>
      <c r="AH191" s="100">
        <v>0</v>
      </c>
      <c r="AI191" s="100">
        <v>0</v>
      </c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7"/>
        <v>0</v>
      </c>
      <c r="BD191" s="786">
        <f t="shared" si="68"/>
        <v>0</v>
      </c>
      <c r="BE191" s="786">
        <f t="shared" si="69"/>
        <v>0</v>
      </c>
      <c r="BH191" s="436"/>
    </row>
    <row r="192" spans="1:60" s="38" customFormat="1" ht="15" customHeight="1">
      <c r="A192" s="91">
        <v>26</v>
      </c>
      <c r="B192" s="448" t="s">
        <v>190</v>
      </c>
      <c r="C192" s="448" t="s">
        <v>64</v>
      </c>
      <c r="D192" s="448">
        <v>25</v>
      </c>
      <c r="E192" s="157">
        <v>0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 t="shared" si="63"/>
        <v>0</v>
      </c>
      <c r="N192" s="100">
        <f t="shared" si="64"/>
        <v>0</v>
      </c>
      <c r="O192" s="1159">
        <f t="shared" si="62"/>
        <v>4350</v>
      </c>
      <c r="P192" s="804"/>
      <c r="Q192" s="804"/>
      <c r="R192" s="804">
        <f>O192/INTGRATE!$N$293</f>
        <v>395.45454545454544</v>
      </c>
      <c r="S192" s="665">
        <f t="shared" si="70"/>
        <v>0</v>
      </c>
      <c r="T192" s="461"/>
      <c r="U192" s="141"/>
      <c r="V192" s="840" t="str">
        <f t="shared" si="61"/>
        <v>991-1825</v>
      </c>
      <c r="W192" s="831">
        <v>511001</v>
      </c>
      <c r="X192" s="560"/>
      <c r="Y192" s="560">
        <v>2700</v>
      </c>
      <c r="Z192" s="100">
        <v>0</v>
      </c>
      <c r="AA192" s="100">
        <v>250</v>
      </c>
      <c r="AB192" s="100">
        <v>0</v>
      </c>
      <c r="AC192" s="100">
        <v>750</v>
      </c>
      <c r="AD192" s="100">
        <v>650</v>
      </c>
      <c r="AE192" s="100">
        <v>0</v>
      </c>
      <c r="AF192" s="100">
        <v>0</v>
      </c>
      <c r="AG192" s="100"/>
      <c r="AH192" s="100">
        <v>0</v>
      </c>
      <c r="AI192" s="100">
        <v>0</v>
      </c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276">
        <f t="shared" si="67"/>
        <v>4350</v>
      </c>
      <c r="BD192" s="786">
        <f t="shared" si="68"/>
        <v>4</v>
      </c>
      <c r="BE192" s="786">
        <f t="shared" si="69"/>
        <v>1087.5</v>
      </c>
      <c r="BH192" s="436"/>
    </row>
    <row r="193" spans="1:60" s="38" customFormat="1" ht="15" customHeight="1">
      <c r="A193" s="91">
        <v>27</v>
      </c>
      <c r="B193" s="410">
        <v>984</v>
      </c>
      <c r="C193" s="780" t="s">
        <v>64</v>
      </c>
      <c r="D193" s="1174">
        <v>25</v>
      </c>
      <c r="E193" s="157">
        <v>136</v>
      </c>
      <c r="F193" s="100">
        <f>SUMIF(pro!$A:$A,$V:$V,pro!$N:$N)</f>
        <v>0</v>
      </c>
      <c r="G193" s="157"/>
      <c r="H193" s="100">
        <f>SUMIF(CBIN!$A:$A,BRAN!$V:$V,CBIN!$G:$G)</f>
        <v>0</v>
      </c>
      <c r="I193" s="100">
        <f>SUMIF(data!$D:$D,$B193&amp;$D193,data!$J:$J)</f>
        <v>0</v>
      </c>
      <c r="J193" s="100">
        <f>SUMIF(data!$D:$D,$B193&amp;$D193,data!$K:$K)</f>
        <v>0</v>
      </c>
      <c r="K193" s="100">
        <f>SUMIF(AJOUT!$A:$A,BRAN!$V:$V,AJOUT!$L:$L)</f>
        <v>0</v>
      </c>
      <c r="L193" s="100">
        <f>SUMIF(CBOUT!$A:$A,BRAN!$V:$V,CBOUT!$G:$G)</f>
        <v>0</v>
      </c>
      <c r="M193" s="1158">
        <f>E193+F193+H193-I193-L193+G193-K193</f>
        <v>136</v>
      </c>
      <c r="N193" s="100">
        <f t="shared" si="64"/>
        <v>3400</v>
      </c>
      <c r="O193" s="1159">
        <f t="shared" si="62"/>
        <v>3875</v>
      </c>
      <c r="P193" s="804"/>
      <c r="Q193" s="804"/>
      <c r="R193" s="804">
        <f>O193/INTGRATE!$N$293</f>
        <v>352.27272727272725</v>
      </c>
      <c r="S193" s="665">
        <f t="shared" si="70"/>
        <v>9.6516129032258071</v>
      </c>
      <c r="T193" s="406"/>
      <c r="U193" s="141"/>
      <c r="V193" s="840" t="str">
        <f t="shared" si="61"/>
        <v>98425</v>
      </c>
      <c r="W193" s="831">
        <v>433001</v>
      </c>
      <c r="X193" s="156"/>
      <c r="Y193" s="156">
        <v>1750</v>
      </c>
      <c r="Z193" s="558">
        <v>0</v>
      </c>
      <c r="AA193" s="558">
        <v>0</v>
      </c>
      <c r="AB193" s="558">
        <v>500</v>
      </c>
      <c r="AC193" s="558"/>
      <c r="AD193" s="100">
        <v>0</v>
      </c>
      <c r="AE193" s="558">
        <v>0</v>
      </c>
      <c r="AF193" s="100">
        <v>1375</v>
      </c>
      <c r="AG193" s="558"/>
      <c r="AH193" s="558">
        <v>250</v>
      </c>
      <c r="AI193" s="558">
        <v>0</v>
      </c>
      <c r="AJ193" s="558"/>
      <c r="AK193" s="558"/>
      <c r="AL193" s="558"/>
      <c r="AM193" s="558"/>
      <c r="AN193" s="558"/>
      <c r="AO193" s="558"/>
      <c r="AP193" s="558"/>
      <c r="AQ193" s="100"/>
      <c r="AR193" s="558"/>
      <c r="AS193" s="558"/>
      <c r="AT193" s="558"/>
      <c r="AU193" s="100"/>
      <c r="AV193" s="558"/>
      <c r="AW193" s="558"/>
      <c r="AX193" s="558"/>
      <c r="AY193" s="558"/>
      <c r="AZ193" s="558"/>
      <c r="BA193" s="558"/>
      <c r="BB193" s="558"/>
      <c r="BC193" s="276">
        <f t="shared" si="67"/>
        <v>3875</v>
      </c>
      <c r="BD193" s="786">
        <f t="shared" si="68"/>
        <v>4</v>
      </c>
      <c r="BE193" s="786">
        <f t="shared" si="69"/>
        <v>968.75</v>
      </c>
      <c r="BH193" s="436"/>
    </row>
    <row r="194" spans="1:60" s="63" customFormat="1" ht="15" customHeight="1">
      <c r="A194" s="1117" t="s">
        <v>71</v>
      </c>
      <c r="B194" s="1118"/>
      <c r="C194" s="1118"/>
      <c r="D194" s="1119"/>
      <c r="E194" s="64"/>
      <c r="F194" s="64"/>
      <c r="G194" s="64"/>
      <c r="H194" s="64"/>
      <c r="I194" s="64"/>
      <c r="J194" s="64"/>
      <c r="K194" s="64"/>
      <c r="L194" s="64"/>
      <c r="M194" s="470"/>
      <c r="N194" s="64"/>
      <c r="O194" s="64"/>
      <c r="P194" s="64"/>
      <c r="Q194" s="64"/>
      <c r="R194" s="64"/>
      <c r="S194" s="82"/>
      <c r="T194" s="1097"/>
      <c r="U194" s="137"/>
      <c r="V194" s="840" t="str">
        <f t="shared" si="61"/>
        <v/>
      </c>
      <c r="W194" s="831"/>
      <c r="X194" s="79">
        <f t="shared" ref="X194:BB194" si="71">SUM(X167:X193)</f>
        <v>0</v>
      </c>
      <c r="Y194" s="79">
        <f t="shared" si="71"/>
        <v>30675</v>
      </c>
      <c r="Z194" s="79">
        <f t="shared" si="71"/>
        <v>9650</v>
      </c>
      <c r="AA194" s="79">
        <f t="shared" si="71"/>
        <v>14600</v>
      </c>
      <c r="AB194" s="79">
        <f t="shared" si="71"/>
        <v>42175</v>
      </c>
      <c r="AC194" s="79">
        <f t="shared" si="71"/>
        <v>19525</v>
      </c>
      <c r="AD194" s="79">
        <f t="shared" si="71"/>
        <v>12775</v>
      </c>
      <c r="AE194" s="79">
        <f t="shared" si="71"/>
        <v>30275</v>
      </c>
      <c r="AF194" s="79">
        <f t="shared" si="71"/>
        <v>22975</v>
      </c>
      <c r="AG194" s="79">
        <f t="shared" si="71"/>
        <v>0</v>
      </c>
      <c r="AH194" s="79">
        <f t="shared" si="71"/>
        <v>36425</v>
      </c>
      <c r="AI194" s="79">
        <f t="shared" si="71"/>
        <v>40475</v>
      </c>
      <c r="AJ194" s="79">
        <f t="shared" si="71"/>
        <v>0</v>
      </c>
      <c r="AK194" s="79">
        <f t="shared" si="71"/>
        <v>0</v>
      </c>
      <c r="AL194" s="79">
        <f t="shared" si="71"/>
        <v>0</v>
      </c>
      <c r="AM194" s="79">
        <f t="shared" si="71"/>
        <v>0</v>
      </c>
      <c r="AN194" s="79">
        <f t="shared" si="71"/>
        <v>0</v>
      </c>
      <c r="AO194" s="79">
        <f t="shared" si="71"/>
        <v>0</v>
      </c>
      <c r="AP194" s="79">
        <f t="shared" si="71"/>
        <v>0</v>
      </c>
      <c r="AQ194" s="79">
        <f t="shared" si="71"/>
        <v>0</v>
      </c>
      <c r="AR194" s="79">
        <f t="shared" si="71"/>
        <v>0</v>
      </c>
      <c r="AS194" s="79">
        <f t="shared" si="71"/>
        <v>0</v>
      </c>
      <c r="AT194" s="79">
        <f t="shared" si="71"/>
        <v>0</v>
      </c>
      <c r="AU194" s="79">
        <f t="shared" si="71"/>
        <v>0</v>
      </c>
      <c r="AV194" s="79">
        <f t="shared" si="71"/>
        <v>0</v>
      </c>
      <c r="AW194" s="79">
        <f t="shared" si="71"/>
        <v>0</v>
      </c>
      <c r="AX194" s="79">
        <f t="shared" si="71"/>
        <v>0</v>
      </c>
      <c r="AY194" s="79">
        <f t="shared" si="71"/>
        <v>0</v>
      </c>
      <c r="AZ194" s="79">
        <f t="shared" si="71"/>
        <v>0</v>
      </c>
      <c r="BA194" s="79">
        <f>SUM(BA167:BA193)</f>
        <v>0</v>
      </c>
      <c r="BB194" s="79">
        <f t="shared" si="71"/>
        <v>0</v>
      </c>
      <c r="BC194" s="532">
        <f>SUM(X194:BB194)</f>
        <v>259550</v>
      </c>
      <c r="BD194" s="789"/>
      <c r="BE194" s="789"/>
      <c r="BH194" s="437"/>
    </row>
    <row r="195" spans="1:60" s="63" customFormat="1" ht="15" customHeight="1">
      <c r="A195" s="1117" t="s">
        <v>72</v>
      </c>
      <c r="B195" s="1118"/>
      <c r="C195" s="1118"/>
      <c r="D195" s="1119"/>
      <c r="E195" s="64">
        <f>SUM(E167:E174,E177:E193)</f>
        <v>2203</v>
      </c>
      <c r="F195" s="64">
        <f>SUM(F167:F174,F177:F193)</f>
        <v>2029</v>
      </c>
      <c r="G195" s="64">
        <f t="shared" ref="G195:R195" si="72">SUM(G167:G174,G177:G193)</f>
        <v>0</v>
      </c>
      <c r="H195" s="64">
        <f t="shared" si="72"/>
        <v>0</v>
      </c>
      <c r="I195" s="64">
        <f t="shared" si="72"/>
        <v>1619</v>
      </c>
      <c r="J195" s="64">
        <f t="shared" si="72"/>
        <v>40475</v>
      </c>
      <c r="K195" s="64">
        <f t="shared" si="72"/>
        <v>0</v>
      </c>
      <c r="L195" s="64">
        <f t="shared" si="72"/>
        <v>0</v>
      </c>
      <c r="M195" s="64">
        <f t="shared" si="72"/>
        <v>2613</v>
      </c>
      <c r="N195" s="64">
        <f t="shared" si="72"/>
        <v>65325</v>
      </c>
      <c r="O195" s="64">
        <f t="shared" si="72"/>
        <v>259550</v>
      </c>
      <c r="P195" s="64">
        <f t="shared" si="72"/>
        <v>65325</v>
      </c>
      <c r="Q195" s="64">
        <f t="shared" si="72"/>
        <v>259550</v>
      </c>
      <c r="R195" s="64">
        <f t="shared" si="72"/>
        <v>23595.454545454544</v>
      </c>
      <c r="S195" s="64">
        <f>SUM(S167:S173,S177:S193)</f>
        <v>53.973914868901673</v>
      </c>
      <c r="T195" s="1098"/>
      <c r="U195" s="137">
        <f>SUM(U167:U169,U177:U193)*25</f>
        <v>0</v>
      </c>
      <c r="V195" s="840" t="str">
        <f t="shared" si="61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63" customFormat="1" ht="15" customHeight="1">
      <c r="A196" s="1117" t="s">
        <v>73</v>
      </c>
      <c r="B196" s="1118"/>
      <c r="C196" s="1118"/>
      <c r="D196" s="1119"/>
      <c r="E196" s="62">
        <f>SUM(E175:E176)</f>
        <v>0</v>
      </c>
      <c r="F196" s="62">
        <f t="shared" ref="F196:P196" si="73">SUM(F175:F176)</f>
        <v>0</v>
      </c>
      <c r="G196" s="62">
        <f t="shared" si="73"/>
        <v>0</v>
      </c>
      <c r="H196" s="62">
        <f t="shared" si="73"/>
        <v>0</v>
      </c>
      <c r="I196" s="62">
        <f t="shared" si="73"/>
        <v>0</v>
      </c>
      <c r="J196" s="62">
        <f t="shared" si="73"/>
        <v>0</v>
      </c>
      <c r="K196" s="62">
        <f t="shared" si="73"/>
        <v>0</v>
      </c>
      <c r="L196" s="62">
        <f t="shared" si="73"/>
        <v>0</v>
      </c>
      <c r="M196" s="474">
        <f t="shared" si="73"/>
        <v>0</v>
      </c>
      <c r="N196" s="62">
        <f t="shared" si="73"/>
        <v>0</v>
      </c>
      <c r="O196" s="62">
        <f t="shared" si="73"/>
        <v>0</v>
      </c>
      <c r="P196" s="62">
        <f t="shared" si="73"/>
        <v>0</v>
      </c>
      <c r="Q196" s="62"/>
      <c r="R196" s="62">
        <f>SUM(R175:R176)</f>
        <v>0</v>
      </c>
      <c r="S196" s="82">
        <f>IF(R196=0,0,N196/R196)</f>
        <v>0</v>
      </c>
      <c r="T196" s="1098"/>
      <c r="U196" s="151">
        <f>SUM(U175:U176)*40</f>
        <v>0</v>
      </c>
      <c r="V196" s="834" t="str">
        <f t="shared" si="61"/>
        <v/>
      </c>
      <c r="W196" s="83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437"/>
    </row>
    <row r="197" spans="1:60" s="126" customFormat="1" ht="15" customHeight="1">
      <c r="A197" s="1111" t="s">
        <v>75</v>
      </c>
      <c r="B197" s="1112"/>
      <c r="C197" s="1112"/>
      <c r="D197" s="1113"/>
      <c r="E197" s="125">
        <f>SUM(E194:E196)</f>
        <v>2203</v>
      </c>
      <c r="F197" s="125">
        <f>SUM(F194:F196)</f>
        <v>2029</v>
      </c>
      <c r="G197" s="125">
        <f>SUM(G194:G196)</f>
        <v>0</v>
      </c>
      <c r="H197" s="125">
        <f t="shared" ref="H197:N197" si="74">SUM(H194:H196)</f>
        <v>0</v>
      </c>
      <c r="I197" s="125">
        <f>SUM(I194:I196)</f>
        <v>1619</v>
      </c>
      <c r="J197" s="125">
        <f>SUM(J194:J196)</f>
        <v>40475</v>
      </c>
      <c r="K197" s="125">
        <f>SUM(K194:K196)</f>
        <v>0</v>
      </c>
      <c r="L197" s="125">
        <f t="shared" si="74"/>
        <v>0</v>
      </c>
      <c r="M197" s="475">
        <f t="shared" si="74"/>
        <v>2613</v>
      </c>
      <c r="N197" s="125">
        <f t="shared" si="74"/>
        <v>65325</v>
      </c>
      <c r="O197" s="1104">
        <f>SUM(O167:O193)</f>
        <v>259550</v>
      </c>
      <c r="P197" s="186"/>
      <c r="Q197" s="186"/>
      <c r="R197" s="1106">
        <f>SUM(R167:R193)</f>
        <v>23595.454545454544</v>
      </c>
      <c r="S197" s="1115" t="s">
        <v>191</v>
      </c>
      <c r="T197" s="1098"/>
      <c r="U197" s="143">
        <f>SUM(U167:U193)</f>
        <v>0</v>
      </c>
      <c r="V197" s="834" t="str">
        <f t="shared" si="61"/>
        <v/>
      </c>
      <c r="W197" s="831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353"/>
      <c r="BD197" s="353"/>
      <c r="BE197" s="353"/>
      <c r="BF197" s="353"/>
      <c r="BG197" s="353"/>
      <c r="BH197" s="437"/>
    </row>
    <row r="198" spans="1:60" s="86" customFormat="1" ht="15" customHeight="1">
      <c r="A198" s="1117" t="s">
        <v>77</v>
      </c>
      <c r="B198" s="1118"/>
      <c r="C198" s="1118"/>
      <c r="D198" s="1119"/>
      <c r="E198" s="120">
        <f>SUM(E194:E195)*25+E196*40</f>
        <v>55075</v>
      </c>
      <c r="F198" s="120">
        <f>SUM(F194:F195)*25+F196*40</f>
        <v>50725</v>
      </c>
      <c r="G198" s="120">
        <f>SUM(G194:G195)*25+G196*40</f>
        <v>0</v>
      </c>
      <c r="H198" s="120">
        <f>SUM(H194:H195)*25+H196*40</f>
        <v>0</v>
      </c>
      <c r="I198" s="120">
        <f>SUM(I194:I195)*25+I196*40</f>
        <v>40475</v>
      </c>
      <c r="J198" s="120">
        <f>SUM(J194:J195)+J196</f>
        <v>40475</v>
      </c>
      <c r="K198" s="120">
        <f>+K195*25</f>
        <v>0</v>
      </c>
      <c r="L198" s="120">
        <f>SUM(L194:L195)*25+L196*40</f>
        <v>0</v>
      </c>
      <c r="M198" s="476">
        <f>SUM(M194:M195)*25+M196*40</f>
        <v>65325</v>
      </c>
      <c r="N198" s="120">
        <f>SUM(N194:N195)+N196</f>
        <v>65325</v>
      </c>
      <c r="O198" s="1105"/>
      <c r="P198" s="187"/>
      <c r="Q198" s="187"/>
      <c r="R198" s="1107"/>
      <c r="S198" s="1116"/>
      <c r="T198" s="1123"/>
      <c r="U198" s="144">
        <f>SUM(U194:U196)</f>
        <v>0</v>
      </c>
      <c r="V198" s="834" t="str">
        <f t="shared" si="61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174</v>
      </c>
      <c r="B199" s="37"/>
      <c r="C199" s="37"/>
      <c r="D199" s="37"/>
      <c r="E199" s="130"/>
      <c r="F199" s="130"/>
      <c r="G199" s="130"/>
      <c r="H199" s="37"/>
      <c r="I199" s="37"/>
      <c r="J199" s="37"/>
      <c r="K199" s="37"/>
      <c r="L199" s="37"/>
      <c r="M199" s="472"/>
      <c r="N199" s="37"/>
      <c r="O199" s="37"/>
      <c r="P199" s="37"/>
      <c r="Q199" s="37"/>
      <c r="R199" s="37"/>
      <c r="S199" s="37"/>
      <c r="T199" s="458"/>
      <c r="U199" s="145"/>
      <c r="V199" s="834" t="str">
        <f t="shared" si="61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175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465"/>
      <c r="N200" s="38"/>
      <c r="O200" s="38"/>
      <c r="P200" s="38"/>
      <c r="Q200" s="38"/>
      <c r="R200" s="38"/>
      <c r="S200" s="38"/>
      <c r="T200" s="459"/>
      <c r="U200" s="134"/>
      <c r="V200" s="834" t="str">
        <f t="shared" si="61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86" customFormat="1" ht="15" customHeight="1">
      <c r="A201" s="286" t="s">
        <v>176</v>
      </c>
      <c r="B201" s="362"/>
      <c r="C201" s="362"/>
      <c r="D201" s="362"/>
      <c r="E201" s="362"/>
      <c r="F201" s="362"/>
      <c r="G201" s="362"/>
      <c r="H201" s="362"/>
      <c r="I201" s="362"/>
      <c r="J201" s="362"/>
      <c r="K201" s="362"/>
      <c r="L201" s="362"/>
      <c r="M201" s="473"/>
      <c r="N201" s="362"/>
      <c r="O201" s="362"/>
      <c r="P201" s="362"/>
      <c r="Q201" s="362"/>
      <c r="R201" s="362"/>
      <c r="S201" s="362"/>
      <c r="T201" s="460"/>
      <c r="U201" s="134"/>
      <c r="V201" s="834" t="str">
        <f t="shared" si="61"/>
        <v/>
      </c>
      <c r="W201" s="83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437"/>
    </row>
    <row r="202" spans="1:60" s="38" customFormat="1" ht="15" customHeight="1">
      <c r="A202" s="443" t="s">
        <v>20</v>
      </c>
      <c r="B202" s="443"/>
      <c r="C202" s="443"/>
      <c r="D202" s="443"/>
      <c r="E202" s="443"/>
      <c r="F202" s="443"/>
      <c r="G202" s="443"/>
      <c r="H202" s="443"/>
      <c r="I202" s="443"/>
      <c r="J202" s="443"/>
      <c r="K202" s="443"/>
      <c r="L202" s="443"/>
      <c r="M202" s="468"/>
      <c r="N202" s="443"/>
      <c r="O202" s="443"/>
      <c r="P202" s="443"/>
      <c r="Q202" s="443"/>
      <c r="R202" s="443"/>
      <c r="S202" s="443"/>
      <c r="T202" s="78"/>
      <c r="U202" s="139"/>
      <c r="V202" s="839" t="str">
        <f t="shared" si="61"/>
        <v/>
      </c>
      <c r="W202" s="823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38" customFormat="1" ht="15" customHeight="1">
      <c r="A203" s="444" t="s">
        <v>192</v>
      </c>
      <c r="B203" s="444"/>
      <c r="C203" s="444"/>
      <c r="D203" s="444"/>
      <c r="E203" s="444"/>
      <c r="F203" s="444"/>
      <c r="G203" s="444"/>
      <c r="H203" s="444"/>
      <c r="I203" s="444"/>
      <c r="J203" s="444"/>
      <c r="K203" s="444"/>
      <c r="L203" s="444"/>
      <c r="M203" s="469"/>
      <c r="N203" s="444"/>
      <c r="O203" s="444"/>
      <c r="P203" s="444"/>
      <c r="Q203" s="444"/>
      <c r="R203" s="444"/>
      <c r="S203" s="444"/>
      <c r="T203" s="407"/>
      <c r="U203" s="140"/>
      <c r="V203" s="839" t="str">
        <f t="shared" si="61"/>
        <v/>
      </c>
      <c r="W203" s="823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436"/>
    </row>
    <row r="204" spans="1:60" s="63" customFormat="1" ht="28.5" customHeight="1">
      <c r="A204" s="910" t="s">
        <v>22</v>
      </c>
      <c r="B204" s="901" t="s">
        <v>23</v>
      </c>
      <c r="C204" s="901" t="s">
        <v>24</v>
      </c>
      <c r="D204" s="907" t="s">
        <v>178</v>
      </c>
      <c r="E204" s="61" t="s">
        <v>26</v>
      </c>
      <c r="F204" s="904" t="s">
        <v>27</v>
      </c>
      <c r="G204" s="905"/>
      <c r="H204" s="906"/>
      <c r="I204" s="904" t="s">
        <v>28</v>
      </c>
      <c r="J204" s="905"/>
      <c r="K204" s="905"/>
      <c r="L204" s="905"/>
      <c r="M204" s="904" t="s">
        <v>29</v>
      </c>
      <c r="N204" s="906"/>
      <c r="O204" s="183" t="s">
        <v>30</v>
      </c>
      <c r="P204" s="183"/>
      <c r="Q204" s="183"/>
      <c r="R204" s="183" t="s">
        <v>31</v>
      </c>
      <c r="S204" s="907" t="s">
        <v>32</v>
      </c>
      <c r="T204" s="919" t="s">
        <v>33</v>
      </c>
      <c r="U204" s="1092" t="s">
        <v>34</v>
      </c>
      <c r="V204" s="830"/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46.5" customHeight="1">
      <c r="A205" s="911"/>
      <c r="B205" s="902"/>
      <c r="C205" s="902"/>
      <c r="D205" s="908" t="s">
        <v>35</v>
      </c>
      <c r="E205" s="64" t="s">
        <v>36</v>
      </c>
      <c r="F205" s="680" t="s">
        <v>37</v>
      </c>
      <c r="G205" s="512" t="s">
        <v>38</v>
      </c>
      <c r="H205" s="681" t="s">
        <v>39</v>
      </c>
      <c r="I205" s="904" t="s">
        <v>40</v>
      </c>
      <c r="J205" s="905"/>
      <c r="K205" s="512" t="s">
        <v>41</v>
      </c>
      <c r="L205" s="681" t="s">
        <v>42</v>
      </c>
      <c r="M205" s="904" t="s">
        <v>43</v>
      </c>
      <c r="N205" s="906"/>
      <c r="O205" s="683" t="s">
        <v>44</v>
      </c>
      <c r="P205" s="184"/>
      <c r="Q205" s="184"/>
      <c r="R205" s="683" t="s">
        <v>45</v>
      </c>
      <c r="S205" s="908"/>
      <c r="T205" s="920"/>
      <c r="U205" s="1093"/>
      <c r="V205" s="830" t="str">
        <f t="shared" ref="V205:V222" si="75">B205&amp;D205</f>
        <v>SIZE</v>
      </c>
      <c r="W205" s="83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437"/>
    </row>
    <row r="206" spans="1:60" s="63" customFormat="1" ht="20.25" customHeight="1">
      <c r="A206" s="912"/>
      <c r="B206" s="903"/>
      <c r="C206" s="903"/>
      <c r="D206" s="909" t="s">
        <v>46</v>
      </c>
      <c r="E206" s="64" t="s">
        <v>47</v>
      </c>
      <c r="F206" s="64" t="s">
        <v>47</v>
      </c>
      <c r="G206" s="64" t="s">
        <v>47</v>
      </c>
      <c r="H206" s="64" t="s">
        <v>47</v>
      </c>
      <c r="I206" s="64" t="s">
        <v>47</v>
      </c>
      <c r="J206" s="64" t="s">
        <v>46</v>
      </c>
      <c r="K206" s="64" t="s">
        <v>47</v>
      </c>
      <c r="L206" s="64" t="s">
        <v>47</v>
      </c>
      <c r="M206" s="64" t="s">
        <v>47</v>
      </c>
      <c r="N206" s="65" t="s">
        <v>46</v>
      </c>
      <c r="O206" s="65" t="s">
        <v>46</v>
      </c>
      <c r="P206" s="185"/>
      <c r="Q206" s="185"/>
      <c r="R206" s="65" t="s">
        <v>48</v>
      </c>
      <c r="S206" s="909"/>
      <c r="T206" s="921"/>
      <c r="U206" s="684" t="s">
        <v>47</v>
      </c>
      <c r="V206" s="835" t="str">
        <f t="shared" si="75"/>
        <v>(Kg)</v>
      </c>
      <c r="W206" s="831"/>
      <c r="X206" s="311">
        <v>1</v>
      </c>
      <c r="Y206" s="89">
        <v>2</v>
      </c>
      <c r="Z206" s="88">
        <v>3</v>
      </c>
      <c r="AA206" s="88">
        <v>4</v>
      </c>
      <c r="AB206" s="88">
        <v>5</v>
      </c>
      <c r="AC206" s="88">
        <v>6</v>
      </c>
      <c r="AD206" s="88">
        <v>7</v>
      </c>
      <c r="AE206" s="88">
        <v>8</v>
      </c>
      <c r="AF206" s="88">
        <v>9</v>
      </c>
      <c r="AG206" s="89">
        <v>10</v>
      </c>
      <c r="AH206" s="88">
        <v>11</v>
      </c>
      <c r="AI206" s="88">
        <v>12</v>
      </c>
      <c r="AJ206" s="88">
        <v>13</v>
      </c>
      <c r="AK206" s="89">
        <v>14</v>
      </c>
      <c r="AL206" s="88">
        <v>15</v>
      </c>
      <c r="AM206" s="88">
        <v>16</v>
      </c>
      <c r="AN206" s="88">
        <v>17</v>
      </c>
      <c r="AO206" s="89">
        <v>18</v>
      </c>
      <c r="AP206" s="88">
        <v>19</v>
      </c>
      <c r="AQ206" s="88">
        <v>20</v>
      </c>
      <c r="AR206" s="88">
        <v>21</v>
      </c>
      <c r="AS206" s="89">
        <v>22</v>
      </c>
      <c r="AT206" s="88">
        <v>23</v>
      </c>
      <c r="AU206" s="88">
        <v>24</v>
      </c>
      <c r="AV206" s="88">
        <v>25</v>
      </c>
      <c r="AW206" s="89">
        <v>26</v>
      </c>
      <c r="AX206" s="88">
        <v>27</v>
      </c>
      <c r="AY206" s="88">
        <v>28</v>
      </c>
      <c r="AZ206" s="88">
        <v>29</v>
      </c>
      <c r="BA206" s="89">
        <v>30</v>
      </c>
      <c r="BB206" s="88">
        <v>31</v>
      </c>
      <c r="BC206" s="106" t="s">
        <v>49</v>
      </c>
      <c r="BD206" s="785" t="s">
        <v>85</v>
      </c>
      <c r="BE206" s="785" t="s">
        <v>86</v>
      </c>
      <c r="BH206" s="437"/>
    </row>
    <row r="207" spans="1:60" s="38" customFormat="1" ht="15" customHeight="1">
      <c r="A207" s="68">
        <v>1</v>
      </c>
      <c r="B207" s="346" t="s">
        <v>193</v>
      </c>
      <c r="C207" s="346" t="s">
        <v>79</v>
      </c>
      <c r="D207" s="526">
        <v>25</v>
      </c>
      <c r="E207" s="1158">
        <v>0</v>
      </c>
      <c r="F207" s="100">
        <f>SUMIF(pro!$A:$A,$V:$V,pro!$N:$N)</f>
        <v>0</v>
      </c>
      <c r="G207" s="100"/>
      <c r="H207" s="100">
        <f>SUMIF(CBIN!$A:$A,BRAN!$V:$V,CBIN!$G:$G)</f>
        <v>0</v>
      </c>
      <c r="I207" s="100">
        <f>SUMIF(data!$D:$D,$B207&amp;$D207,data!$J:$J)</f>
        <v>0</v>
      </c>
      <c r="J207" s="100">
        <f>SUMIF(data!$D:$D,$B207&amp;$D207,data!$K:$K)</f>
        <v>0</v>
      </c>
      <c r="K207" s="100">
        <f>SUMIF(AJOUT!$A:$A,BRAN!$V:$V,AJOUT!$L:$L)</f>
        <v>0</v>
      </c>
      <c r="L207" s="100">
        <f>SUMIF(CBOUT!$A:$A,BRAN!$V:$V,CBOUT!$G:$G)</f>
        <v>0</v>
      </c>
      <c r="M207" s="1158">
        <f>E207+F207+H207-I207-L207+G207-K207</f>
        <v>0</v>
      </c>
      <c r="N207" s="100">
        <f>+M207*D207</f>
        <v>0</v>
      </c>
      <c r="O207" s="1159">
        <f t="shared" ref="O207:O276" si="76">SUM(X207:BB207)</f>
        <v>0</v>
      </c>
      <c r="P207" s="805">
        <f>SUM(N234:N244,N207:N208,N217,N233)+N228+N229+N210</f>
        <v>25225</v>
      </c>
      <c r="Q207" s="805">
        <f>SUM(O234:O244,O207:O208,O217,O233)+O228+O229+O210</f>
        <v>182010</v>
      </c>
      <c r="R207" s="804">
        <f>O207/INTGRATE!$N$293</f>
        <v>0</v>
      </c>
      <c r="S207" s="665">
        <f t="shared" ref="S207:S213" si="77">IF(R207=0,0,N207/R207)</f>
        <v>0</v>
      </c>
      <c r="T207" s="592"/>
      <c r="U207" s="141"/>
      <c r="V207" s="840" t="str">
        <f t="shared" si="75"/>
        <v>GD0425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/>
      <c r="AH207" s="100">
        <v>0</v>
      </c>
      <c r="AI207" s="100">
        <v>0</v>
      </c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ref="BC207:BC277" si="78">SUM(X207:BB207)</f>
        <v>0</v>
      </c>
      <c r="BD207" s="786">
        <f>COUNTIF(X207:BB207,"&gt;0")</f>
        <v>0</v>
      </c>
      <c r="BE207" s="786">
        <f>IFERROR(BC207/BD207,0)</f>
        <v>0</v>
      </c>
      <c r="BH207" s="436"/>
    </row>
    <row r="208" spans="1:60" s="38" customFormat="1" ht="15" customHeight="1">
      <c r="A208" s="68">
        <v>2</v>
      </c>
      <c r="B208" s="346" t="s">
        <v>193</v>
      </c>
      <c r="C208" s="346" t="s">
        <v>79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/>
      <c r="L208" s="100"/>
      <c r="M208" s="1158">
        <f>E208+F208+H208-I208-L208+G208-K208</f>
        <v>0</v>
      </c>
      <c r="N208" s="100"/>
      <c r="O208" s="1159">
        <f t="shared" si="76"/>
        <v>0</v>
      </c>
      <c r="P208" s="805"/>
      <c r="Q208" s="805"/>
      <c r="R208" s="804">
        <f>O208/INTGRATE!$N$293</f>
        <v>0</v>
      </c>
      <c r="S208" s="665">
        <f t="shared" si="77"/>
        <v>0</v>
      </c>
      <c r="T208" s="592"/>
      <c r="U208" s="141"/>
      <c r="V208" s="840" t="str">
        <f t="shared" si="75"/>
        <v>GD04silo</v>
      </c>
      <c r="W208" s="823">
        <v>127000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/>
      <c r="AH208" s="100">
        <v>0</v>
      </c>
      <c r="AI208" s="100">
        <v>0</v>
      </c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si="78"/>
        <v>0</v>
      </c>
      <c r="BD208" s="786">
        <f t="shared" ref="BD208" si="79">COUNTIF(X208:BB208,"&gt;0")</f>
        <v>0</v>
      </c>
      <c r="BE208" s="786">
        <f t="shared" ref="BE208" si="80">IFERROR(BC208/BD208,0)</f>
        <v>0</v>
      </c>
      <c r="BH208" s="436"/>
    </row>
    <row r="209" spans="1:60" s="38" customFormat="1" ht="15" customHeight="1">
      <c r="A209" s="68">
        <v>3</v>
      </c>
      <c r="B209" s="346" t="s">
        <v>194</v>
      </c>
      <c r="C209" s="346" t="s">
        <v>51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v>0</v>
      </c>
      <c r="L209" s="100">
        <f>SUMIF(CBOUT!$A:$A,BRAN!$V:$V,CBOUT!$G:$G)</f>
        <v>0</v>
      </c>
      <c r="M209" s="1158">
        <v>0</v>
      </c>
      <c r="N209" s="100">
        <f t="shared" ref="N209:N211" si="81">M209*25</f>
        <v>0</v>
      </c>
      <c r="O209" s="1159">
        <f t="shared" si="76"/>
        <v>0</v>
      </c>
      <c r="P209" s="805"/>
      <c r="Q209" s="805"/>
      <c r="R209" s="804">
        <f>O209/INTGRATE!$N$293</f>
        <v>0</v>
      </c>
      <c r="S209" s="665">
        <f t="shared" si="77"/>
        <v>0</v>
      </c>
      <c r="T209" s="592"/>
      <c r="U209" s="141"/>
      <c r="V209" s="840" t="str">
        <f t="shared" si="75"/>
        <v>GD12silo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/>
      <c r="AH209" s="100">
        <v>0</v>
      </c>
      <c r="AI209" s="100">
        <v>0</v>
      </c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ref="BC209:BC273" si="82">SUM(X209:BB209)</f>
        <v>0</v>
      </c>
      <c r="BD209" s="786">
        <f t="shared" ref="BD209:BD273" si="83">COUNTIF(X209:BB209,"&gt;0")</f>
        <v>0</v>
      </c>
      <c r="BE209" s="786">
        <f t="shared" ref="BE209:BE273" si="84">IFERROR(BC209/BD209,0)</f>
        <v>0</v>
      </c>
      <c r="BH209" s="436"/>
    </row>
    <row r="210" spans="1:60" s="38" customFormat="1" ht="15" customHeight="1">
      <c r="A210" s="68">
        <v>4</v>
      </c>
      <c r="B210" s="346" t="s">
        <v>195</v>
      </c>
      <c r="C210" s="346" t="s">
        <v>132</v>
      </c>
      <c r="D210" s="526" t="s">
        <v>58</v>
      </c>
      <c r="E210" s="1158">
        <v>0</v>
      </c>
      <c r="F210" s="100">
        <f>+J210</f>
        <v>0</v>
      </c>
      <c r="G210" s="100"/>
      <c r="H210" s="100"/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81"/>
        <v>0</v>
      </c>
      <c r="O210" s="1159">
        <f t="shared" si="76"/>
        <v>0</v>
      </c>
      <c r="P210" s="805"/>
      <c r="Q210" s="805"/>
      <c r="R210" s="804">
        <f>O210/INTGRATE!$N$293</f>
        <v>0</v>
      </c>
      <c r="S210" s="665">
        <f t="shared" si="77"/>
        <v>0</v>
      </c>
      <c r="T210" s="592"/>
      <c r="U210" s="141"/>
      <c r="V210" s="840" t="str">
        <f t="shared" si="75"/>
        <v>GD11silo</v>
      </c>
      <c r="W210" s="823">
        <v>122001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100"/>
      <c r="AH210" s="100">
        <v>0</v>
      </c>
      <c r="AI210" s="100">
        <v>0</v>
      </c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82"/>
        <v>0</v>
      </c>
      <c r="BD210" s="786">
        <f t="shared" si="83"/>
        <v>0</v>
      </c>
      <c r="BE210" s="786">
        <f t="shared" si="84"/>
        <v>0</v>
      </c>
      <c r="BH210" s="436"/>
    </row>
    <row r="211" spans="1:60" s="38" customFormat="1" ht="15" customHeight="1">
      <c r="A211" s="68">
        <v>5</v>
      </c>
      <c r="B211" s="346" t="s">
        <v>196</v>
      </c>
      <c r="C211" s="346" t="s">
        <v>51</v>
      </c>
      <c r="D211" s="526" t="s">
        <v>58</v>
      </c>
      <c r="E211" s="1158">
        <v>0</v>
      </c>
      <c r="F211" s="100">
        <f>+J211</f>
        <v>0</v>
      </c>
      <c r="G211" s="100"/>
      <c r="H211" s="100">
        <f>SUMIF(CBIN!$A:$A,BRAN!$V:$V,CBIN!$G:$G)</f>
        <v>0</v>
      </c>
      <c r="I211" s="100">
        <f>SUMIF(data!$D:$D,$B211&amp;$D211,data!$J:$J)</f>
        <v>0</v>
      </c>
      <c r="J211" s="100">
        <f>SUMIF(data!$D:$D,$B211&amp;$D211,data!$K:$K)</f>
        <v>0</v>
      </c>
      <c r="K211" s="100">
        <f>SUMIF(AJOUT!$A:$A,BRAN!$V:$V,AJOUT!$L:$L)</f>
        <v>0</v>
      </c>
      <c r="L211" s="100">
        <f>SUMIF(CBOUT!$A:$A,BRAN!$V:$V,CBOUT!$G:$G)</f>
        <v>0</v>
      </c>
      <c r="M211" s="1158">
        <v>0</v>
      </c>
      <c r="N211" s="100">
        <f t="shared" si="81"/>
        <v>0</v>
      </c>
      <c r="O211" s="1159">
        <f t="shared" si="76"/>
        <v>0</v>
      </c>
      <c r="P211" s="805"/>
      <c r="Q211" s="805"/>
      <c r="R211" s="804">
        <f>O211/INTGRATE!$N$293</f>
        <v>0</v>
      </c>
      <c r="S211" s="665">
        <f t="shared" si="77"/>
        <v>0</v>
      </c>
      <c r="T211" s="592"/>
      <c r="U211" s="141"/>
      <c r="V211" s="840" t="str">
        <f t="shared" si="75"/>
        <v>GD14silo</v>
      </c>
      <c r="W211" s="823">
        <v>127001</v>
      </c>
      <c r="X211" s="387"/>
      <c r="Y211" s="387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100"/>
      <c r="AH211" s="100">
        <v>0</v>
      </c>
      <c r="AI211" s="100">
        <v>0</v>
      </c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82"/>
        <v>0</v>
      </c>
      <c r="BD211" s="786">
        <f t="shared" si="83"/>
        <v>0</v>
      </c>
      <c r="BE211" s="786">
        <f t="shared" si="84"/>
        <v>0</v>
      </c>
      <c r="BH211" s="436"/>
    </row>
    <row r="212" spans="1:60" s="38" customFormat="1" ht="15" customHeight="1">
      <c r="A212" s="68">
        <v>6</v>
      </c>
      <c r="B212" s="346" t="s">
        <v>196</v>
      </c>
      <c r="C212" s="346" t="s">
        <v>51</v>
      </c>
      <c r="D212" s="526">
        <v>25</v>
      </c>
      <c r="E212" s="1158">
        <v>1027</v>
      </c>
      <c r="F212" s="100">
        <f>SUMIF(pro!$A:$A,$V:$V,pro!$N:$N)</f>
        <v>3631</v>
      </c>
      <c r="G212" s="100"/>
      <c r="H212" s="100">
        <f>SUMIF(CBIN!$A:$A,BRAN!$V:$V,CBIN!$G:$G)</f>
        <v>0</v>
      </c>
      <c r="I212" s="100">
        <f>SUMIF(data!$D:$D,$B212&amp;$D212,data!$J:$J)</f>
        <v>300</v>
      </c>
      <c r="J212" s="100">
        <f>SUMIF(data!$D:$D,$B212&amp;$D212,data!$K:$K)</f>
        <v>7500</v>
      </c>
      <c r="K212" s="100">
        <f>SUMIF(AJOUT!$A:$A,BRAN!$V:$V,AJOUT!$L:$L)</f>
        <v>0</v>
      </c>
      <c r="L212" s="100">
        <f>SUMIF(CBOUT!$A:$A,BRAN!$V:$V,CBOUT!$G:$G)</f>
        <v>0</v>
      </c>
      <c r="M212" s="1158">
        <f>E212+F212+H212-I212-L212+G212-K212</f>
        <v>4358</v>
      </c>
      <c r="N212" s="100">
        <f>+M212*D212</f>
        <v>108950</v>
      </c>
      <c r="O212" s="1159">
        <f t="shared" si="76"/>
        <v>96225</v>
      </c>
      <c r="P212" s="805"/>
      <c r="Q212" s="805"/>
      <c r="R212" s="804">
        <f>O212/INTGRATE!$N$293</f>
        <v>8747.7272727272721</v>
      </c>
      <c r="S212" s="665">
        <f t="shared" si="77"/>
        <v>12.454663548973761</v>
      </c>
      <c r="T212" s="592"/>
      <c r="U212" s="141"/>
      <c r="V212" s="840" t="str">
        <f t="shared" si="75"/>
        <v>GD1425</v>
      </c>
      <c r="W212" s="823">
        <v>127001</v>
      </c>
      <c r="X212" s="387"/>
      <c r="Y212" s="387">
        <v>18875</v>
      </c>
      <c r="Z212" s="100">
        <v>0</v>
      </c>
      <c r="AA212" s="100">
        <v>0</v>
      </c>
      <c r="AB212" s="100">
        <v>0</v>
      </c>
      <c r="AC212" s="100">
        <v>3250</v>
      </c>
      <c r="AD212" s="100">
        <v>23500</v>
      </c>
      <c r="AE212" s="100">
        <v>7500</v>
      </c>
      <c r="AF212" s="100">
        <v>25</v>
      </c>
      <c r="AG212" s="100"/>
      <c r="AH212" s="100">
        <v>35575</v>
      </c>
      <c r="AI212" s="100">
        <v>7500</v>
      </c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82"/>
        <v>96225</v>
      </c>
      <c r="BD212" s="786">
        <f t="shared" si="83"/>
        <v>7</v>
      </c>
      <c r="BE212" s="786">
        <f t="shared" si="84"/>
        <v>13746.428571428571</v>
      </c>
      <c r="BH212" s="436"/>
    </row>
    <row r="213" spans="1:60" s="38" customFormat="1" ht="15" customHeight="1">
      <c r="A213" s="68">
        <v>7</v>
      </c>
      <c r="B213" s="346" t="s">
        <v>197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f>SUMIF(AJOUT!$A:$A,BRAN!$V:$V,AJOUT!$L:$L)</f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si="77"/>
        <v>0</v>
      </c>
      <c r="T213" s="592"/>
      <c r="U213" s="141"/>
      <c r="V213" s="840" t="str">
        <f t="shared" si="75"/>
        <v>GD14Asilo</v>
      </c>
      <c r="W213" s="823">
        <v>127061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100"/>
      <c r="AH213" s="100">
        <v>0</v>
      </c>
      <c r="AI213" s="100">
        <v>0</v>
      </c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82"/>
        <v>0</v>
      </c>
      <c r="BD213" s="786">
        <f t="shared" si="83"/>
        <v>0</v>
      </c>
      <c r="BE213" s="786">
        <f t="shared" si="84"/>
        <v>0</v>
      </c>
      <c r="BH213" s="436"/>
    </row>
    <row r="214" spans="1:60" s="38" customFormat="1" ht="15" customHeight="1">
      <c r="A214" s="68">
        <v>8</v>
      </c>
      <c r="B214" s="346" t="s">
        <v>198</v>
      </c>
      <c r="C214" s="346" t="s">
        <v>64</v>
      </c>
      <c r="D214" s="526" t="s">
        <v>58</v>
      </c>
      <c r="E214" s="1158"/>
      <c r="F214" s="100">
        <f>+J214</f>
        <v>0</v>
      </c>
      <c r="G214" s="100"/>
      <c r="H214" s="100"/>
      <c r="I214" s="100"/>
      <c r="J214" s="100">
        <f>SUMIF(data!$D:$D,$B214&amp;$D214,data!$K:$K)</f>
        <v>0</v>
      </c>
      <c r="K214" s="100">
        <v>0</v>
      </c>
      <c r="L214" s="100">
        <f>SUMIF(CBOUT!$A:$A,BRAN!$V:$V,CBOUT!$G:$G)</f>
        <v>0</v>
      </c>
      <c r="M214" s="1158"/>
      <c r="N214" s="100"/>
      <c r="O214" s="1159">
        <f>SUM(X214:BB214)</f>
        <v>0</v>
      </c>
      <c r="P214" s="805"/>
      <c r="Q214" s="805"/>
      <c r="R214" s="804">
        <f>O214/INTGRATE!$N$293</f>
        <v>0</v>
      </c>
      <c r="S214" s="665">
        <f t="shared" ref="S214" si="85">IF(R214=0,0,N214/R214)</f>
        <v>0</v>
      </c>
      <c r="T214" s="592"/>
      <c r="U214" s="141"/>
      <c r="V214" s="840" t="str">
        <f t="shared" si="75"/>
        <v>GD14APsilo</v>
      </c>
      <c r="W214" s="823">
        <v>12706832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100"/>
      <c r="AH214" s="100">
        <v>0</v>
      </c>
      <c r="AI214" s="100">
        <v>0</v>
      </c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82"/>
        <v>0</v>
      </c>
      <c r="BD214" s="786">
        <f t="shared" si="83"/>
        <v>0</v>
      </c>
      <c r="BE214" s="786">
        <f t="shared" si="84"/>
        <v>0</v>
      </c>
      <c r="BH214" s="436"/>
    </row>
    <row r="215" spans="1:60" s="38" customFormat="1" ht="15" customHeight="1">
      <c r="A215" s="68">
        <v>9</v>
      </c>
      <c r="B215" s="346" t="s">
        <v>199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>
        <f>SUMIF(CBOUT!$A:$A,BRAN!$V:$V,CBOUT!$G:$G)</f>
        <v>0</v>
      </c>
      <c r="M215" s="1158">
        <f>E215+F215+H215-I215-L215+G215-K215</f>
        <v>0</v>
      </c>
      <c r="N215" s="100">
        <f t="shared" ref="N215:N276" si="86">+M215*D215</f>
        <v>0</v>
      </c>
      <c r="O215" s="1159">
        <f>SUM(X215:BB215)</f>
        <v>0</v>
      </c>
      <c r="P215" s="805"/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5"/>
        <v>GD14P25</v>
      </c>
      <c r="W215" s="823">
        <v>127008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100"/>
      <c r="AH215" s="100">
        <v>0</v>
      </c>
      <c r="AI215" s="100">
        <v>0</v>
      </c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82"/>
        <v>0</v>
      </c>
      <c r="BD215" s="786">
        <f t="shared" si="83"/>
        <v>0</v>
      </c>
      <c r="BE215" s="786">
        <f t="shared" si="84"/>
        <v>0</v>
      </c>
      <c r="BH215" s="436"/>
    </row>
    <row r="216" spans="1:60" s="38" customFormat="1" ht="15" customHeight="1">
      <c r="A216" s="68">
        <v>10</v>
      </c>
      <c r="B216" s="346" t="s">
        <v>200</v>
      </c>
      <c r="C216" s="346" t="s">
        <v>51</v>
      </c>
      <c r="D216" s="526">
        <v>25</v>
      </c>
      <c r="E216" s="1158">
        <v>0</v>
      </c>
      <c r="F216" s="100">
        <f>SUMIF(pro!$A:$A,$V:$V,pro!$N:$N)</f>
        <v>0</v>
      </c>
      <c r="G216" s="100"/>
      <c r="H216" s="100"/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/>
      <c r="M216" s="1158">
        <f>E216+F216+H216-I216-L216+G216-K216</f>
        <v>0</v>
      </c>
      <c r="N216" s="100">
        <f t="shared" si="86"/>
        <v>0</v>
      </c>
      <c r="O216" s="1159">
        <f>SUM(X216:BB216)</f>
        <v>0</v>
      </c>
      <c r="P216" s="805" t="s">
        <v>201</v>
      </c>
      <c r="Q216" s="805"/>
      <c r="R216" s="804">
        <f>O216/INTGRATE!$N$293</f>
        <v>0</v>
      </c>
      <c r="S216" s="665">
        <f>IF(R216=0,0,N216/R216)</f>
        <v>0</v>
      </c>
      <c r="T216" s="592"/>
      <c r="U216" s="141"/>
      <c r="V216" s="840" t="str">
        <f t="shared" si="75"/>
        <v>GD1525</v>
      </c>
      <c r="W216" s="823">
        <v>128001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100"/>
      <c r="AH216" s="100">
        <v>0</v>
      </c>
      <c r="AI216" s="100">
        <v>0</v>
      </c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82"/>
        <v>0</v>
      </c>
      <c r="BD216" s="786">
        <f t="shared" si="83"/>
        <v>0</v>
      </c>
      <c r="BE216" s="786">
        <f t="shared" si="84"/>
        <v>0</v>
      </c>
      <c r="BH216" s="436"/>
    </row>
    <row r="217" spans="1:60" s="38" customFormat="1" ht="15" customHeight="1">
      <c r="A217" s="68">
        <v>11</v>
      </c>
      <c r="B217" s="346" t="s">
        <v>202</v>
      </c>
      <c r="C217" s="346" t="s">
        <v>79</v>
      </c>
      <c r="D217" s="526" t="s">
        <v>58</v>
      </c>
      <c r="E217" s="1158">
        <v>0</v>
      </c>
      <c r="F217" s="100">
        <f>+J217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0</v>
      </c>
      <c r="N217" s="100"/>
      <c r="O217" s="1159">
        <f t="shared" si="76"/>
        <v>0</v>
      </c>
      <c r="P217" s="805">
        <f>+N246+N247+N224+N225+N231+N232</f>
        <v>24100</v>
      </c>
      <c r="Q217" s="805">
        <f>+O246+O247+O224+O225+O231+O232</f>
        <v>32500</v>
      </c>
      <c r="R217" s="804">
        <f>O217/INTGRATE!$N$293</f>
        <v>0</v>
      </c>
      <c r="S217" s="665">
        <f t="shared" ref="S217:S276" si="87">IF(R217=0,0,N217/R217)</f>
        <v>0</v>
      </c>
      <c r="T217" s="592"/>
      <c r="U217" s="141"/>
      <c r="V217" s="840" t="str">
        <f t="shared" si="75"/>
        <v>GD04Asilo</v>
      </c>
      <c r="W217" s="823">
        <v>127060</v>
      </c>
      <c r="X217" s="387"/>
      <c r="Y217" s="387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100"/>
      <c r="AH217" s="100">
        <v>0</v>
      </c>
      <c r="AI217" s="100">
        <v>0</v>
      </c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82"/>
        <v>0</v>
      </c>
      <c r="BD217" s="786">
        <f t="shared" si="83"/>
        <v>0</v>
      </c>
      <c r="BE217" s="786">
        <f t="shared" si="84"/>
        <v>0</v>
      </c>
      <c r="BH217" s="436"/>
    </row>
    <row r="218" spans="1:60" s="38" customFormat="1" ht="15" customHeight="1">
      <c r="A218" s="68">
        <v>12</v>
      </c>
      <c r="B218" s="609" t="s">
        <v>203</v>
      </c>
      <c r="C218" s="609" t="s">
        <v>61</v>
      </c>
      <c r="D218" s="610">
        <v>25</v>
      </c>
      <c r="E218" s="1158">
        <v>223</v>
      </c>
      <c r="F218" s="100">
        <f>SUMIF(pro!$A:$A,$V:$V,pro!$N:$N)</f>
        <v>0</v>
      </c>
      <c r="G218" s="100"/>
      <c r="H218" s="100">
        <f>SUMIF(CBIN!$A:$A,BRAN!$V:$V,CBIN!$G:$G)</f>
        <v>0</v>
      </c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f>E218+F218+H218-I218-L218+G218-K218</f>
        <v>223</v>
      </c>
      <c r="N218" s="100">
        <f t="shared" si="86"/>
        <v>5575</v>
      </c>
      <c r="O218" s="1159">
        <f t="shared" si="76"/>
        <v>1750</v>
      </c>
      <c r="P218" s="805"/>
      <c r="Q218" s="805"/>
      <c r="R218" s="804">
        <f>O218/INTGRATE!$N$293</f>
        <v>159.09090909090909</v>
      </c>
      <c r="S218" s="665">
        <f t="shared" si="87"/>
        <v>35.042857142857144</v>
      </c>
      <c r="T218" s="403"/>
      <c r="U218" s="141"/>
      <c r="V218" s="840" t="str">
        <f t="shared" si="75"/>
        <v>GT1125</v>
      </c>
      <c r="W218" s="823">
        <v>112601</v>
      </c>
      <c r="X218" s="387"/>
      <c r="Y218" s="387">
        <v>0</v>
      </c>
      <c r="Z218" s="100">
        <v>1250</v>
      </c>
      <c r="AA218" s="100">
        <v>0</v>
      </c>
      <c r="AB218" s="100">
        <v>0</v>
      </c>
      <c r="AC218" s="100">
        <v>500</v>
      </c>
      <c r="AD218" s="100">
        <v>0</v>
      </c>
      <c r="AE218" s="100">
        <v>0</v>
      </c>
      <c r="AF218" s="100">
        <v>0</v>
      </c>
      <c r="AG218" s="100"/>
      <c r="AH218" s="100">
        <v>0</v>
      </c>
      <c r="AI218" s="100">
        <v>0</v>
      </c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82"/>
        <v>1750</v>
      </c>
      <c r="BD218" s="786">
        <f t="shared" si="83"/>
        <v>2</v>
      </c>
      <c r="BE218" s="786">
        <f t="shared" si="84"/>
        <v>875</v>
      </c>
      <c r="BH218" s="436"/>
    </row>
    <row r="219" spans="1:60" s="38" customFormat="1" ht="15" customHeight="1">
      <c r="A219" s="68">
        <v>13</v>
      </c>
      <c r="B219" s="609" t="s">
        <v>203</v>
      </c>
      <c r="C219" s="609" t="s">
        <v>61</v>
      </c>
      <c r="D219" s="610" t="s">
        <v>66</v>
      </c>
      <c r="E219" s="1158">
        <v>0</v>
      </c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>
        <f>SUMIF(AJOUT!$A:$A,BRAN!$V:$V,AJOUT!$L:$L)</f>
        <v>0</v>
      </c>
      <c r="L219" s="100">
        <f>SUMIF(CBOUT!$A:$A,BRAN!$V:$V,CBOUT!$G:$G)</f>
        <v>0</v>
      </c>
      <c r="M219" s="1158">
        <v>0</v>
      </c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5"/>
        <v>GT11SILO</v>
      </c>
      <c r="W219" s="823">
        <v>112601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100"/>
      <c r="AH219" s="100">
        <v>0</v>
      </c>
      <c r="AI219" s="100">
        <v>0</v>
      </c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82"/>
        <v>0</v>
      </c>
      <c r="BD219" s="786">
        <f t="shared" si="83"/>
        <v>0</v>
      </c>
      <c r="BE219" s="786">
        <f t="shared" si="84"/>
        <v>0</v>
      </c>
      <c r="BH219" s="436"/>
    </row>
    <row r="220" spans="1:60" s="38" customFormat="1" ht="15" customHeight="1">
      <c r="A220" s="68">
        <v>14</v>
      </c>
      <c r="B220" s="609" t="s">
        <v>204</v>
      </c>
      <c r="C220" s="609" t="s">
        <v>51</v>
      </c>
      <c r="D220" s="610" t="s">
        <v>66</v>
      </c>
      <c r="E220" s="1158"/>
      <c r="F220" s="100">
        <f>+J220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/>
      <c r="L220" s="100"/>
      <c r="M220" s="1158"/>
      <c r="N220" s="100"/>
      <c r="O220" s="1159">
        <f>SUM(X220:BB220)</f>
        <v>0</v>
      </c>
      <c r="P220" s="805"/>
      <c r="Q220" s="805"/>
      <c r="R220" s="804">
        <f>O220/INTGRATE!$N$293</f>
        <v>0</v>
      </c>
      <c r="S220" s="665">
        <f>IF(R220=0,0,N220/R220)</f>
        <v>0</v>
      </c>
      <c r="T220" s="403"/>
      <c r="U220" s="141"/>
      <c r="V220" s="840" t="str">
        <f t="shared" si="75"/>
        <v>GT11SSILO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100"/>
      <c r="AH220" s="100">
        <v>0</v>
      </c>
      <c r="AI220" s="100">
        <v>0</v>
      </c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82"/>
        <v>0</v>
      </c>
      <c r="BD220" s="786">
        <f t="shared" si="83"/>
        <v>0</v>
      </c>
      <c r="BE220" s="786">
        <f t="shared" si="84"/>
        <v>0</v>
      </c>
      <c r="BH220" s="436"/>
    </row>
    <row r="221" spans="1:60" s="38" customFormat="1" ht="15" customHeight="1">
      <c r="A221" s="68">
        <v>15</v>
      </c>
      <c r="B221" s="609" t="s">
        <v>204</v>
      </c>
      <c r="C221" s="609" t="s">
        <v>51</v>
      </c>
      <c r="D221" s="610">
        <v>25</v>
      </c>
      <c r="E221" s="1158">
        <v>575</v>
      </c>
      <c r="F221" s="100">
        <f>SUMIF(pro!$A:$A,$V:$V,pro!$N:$N)</f>
        <v>0</v>
      </c>
      <c r="G221" s="100"/>
      <c r="H221" s="100"/>
      <c r="I221" s="100">
        <f>SUMIF(data!$D:$D,$B221&amp;$D221,data!$J:$J)</f>
        <v>360</v>
      </c>
      <c r="J221" s="100">
        <f>SUMIF(data!$D:$D,$B221&amp;$D221,data!$K:$K)</f>
        <v>9000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215</v>
      </c>
      <c r="N221" s="100">
        <f t="shared" si="86"/>
        <v>5375</v>
      </c>
      <c r="O221" s="1159">
        <f>SUM(X221:BB221)</f>
        <v>17550</v>
      </c>
      <c r="P221" s="805"/>
      <c r="Q221" s="805"/>
      <c r="R221" s="804">
        <f>O221/INTGRATE!$N$293</f>
        <v>1595.4545454545455</v>
      </c>
      <c r="S221" s="665">
        <f>IF(R221=0,0,N221/R221)</f>
        <v>3.3689458689458687</v>
      </c>
      <c r="T221" s="403"/>
      <c r="U221" s="141"/>
      <c r="V221" s="840" t="str">
        <f t="shared" si="75"/>
        <v>GT11S25</v>
      </c>
      <c r="W221" s="823">
        <v>114301</v>
      </c>
      <c r="X221" s="387"/>
      <c r="Y221" s="387">
        <v>0</v>
      </c>
      <c r="Z221" s="100">
        <v>0</v>
      </c>
      <c r="AA221" s="100">
        <v>0</v>
      </c>
      <c r="AB221" s="100">
        <v>4300</v>
      </c>
      <c r="AC221" s="100">
        <v>0</v>
      </c>
      <c r="AD221" s="100">
        <v>0</v>
      </c>
      <c r="AE221" s="100">
        <v>4250</v>
      </c>
      <c r="AF221" s="100">
        <v>0</v>
      </c>
      <c r="AG221" s="100"/>
      <c r="AH221" s="100">
        <v>0</v>
      </c>
      <c r="AI221" s="100">
        <v>9000</v>
      </c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82"/>
        <v>17550</v>
      </c>
      <c r="BD221" s="786">
        <f t="shared" si="83"/>
        <v>3</v>
      </c>
      <c r="BE221" s="786">
        <f t="shared" si="84"/>
        <v>5850</v>
      </c>
      <c r="BH221" s="436"/>
    </row>
    <row r="222" spans="1:60" s="38" customFormat="1" ht="15" customHeight="1">
      <c r="A222" s="68">
        <v>16</v>
      </c>
      <c r="B222" s="609" t="s">
        <v>205</v>
      </c>
      <c r="C222" s="609" t="s">
        <v>64</v>
      </c>
      <c r="D222" s="610">
        <v>25</v>
      </c>
      <c r="E222" s="1158">
        <v>1285</v>
      </c>
      <c r="F222" s="100">
        <f>SUMIF(pro!$A:$A,$V:$V,pro!$N:$N)</f>
        <v>0</v>
      </c>
      <c r="G222" s="100"/>
      <c r="H222" s="100">
        <f>SUMIF(CBIN!$A:$A,BRAN!$V:$V,CBIN!$G:$G)</f>
        <v>0</v>
      </c>
      <c r="I222" s="100">
        <f>SUMIF(data!$D:$D,$B222&amp;$D222,data!$J:$J)</f>
        <v>0</v>
      </c>
      <c r="J222" s="100">
        <f>SUMIF(data!$D:$D,$B222&amp;$D222,data!$K:$K)</f>
        <v>0</v>
      </c>
      <c r="K222" s="100">
        <f>SUMIF(AJOUT!$A:$A,BRAN!$V:$V,AJOUT!$L:$L)</f>
        <v>0</v>
      </c>
      <c r="L222" s="100">
        <f>SUMIF(CBOUT!$A:$A,BRAN!$V:$V,CBOUT!$G:$G)</f>
        <v>0</v>
      </c>
      <c r="M222" s="1158">
        <f>E222+F222+H222-I222-L222+G222-K222</f>
        <v>1285</v>
      </c>
      <c r="N222" s="100">
        <f t="shared" si="86"/>
        <v>32125</v>
      </c>
      <c r="O222" s="1159">
        <f t="shared" si="76"/>
        <v>0</v>
      </c>
      <c r="P222" s="805"/>
      <c r="Q222" s="805"/>
      <c r="R222" s="804">
        <f>O222/INTGRATE!$N$293</f>
        <v>0</v>
      </c>
      <c r="S222" s="665">
        <f t="shared" si="87"/>
        <v>0</v>
      </c>
      <c r="T222" s="549"/>
      <c r="U222" s="141"/>
      <c r="V222" s="840" t="str">
        <f t="shared" si="75"/>
        <v>GT1225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0</v>
      </c>
      <c r="AC222" s="100">
        <v>0</v>
      </c>
      <c r="AD222" s="100">
        <v>0</v>
      </c>
      <c r="AE222" s="100">
        <v>0</v>
      </c>
      <c r="AF222" s="100">
        <v>0</v>
      </c>
      <c r="AG222" s="100"/>
      <c r="AH222" s="100">
        <v>0</v>
      </c>
      <c r="AI222" s="100">
        <v>0</v>
      </c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82"/>
        <v>0</v>
      </c>
      <c r="BD222" s="786">
        <f t="shared" si="83"/>
        <v>0</v>
      </c>
      <c r="BE222" s="786">
        <f t="shared" si="84"/>
        <v>0</v>
      </c>
      <c r="BH222" s="436"/>
    </row>
    <row r="223" spans="1:60" s="38" customFormat="1" ht="15" customHeight="1">
      <c r="A223" s="68">
        <v>17</v>
      </c>
      <c r="B223" s="609" t="s">
        <v>205</v>
      </c>
      <c r="C223" s="609" t="s">
        <v>64</v>
      </c>
      <c r="D223" s="610" t="s">
        <v>58</v>
      </c>
      <c r="E223" s="1158">
        <v>0</v>
      </c>
      <c r="F223" s="100">
        <f>+J223</f>
        <v>0</v>
      </c>
      <c r="G223" s="100"/>
      <c r="H223" s="100"/>
      <c r="I223" s="100">
        <f>SUMIF(data!$D:$D,$B223&amp;$D223,data!$J:$J)</f>
        <v>0</v>
      </c>
      <c r="J223" s="100">
        <f>SUMIF(data!$D:$D,$B223&amp;$D223,data!$K:$K)</f>
        <v>0</v>
      </c>
      <c r="K223" s="100">
        <v>0</v>
      </c>
      <c r="L223" s="100">
        <v>0</v>
      </c>
      <c r="M223" s="1158">
        <v>0</v>
      </c>
      <c r="N223" s="100"/>
      <c r="O223" s="1159">
        <f t="shared" si="76"/>
        <v>15000</v>
      </c>
      <c r="P223" s="805"/>
      <c r="Q223" s="805"/>
      <c r="R223" s="804">
        <f>O223/INTGRATE!$N$293</f>
        <v>1363.6363636363637</v>
      </c>
      <c r="S223" s="665">
        <f>IF(R223=0,0,N223/R223)</f>
        <v>0</v>
      </c>
      <c r="T223" s="403"/>
      <c r="U223" s="141"/>
      <c r="V223" s="840" t="str">
        <f t="shared" ref="V223:V232" si="88">B223&amp;D223</f>
        <v>GT12silo</v>
      </c>
      <c r="W223" s="823">
        <v>114601</v>
      </c>
      <c r="X223" s="387"/>
      <c r="Y223" s="387">
        <v>0</v>
      </c>
      <c r="Z223" s="100">
        <v>0</v>
      </c>
      <c r="AA223" s="100">
        <v>0</v>
      </c>
      <c r="AB223" s="100">
        <v>15000</v>
      </c>
      <c r="AC223" s="100">
        <v>0</v>
      </c>
      <c r="AD223" s="100">
        <v>0</v>
      </c>
      <c r="AE223" s="100">
        <v>0</v>
      </c>
      <c r="AF223" s="100">
        <v>0</v>
      </c>
      <c r="AG223" s="100"/>
      <c r="AH223" s="100">
        <v>0</v>
      </c>
      <c r="AI223" s="100">
        <v>0</v>
      </c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82"/>
        <v>15000</v>
      </c>
      <c r="BD223" s="786">
        <f t="shared" si="83"/>
        <v>1</v>
      </c>
      <c r="BE223" s="786">
        <f t="shared" si="84"/>
        <v>15000</v>
      </c>
      <c r="BH223" s="436"/>
    </row>
    <row r="224" spans="1:60" s="38" customFormat="1" ht="15" customHeight="1">
      <c r="A224" s="68">
        <v>18</v>
      </c>
      <c r="B224" s="609" t="s">
        <v>206</v>
      </c>
      <c r="C224" s="609" t="s">
        <v>55</v>
      </c>
      <c r="D224" s="610">
        <v>25</v>
      </c>
      <c r="E224" s="1158">
        <v>58</v>
      </c>
      <c r="F224" s="100">
        <f>SUMIF(pro!$A:$A,$V:$V,pro!$N:$N)</f>
        <v>0</v>
      </c>
      <c r="G224" s="100"/>
      <c r="H224" s="100">
        <f>SUMIF(CBIN!$A:$A,BRAN!$V:$V,CBIN!$G:$G)</f>
        <v>0</v>
      </c>
      <c r="I224" s="100">
        <f>SUMIF(data!$D:$D,$B224&amp;$D224,data!$J:$J)</f>
        <v>20</v>
      </c>
      <c r="J224" s="100">
        <f>SUMIF(data!$D:$D,$B224&amp;$D224,data!$K:$K)</f>
        <v>500</v>
      </c>
      <c r="K224" s="100">
        <f>SUMIF(AJOUT!$A:$A,BRAN!$V:$V,AJOUT!$L:$L)</f>
        <v>0</v>
      </c>
      <c r="L224" s="100">
        <f>SUMIF(CBOUT!$A:$A,BRAN!$V:$V,CBOUT!$G:$G)</f>
        <v>0</v>
      </c>
      <c r="M224" s="1158">
        <f t="shared" ref="M224:M251" si="89">E224+F224+H224-I224-L224+G224-K224</f>
        <v>38</v>
      </c>
      <c r="N224" s="100">
        <f t="shared" si="86"/>
        <v>950</v>
      </c>
      <c r="O224" s="1159">
        <f t="shared" si="76"/>
        <v>6450</v>
      </c>
      <c r="P224" s="805"/>
      <c r="Q224" s="805"/>
      <c r="R224" s="804">
        <f>O224/INTGRATE!$N$293</f>
        <v>586.36363636363637</v>
      </c>
      <c r="S224" s="665">
        <f t="shared" si="87"/>
        <v>1.6201550387596899</v>
      </c>
      <c r="T224" s="403"/>
      <c r="U224" s="141"/>
      <c r="V224" s="840" t="str">
        <f t="shared" si="88"/>
        <v>GT12B25</v>
      </c>
      <c r="W224" s="823" t="s">
        <v>140</v>
      </c>
      <c r="X224" s="387"/>
      <c r="Y224" s="387">
        <v>0</v>
      </c>
      <c r="Z224" s="100">
        <v>450</v>
      </c>
      <c r="AA224" s="100">
        <v>0</v>
      </c>
      <c r="AB224" s="100">
        <v>0</v>
      </c>
      <c r="AC224" s="100">
        <v>750</v>
      </c>
      <c r="AD224" s="100">
        <v>0</v>
      </c>
      <c r="AE224" s="100">
        <v>0</v>
      </c>
      <c r="AF224" s="100">
        <v>4750</v>
      </c>
      <c r="AG224" s="100"/>
      <c r="AH224" s="100">
        <v>0</v>
      </c>
      <c r="AI224" s="100">
        <v>500</v>
      </c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82"/>
        <v>6450</v>
      </c>
      <c r="BD224" s="786">
        <f t="shared" si="83"/>
        <v>4</v>
      </c>
      <c r="BE224" s="786">
        <f t="shared" si="84"/>
        <v>1612.5</v>
      </c>
      <c r="BH224" s="436"/>
    </row>
    <row r="225" spans="1:60" s="38" customFormat="1" ht="15" customHeight="1">
      <c r="A225" s="68">
        <v>19</v>
      </c>
      <c r="B225" s="609" t="s">
        <v>206</v>
      </c>
      <c r="C225" s="609" t="s">
        <v>55</v>
      </c>
      <c r="D225" s="610" t="s">
        <v>58</v>
      </c>
      <c r="E225" s="1158"/>
      <c r="F225" s="100">
        <f>+J225</f>
        <v>0</v>
      </c>
      <c r="G225" s="100"/>
      <c r="H225" s="100"/>
      <c r="I225" s="100"/>
      <c r="J225" s="100">
        <f>SUMIF(data!$D:$D,$B225&amp;$D225,data!$K:$K)</f>
        <v>0</v>
      </c>
      <c r="K225" s="100">
        <f>SUMIF(AJOUT!$A:$A,BRAN!$V:$V,AJOUT!$L:$L)</f>
        <v>0</v>
      </c>
      <c r="L225" s="100"/>
      <c r="M225" s="1158"/>
      <c r="N225" s="100"/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8"/>
        <v>GT12Bsilo</v>
      </c>
      <c r="W225" s="823" t="s">
        <v>140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0</v>
      </c>
      <c r="AG225" s="100"/>
      <c r="AH225" s="100">
        <v>0</v>
      </c>
      <c r="AI225" s="100">
        <v>0</v>
      </c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82"/>
        <v>0</v>
      </c>
      <c r="BD225" s="786">
        <f t="shared" si="83"/>
        <v>0</v>
      </c>
      <c r="BE225" s="786">
        <f t="shared" si="84"/>
        <v>0</v>
      </c>
      <c r="BH225" s="436"/>
    </row>
    <row r="226" spans="1:60" s="38" customFormat="1" ht="15" customHeight="1">
      <c r="A226" s="68">
        <v>20</v>
      </c>
      <c r="B226" s="609" t="s">
        <v>207</v>
      </c>
      <c r="C226" s="609" t="s">
        <v>55</v>
      </c>
      <c r="D226" s="610">
        <v>25</v>
      </c>
      <c r="E226" s="1158">
        <v>0</v>
      </c>
      <c r="F226" s="100">
        <f>SUMIF(pro!$A:$A,$V:$V,pro!$N:$N)</f>
        <v>606</v>
      </c>
      <c r="G226" s="100"/>
      <c r="H226" s="100">
        <f>SUMIF(CBIN!$A:$A,BRAN!$V:$V,CBIN!$G:$G)</f>
        <v>0</v>
      </c>
      <c r="I226" s="100">
        <f>SUMIF(data!$D:$D,$B226&amp;$D226,data!$J:$J)</f>
        <v>600</v>
      </c>
      <c r="J226" s="100">
        <f>SUMIF(data!$D:$D,$B226&amp;$D226,data!$K:$K)</f>
        <v>15000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6</v>
      </c>
      <c r="N226" s="100">
        <f t="shared" si="86"/>
        <v>150</v>
      </c>
      <c r="O226" s="1159">
        <f>SUM(X226:BB226)</f>
        <v>30925</v>
      </c>
      <c r="P226" s="805"/>
      <c r="Q226" s="805"/>
      <c r="R226" s="804">
        <f>O226/INTGRATE!$N$293</f>
        <v>2811.3636363636365</v>
      </c>
      <c r="S226" s="665">
        <f>IF(R226=0,0,N226/R226)</f>
        <v>5.3354890864995959E-2</v>
      </c>
      <c r="T226" s="403"/>
      <c r="U226" s="141"/>
      <c r="V226" s="840" t="str">
        <f t="shared" si="88"/>
        <v>GT12BS25</v>
      </c>
      <c r="W226" s="823" t="s">
        <v>208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15925</v>
      </c>
      <c r="AG226" s="100"/>
      <c r="AH226" s="100">
        <v>0</v>
      </c>
      <c r="AI226" s="100">
        <v>15000</v>
      </c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82"/>
        <v>30925</v>
      </c>
      <c r="BD226" s="786">
        <f t="shared" si="83"/>
        <v>2</v>
      </c>
      <c r="BE226" s="786">
        <f t="shared" si="84"/>
        <v>15462.5</v>
      </c>
      <c r="BH226" s="436"/>
    </row>
    <row r="227" spans="1:60" s="38" customFormat="1" ht="15" customHeight="1">
      <c r="A227" s="68">
        <v>21</v>
      </c>
      <c r="B227" s="609" t="s">
        <v>209</v>
      </c>
      <c r="C227" s="609" t="s">
        <v>55</v>
      </c>
      <c r="D227" s="610">
        <v>25</v>
      </c>
      <c r="E227" s="1158">
        <v>0</v>
      </c>
      <c r="F227" s="100">
        <f>SUMIF(pro!$A:$A,$V:$V,pro!$N:$N)</f>
        <v>0</v>
      </c>
      <c r="G227" s="100"/>
      <c r="H227" s="100">
        <f>SUMIF(CBIN!$A:$A,BRAN!$V:$V,CBIN!$G:$G)</f>
        <v>0</v>
      </c>
      <c r="I227" s="100">
        <f>SUMIF(data!$D:$D,$B227&amp;$D227,data!$J:$J)</f>
        <v>0</v>
      </c>
      <c r="J227" s="100">
        <f>SUMIF(data!$D:$D,$B227&amp;$D227,data!$K:$K)</f>
        <v>0</v>
      </c>
      <c r="K227" s="100">
        <f>SUMIF(AJOUT!$A:$A,BRAN!$V:$V,AJOUT!$L:$L)</f>
        <v>0</v>
      </c>
      <c r="L227" s="100">
        <f>SUMIF(CBOUT!$A:$A,BRAN!$V:$V,CBOUT!$G:$G)</f>
        <v>0</v>
      </c>
      <c r="M227" s="1158">
        <f>E227+F227+H227-I227-L227+G227-K227</f>
        <v>0</v>
      </c>
      <c r="N227" s="100">
        <f t="shared" si="86"/>
        <v>0</v>
      </c>
      <c r="O227" s="1159">
        <f>SUM(X227:BB227)</f>
        <v>0</v>
      </c>
      <c r="P227" s="805"/>
      <c r="Q227" s="805"/>
      <c r="R227" s="804">
        <f>O227/INTGRATE!$N$293</f>
        <v>0</v>
      </c>
      <c r="S227" s="665">
        <f>IF(R227=0,0,N227/R227)</f>
        <v>0</v>
      </c>
      <c r="T227" s="403"/>
      <c r="U227" s="141"/>
      <c r="V227" s="840" t="str">
        <f t="shared" si="88"/>
        <v>GT12BSP25</v>
      </c>
      <c r="W227" s="823" t="s">
        <v>210</v>
      </c>
      <c r="X227" s="387"/>
      <c r="Y227" s="387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0</v>
      </c>
      <c r="AG227" s="100"/>
      <c r="AH227" s="100">
        <v>0</v>
      </c>
      <c r="AI227" s="100">
        <v>0</v>
      </c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82"/>
        <v>0</v>
      </c>
      <c r="BD227" s="786">
        <f t="shared" si="83"/>
        <v>0</v>
      </c>
      <c r="BE227" s="786">
        <f t="shared" si="84"/>
        <v>0</v>
      </c>
      <c r="BH227" s="436"/>
    </row>
    <row r="228" spans="1:60" s="38" customFormat="1" ht="15" customHeight="1">
      <c r="A228" s="68">
        <v>22</v>
      </c>
      <c r="B228" s="609" t="s">
        <v>211</v>
      </c>
      <c r="C228" s="609" t="s">
        <v>132</v>
      </c>
      <c r="D228" s="610" t="s">
        <v>58</v>
      </c>
      <c r="E228" s="1158">
        <v>0</v>
      </c>
      <c r="F228" s="100">
        <f>+J228</f>
        <v>0</v>
      </c>
      <c r="G228" s="100"/>
      <c r="H228" s="100"/>
      <c r="I228" s="100"/>
      <c r="J228" s="100">
        <f>SUMIF(data!$D:$D,$B228&amp;$D228,data!$K:$K)</f>
        <v>0</v>
      </c>
      <c r="K228" s="100">
        <f>SUMIF(AJOUT!$A:$A,BRAN!$V:$V,AJOUT!$L:$L)</f>
        <v>0</v>
      </c>
      <c r="L228" s="100"/>
      <c r="M228" s="1158">
        <v>0</v>
      </c>
      <c r="N228" s="100"/>
      <c r="O228" s="1159">
        <f>SUM(X228:BB228)</f>
        <v>26970</v>
      </c>
      <c r="P228" s="805"/>
      <c r="Q228" s="805"/>
      <c r="R228" s="804">
        <f>O228/INTGRATE!$N$293</f>
        <v>2451.818181818182</v>
      </c>
      <c r="S228" s="665">
        <f>IF(R228=0,0,N228/R228)</f>
        <v>0</v>
      </c>
      <c r="T228" s="403"/>
      <c r="U228" s="141"/>
      <c r="V228" s="840" t="str">
        <f t="shared" si="88"/>
        <v>GT12Asilo</v>
      </c>
      <c r="W228" s="823">
        <v>113601</v>
      </c>
      <c r="X228" s="387"/>
      <c r="Y228" s="387">
        <v>0</v>
      </c>
      <c r="Z228" s="100">
        <v>0</v>
      </c>
      <c r="AA228" s="100">
        <v>13940</v>
      </c>
      <c r="AB228" s="100">
        <v>13030</v>
      </c>
      <c r="AC228" s="100">
        <v>0</v>
      </c>
      <c r="AD228" s="100">
        <v>0</v>
      </c>
      <c r="AE228" s="100">
        <v>0</v>
      </c>
      <c r="AF228" s="100">
        <v>0</v>
      </c>
      <c r="AG228" s="100"/>
      <c r="AH228" s="100">
        <v>0</v>
      </c>
      <c r="AI228" s="100">
        <v>0</v>
      </c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82"/>
        <v>26970</v>
      </c>
      <c r="BD228" s="786">
        <f t="shared" si="83"/>
        <v>2</v>
      </c>
      <c r="BE228" s="786">
        <f t="shared" si="84"/>
        <v>13485</v>
      </c>
      <c r="BH228" s="436"/>
    </row>
    <row r="229" spans="1:60" s="38" customFormat="1" ht="15" customHeight="1">
      <c r="A229" s="68">
        <v>23</v>
      </c>
      <c r="B229" s="609" t="s">
        <v>211</v>
      </c>
      <c r="C229" s="609" t="s">
        <v>132</v>
      </c>
      <c r="D229" s="610">
        <v>25</v>
      </c>
      <c r="E229" s="1158">
        <v>0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9"/>
        <v>0</v>
      </c>
      <c r="N229" s="100">
        <f t="shared" si="86"/>
        <v>0</v>
      </c>
      <c r="O229" s="1159">
        <f t="shared" si="76"/>
        <v>2950</v>
      </c>
      <c r="P229" s="805"/>
      <c r="Q229" s="805"/>
      <c r="R229" s="804">
        <f>O229/INTGRATE!$N$293</f>
        <v>268.18181818181819</v>
      </c>
      <c r="S229" s="665">
        <f t="shared" si="87"/>
        <v>0</v>
      </c>
      <c r="T229" s="403"/>
      <c r="U229" s="141"/>
      <c r="V229" s="840" t="str">
        <f t="shared" si="88"/>
        <v>GT12A25</v>
      </c>
      <c r="W229" s="823">
        <v>113601</v>
      </c>
      <c r="X229" s="387"/>
      <c r="Y229" s="387">
        <v>0</v>
      </c>
      <c r="Z229" s="100">
        <v>0</v>
      </c>
      <c r="AA229" s="100">
        <v>0</v>
      </c>
      <c r="AB229" s="100">
        <v>2950</v>
      </c>
      <c r="AC229" s="100">
        <v>0</v>
      </c>
      <c r="AD229" s="100">
        <v>0</v>
      </c>
      <c r="AE229" s="100">
        <v>0</v>
      </c>
      <c r="AF229" s="100">
        <v>0</v>
      </c>
      <c r="AG229" s="100"/>
      <c r="AH229" s="100">
        <v>0</v>
      </c>
      <c r="AI229" s="100">
        <v>0</v>
      </c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82"/>
        <v>2950</v>
      </c>
      <c r="BD229" s="786">
        <f t="shared" si="83"/>
        <v>1</v>
      </c>
      <c r="BE229" s="786">
        <f t="shared" si="84"/>
        <v>2950</v>
      </c>
      <c r="BH229" s="436"/>
    </row>
    <row r="230" spans="1:60" s="38" customFormat="1" ht="15" customHeight="1">
      <c r="A230" s="68">
        <v>24</v>
      </c>
      <c r="B230" s="609" t="s">
        <v>212</v>
      </c>
      <c r="C230" s="792" t="s">
        <v>80</v>
      </c>
      <c r="D230" s="610">
        <v>25</v>
      </c>
      <c r="E230" s="1158">
        <v>621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 t="shared" si="89"/>
        <v>621</v>
      </c>
      <c r="N230" s="100">
        <f t="shared" si="86"/>
        <v>15525</v>
      </c>
      <c r="O230" s="1159">
        <f t="shared" si="76"/>
        <v>0</v>
      </c>
      <c r="P230" s="805"/>
      <c r="Q230" s="805"/>
      <c r="R230" s="804">
        <f>O230/INTGRATE!$N$293</f>
        <v>0</v>
      </c>
      <c r="S230" s="665">
        <f t="shared" si="87"/>
        <v>0</v>
      </c>
      <c r="T230" s="403"/>
      <c r="U230" s="141"/>
      <c r="V230" s="840" t="str">
        <f t="shared" si="88"/>
        <v>GT12S25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0</v>
      </c>
      <c r="AF230" s="100">
        <v>0</v>
      </c>
      <c r="AG230" s="100"/>
      <c r="AH230" s="100">
        <v>0</v>
      </c>
      <c r="AI230" s="100">
        <v>0</v>
      </c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82"/>
        <v>0</v>
      </c>
      <c r="BD230" s="786">
        <f t="shared" si="83"/>
        <v>0</v>
      </c>
      <c r="BE230" s="786">
        <f t="shared" si="84"/>
        <v>0</v>
      </c>
      <c r="BH230" s="436"/>
    </row>
    <row r="231" spans="1:60" s="38" customFormat="1" ht="15" customHeight="1">
      <c r="A231" s="68">
        <v>25</v>
      </c>
      <c r="B231" s="609" t="s">
        <v>213</v>
      </c>
      <c r="C231" s="609" t="s">
        <v>55</v>
      </c>
      <c r="D231" s="610">
        <v>25</v>
      </c>
      <c r="E231" s="1158">
        <v>99</v>
      </c>
      <c r="F231" s="100">
        <f>SUMIF(pro!$A:$A,$V:$V,pro!$N:$N)</f>
        <v>0</v>
      </c>
      <c r="G231" s="100"/>
      <c r="H231" s="100">
        <f>SUMIF(CBIN!$A:$A,BRAN!$V:$V,CBIN!$G:$G)</f>
        <v>0</v>
      </c>
      <c r="I231" s="100">
        <f>SUMIF(data!$D:$D,$B231&amp;$D231,data!$J:$J)</f>
        <v>0</v>
      </c>
      <c r="J231" s="100">
        <f>SUMIF(data!$D:$D,$B231&amp;$D231,data!$K:$K)</f>
        <v>0</v>
      </c>
      <c r="K231" s="100">
        <f>SUMIF(AJOUT!$A:$A,BRAN!$V:$V,AJOUT!$L:$L)</f>
        <v>0</v>
      </c>
      <c r="L231" s="100">
        <f>SUMIF(CBOUT!$A:$A,BRAN!$V:$V,CBOUT!$G:$G)</f>
        <v>0</v>
      </c>
      <c r="M231" s="1158">
        <f>E231+F231+H231-I231-L231+G231-K231</f>
        <v>99</v>
      </c>
      <c r="N231" s="100">
        <f t="shared" si="86"/>
        <v>2475</v>
      </c>
      <c r="O231" s="1159">
        <f>SUM(X231:BB231)</f>
        <v>3450</v>
      </c>
      <c r="P231" s="805"/>
      <c r="Q231" s="805"/>
      <c r="R231" s="804">
        <f>O231/INTGRATE!$N$293</f>
        <v>313.63636363636363</v>
      </c>
      <c r="S231" s="665">
        <f>IF(R231=0,0,N231/R231)</f>
        <v>7.8913043478260869</v>
      </c>
      <c r="T231" s="403"/>
      <c r="U231" s="141"/>
      <c r="V231" s="840" t="str">
        <f t="shared" si="88"/>
        <v>GT12AS25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3450</v>
      </c>
      <c r="AF231" s="100">
        <v>0</v>
      </c>
      <c r="AG231" s="100"/>
      <c r="AH231" s="100">
        <v>0</v>
      </c>
      <c r="AI231" s="100">
        <v>0</v>
      </c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82"/>
        <v>3450</v>
      </c>
      <c r="BD231" s="786">
        <f t="shared" si="83"/>
        <v>1</v>
      </c>
      <c r="BE231" s="786">
        <f t="shared" si="84"/>
        <v>3450</v>
      </c>
      <c r="BH231" s="436"/>
    </row>
    <row r="232" spans="1:60" s="38" customFormat="1" ht="15" customHeight="1">
      <c r="A232" s="68">
        <v>26</v>
      </c>
      <c r="B232" s="609" t="s">
        <v>213</v>
      </c>
      <c r="C232" s="609" t="s">
        <v>55</v>
      </c>
      <c r="D232" s="610" t="s">
        <v>66</v>
      </c>
      <c r="E232" s="1158"/>
      <c r="F232" s="100">
        <f>+J232</f>
        <v>0</v>
      </c>
      <c r="G232" s="100"/>
      <c r="H232" s="100"/>
      <c r="I232" s="100">
        <f>SUMIF(data!$D:$D,$B232&amp;$D232,data!$J:$J)</f>
        <v>0</v>
      </c>
      <c r="J232" s="100">
        <f>SUMIF(data!$D:$D,$B232&amp;$D232,data!$K:$K)</f>
        <v>0</v>
      </c>
      <c r="K232" s="100"/>
      <c r="L232" s="100"/>
      <c r="M232" s="1158"/>
      <c r="N232" s="100"/>
      <c r="O232" s="1159">
        <f>SUM(X232:BB232)</f>
        <v>0</v>
      </c>
      <c r="P232" s="805" t="s">
        <v>214</v>
      </c>
      <c r="Q232" s="805"/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si="88"/>
        <v>GT12ASSILO</v>
      </c>
      <c r="W232" s="823">
        <v>113301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100"/>
      <c r="AH232" s="100">
        <v>0</v>
      </c>
      <c r="AI232" s="100">
        <v>0</v>
      </c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82"/>
        <v>0</v>
      </c>
      <c r="BD232" s="786">
        <f t="shared" si="83"/>
        <v>0</v>
      </c>
      <c r="BE232" s="786">
        <f t="shared" si="84"/>
        <v>0</v>
      </c>
      <c r="BH232" s="436"/>
    </row>
    <row r="233" spans="1:60" s="38" customFormat="1" ht="15" customHeight="1">
      <c r="A233" s="68">
        <v>27</v>
      </c>
      <c r="B233" s="159" t="s">
        <v>215</v>
      </c>
      <c r="C233" s="159" t="s">
        <v>79</v>
      </c>
      <c r="D233" s="160">
        <v>25</v>
      </c>
      <c r="E233" s="1158">
        <v>0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9"/>
        <v>0</v>
      </c>
      <c r="N233" s="100">
        <f t="shared" si="86"/>
        <v>0</v>
      </c>
      <c r="O233" s="1159">
        <f t="shared" si="76"/>
        <v>0</v>
      </c>
      <c r="P233" s="717">
        <f>+N218+N251+N252+N253+N255+N259+N260+N261+N262+N219+N254</f>
        <v>52375</v>
      </c>
      <c r="Q233" s="717">
        <f>+O218+O251+O252+O253+O255+O259+O260+O261+O262+O219+O254</f>
        <v>134400</v>
      </c>
      <c r="R233" s="804">
        <f>O233/INTGRATE!$N$293</f>
        <v>0</v>
      </c>
      <c r="S233" s="665">
        <f>IF(R233=0,0,N233/R233)</f>
        <v>0</v>
      </c>
      <c r="T233" s="403"/>
      <c r="U233" s="141"/>
      <c r="V233" s="840" t="str">
        <f t="shared" ref="V233:V280" si="90">B233&amp;D233</f>
        <v>CD0225</v>
      </c>
      <c r="W233" s="823">
        <v>546000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100"/>
      <c r="AH233" s="100">
        <v>0</v>
      </c>
      <c r="AI233" s="100">
        <v>0</v>
      </c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82"/>
        <v>0</v>
      </c>
      <c r="BD233" s="786">
        <f t="shared" si="83"/>
        <v>0</v>
      </c>
      <c r="BE233" s="786">
        <f t="shared" si="84"/>
        <v>0</v>
      </c>
      <c r="BH233" s="436"/>
    </row>
    <row r="234" spans="1:60" s="38" customFormat="1" ht="15" customHeight="1">
      <c r="A234" s="68">
        <v>28</v>
      </c>
      <c r="B234" s="360" t="s">
        <v>216</v>
      </c>
      <c r="C234" s="747" t="s">
        <v>79</v>
      </c>
      <c r="D234" s="748">
        <v>25</v>
      </c>
      <c r="E234" s="1158">
        <v>98</v>
      </c>
      <c r="F234" s="100">
        <f>SUMIF(pro!$A:$A,$V:$V,pro!$N:$N)</f>
        <v>338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 t="shared" si="89"/>
        <v>436</v>
      </c>
      <c r="N234" s="100">
        <f t="shared" si="86"/>
        <v>10900</v>
      </c>
      <c r="O234" s="1159">
        <f t="shared" si="76"/>
        <v>8775</v>
      </c>
      <c r="P234" s="805">
        <f>+N230+N209+N211+N212+N215+N220+N221+N216</f>
        <v>129850</v>
      </c>
      <c r="Q234" s="805">
        <f>+O230+O209+O211+O212+O215+O220+O221+O216</f>
        <v>113775</v>
      </c>
      <c r="R234" s="804">
        <f>O234/INTGRATE!$N$293</f>
        <v>797.72727272727275</v>
      </c>
      <c r="S234" s="665">
        <f t="shared" si="87"/>
        <v>13.663817663817664</v>
      </c>
      <c r="T234" s="403"/>
      <c r="U234" s="141"/>
      <c r="V234" s="840" t="str">
        <f t="shared" si="90"/>
        <v>BS045A25</v>
      </c>
      <c r="W234" s="823">
        <v>433060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1350</v>
      </c>
      <c r="AE234" s="100">
        <v>750</v>
      </c>
      <c r="AF234" s="100">
        <v>6675</v>
      </c>
      <c r="AG234" s="100"/>
      <c r="AH234" s="100">
        <v>0</v>
      </c>
      <c r="AI234" s="100">
        <v>0</v>
      </c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82"/>
        <v>8775</v>
      </c>
      <c r="BD234" s="786">
        <f t="shared" si="83"/>
        <v>3</v>
      </c>
      <c r="BE234" s="786">
        <f t="shared" si="84"/>
        <v>2925</v>
      </c>
      <c r="BH234" s="436"/>
    </row>
    <row r="235" spans="1:60" s="38" customFormat="1" ht="14.25" customHeight="1">
      <c r="A235" s="68">
        <v>29</v>
      </c>
      <c r="B235" s="360" t="s">
        <v>217</v>
      </c>
      <c r="C235" s="747" t="s">
        <v>79</v>
      </c>
      <c r="D235" s="748">
        <v>25</v>
      </c>
      <c r="E235" s="1158">
        <v>573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f>SUMIF(AJOUT!$A:$A,BRAN!$V:$V,AJOUT!$L:$L)</f>
        <v>0</v>
      </c>
      <c r="L235" s="100">
        <f>SUMIF(CBOUT!$A:$A,BRAN!$V:$V,CBOUT!$G:$G)</f>
        <v>0</v>
      </c>
      <c r="M235" s="1158">
        <f>E235+F235+H235-I235-L235+G235-K235</f>
        <v>573</v>
      </c>
      <c r="N235" s="100">
        <f t="shared" si="86"/>
        <v>14325</v>
      </c>
      <c r="O235" s="1159">
        <f t="shared" ref="O235:O237" si="91">SUM(X235:BB235)</f>
        <v>12975</v>
      </c>
      <c r="P235" s="805" t="s">
        <v>218</v>
      </c>
      <c r="Q235" s="805"/>
      <c r="R235" s="804">
        <f>O235/INTGRATE!$N$293</f>
        <v>1179.5454545454545</v>
      </c>
      <c r="S235" s="665">
        <f t="shared" ref="S235:S237" si="92">IF(R235=0,0,N235/R235)</f>
        <v>12.144508670520231</v>
      </c>
      <c r="T235" s="403"/>
      <c r="U235" s="141"/>
      <c r="V235" s="840" t="str">
        <f t="shared" si="90"/>
        <v>BS04A5A25</v>
      </c>
      <c r="W235" s="823">
        <v>433760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3900</v>
      </c>
      <c r="AD235" s="100">
        <v>2750</v>
      </c>
      <c r="AE235" s="100">
        <v>4525</v>
      </c>
      <c r="AF235" s="100">
        <v>1800</v>
      </c>
      <c r="AG235" s="100"/>
      <c r="AH235" s="100">
        <v>0</v>
      </c>
      <c r="AI235" s="100">
        <v>0</v>
      </c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82"/>
        <v>12975</v>
      </c>
      <c r="BD235" s="786">
        <f t="shared" si="83"/>
        <v>4</v>
      </c>
      <c r="BE235" s="786">
        <f t="shared" si="84"/>
        <v>3243.75</v>
      </c>
      <c r="BH235" s="436"/>
    </row>
    <row r="236" spans="1:60" s="38" customFormat="1" ht="15" customHeight="1">
      <c r="A236" s="68">
        <v>30</v>
      </c>
      <c r="B236" s="360" t="s">
        <v>219</v>
      </c>
      <c r="C236" s="747" t="s">
        <v>79</v>
      </c>
      <c r="D236" s="748">
        <v>25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6"/>
        <v>0</v>
      </c>
      <c r="O236" s="1159">
        <f t="shared" si="91"/>
        <v>0</v>
      </c>
      <c r="P236" s="805"/>
      <c r="Q236" s="805"/>
      <c r="R236" s="804">
        <f>O236/INTGRATE!$N$293</f>
        <v>0</v>
      </c>
      <c r="S236" s="665">
        <f t="shared" si="92"/>
        <v>0</v>
      </c>
      <c r="T236" s="403"/>
      <c r="U236" s="141"/>
      <c r="V236" s="840" t="str">
        <f>B236&amp;D236</f>
        <v>BS04V25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100"/>
      <c r="AH236" s="100">
        <v>0</v>
      </c>
      <c r="AI236" s="100">
        <v>0</v>
      </c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82"/>
        <v>0</v>
      </c>
      <c r="BD236" s="786">
        <f t="shared" si="83"/>
        <v>0</v>
      </c>
      <c r="BE236" s="786">
        <f t="shared" si="84"/>
        <v>0</v>
      </c>
      <c r="BH236" s="436"/>
    </row>
    <row r="237" spans="1:60" s="38" customFormat="1" ht="15" customHeight="1">
      <c r="A237" s="68">
        <v>31</v>
      </c>
      <c r="B237" s="360" t="s">
        <v>219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>
        <f>SUMIF(CBIN!$A:$A,BRAN!$V:$V,CBIN!$G:$G)</f>
        <v>0</v>
      </c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>
        <f>SUMIF(CBOUT!$A:$A,BRAN!$V:$V,CBOUT!$G:$G)</f>
        <v>0</v>
      </c>
      <c r="M237" s="1158">
        <f>E237+F237+H237-I237-L237+G237-K237</f>
        <v>0</v>
      </c>
      <c r="N237" s="100">
        <f t="shared" si="86"/>
        <v>0</v>
      </c>
      <c r="O237" s="1159">
        <f t="shared" si="91"/>
        <v>0</v>
      </c>
      <c r="P237" s="805"/>
      <c r="Q237" s="805"/>
      <c r="R237" s="804">
        <f>O237/INTGRATE!$N$293</f>
        <v>0</v>
      </c>
      <c r="S237" s="665">
        <f t="shared" si="92"/>
        <v>0</v>
      </c>
      <c r="T237" s="403"/>
      <c r="U237" s="141"/>
      <c r="V237" s="840" t="str">
        <f t="shared" si="90"/>
        <v>BS04V40</v>
      </c>
      <c r="W237" s="823">
        <v>433769</v>
      </c>
      <c r="X237" s="387"/>
      <c r="Y237" s="387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100"/>
      <c r="AH237" s="100">
        <v>0</v>
      </c>
      <c r="AI237" s="100">
        <v>0</v>
      </c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si="82"/>
        <v>0</v>
      </c>
      <c r="BD237" s="786">
        <f t="shared" si="83"/>
        <v>0</v>
      </c>
      <c r="BE237" s="786">
        <f t="shared" si="84"/>
        <v>0</v>
      </c>
      <c r="BH237" s="436"/>
    </row>
    <row r="238" spans="1:60" s="38" customFormat="1" ht="15" customHeight="1">
      <c r="A238" s="68">
        <v>32</v>
      </c>
      <c r="B238" s="360" t="s">
        <v>220</v>
      </c>
      <c r="C238" s="747" t="s">
        <v>79</v>
      </c>
      <c r="D238" s="748">
        <v>40</v>
      </c>
      <c r="E238" s="1158">
        <v>0</v>
      </c>
      <c r="F238" s="100">
        <f>SUMIF(pro!$A:$A,$V:$V,pro!$N:$N)</f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0</v>
      </c>
      <c r="K238" s="100">
        <v>0</v>
      </c>
      <c r="L238" s="100"/>
      <c r="M238" s="1158">
        <f>E238+F238+H238-I238-L238+G238-K238</f>
        <v>0</v>
      </c>
      <c r="N238" s="100">
        <f t="shared" ref="N238" si="93">+M238*D238</f>
        <v>0</v>
      </c>
      <c r="O238" s="1159">
        <f t="shared" ref="O238" si="94">SUM(X238:BB238)</f>
        <v>12000</v>
      </c>
      <c r="P238" s="805"/>
      <c r="Q238" s="805"/>
      <c r="R238" s="804">
        <f>O238/INTGRATE!$N$293</f>
        <v>1090.909090909091</v>
      </c>
      <c r="S238" s="665">
        <f t="shared" ref="S238" si="95">IF(R238=0,0,N238/R238)</f>
        <v>0</v>
      </c>
      <c r="T238" s="403"/>
      <c r="U238" s="141"/>
      <c r="V238" s="840" t="str">
        <f t="shared" si="90"/>
        <v>BS06TA40</v>
      </c>
      <c r="W238" s="823">
        <v>433778</v>
      </c>
      <c r="X238" s="387"/>
      <c r="Y238" s="387">
        <v>12000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100"/>
      <c r="AH238" s="100">
        <v>0</v>
      </c>
      <c r="AI238" s="100">
        <v>0</v>
      </c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274">
        <f t="shared" ref="BC238" si="96">SUM(X238:BB238)</f>
        <v>12000</v>
      </c>
      <c r="BD238" s="786">
        <f t="shared" ref="BD238" si="97">COUNTIF(X238:BB238,"&gt;0")</f>
        <v>1</v>
      </c>
      <c r="BE238" s="786">
        <f t="shared" ref="BE238" si="98">IFERROR(BC238/BD238,0)</f>
        <v>12000</v>
      </c>
      <c r="BH238" s="618"/>
    </row>
    <row r="239" spans="1:60" s="38" customFormat="1" ht="15" customHeight="1">
      <c r="A239" s="68">
        <v>33</v>
      </c>
      <c r="B239" s="360" t="s">
        <v>221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ref="O239:O247" si="99">SUM(X239:BB239)</f>
        <v>80050</v>
      </c>
      <c r="P239" s="805"/>
      <c r="Q239" s="805"/>
      <c r="R239" s="804">
        <f>O239/INTGRATE!$N$293</f>
        <v>7277.272727272727</v>
      </c>
      <c r="S239" s="665">
        <f t="shared" ref="S239:S247" si="100">IF(R239=0,0,N239/R239)</f>
        <v>0</v>
      </c>
      <c r="T239" s="403"/>
      <c r="U239" s="141"/>
      <c r="V239" s="840" t="str">
        <f t="shared" si="90"/>
        <v>BS07TASILO</v>
      </c>
      <c r="W239" s="823">
        <v>433779</v>
      </c>
      <c r="X239" s="387"/>
      <c r="Y239" s="387">
        <v>0</v>
      </c>
      <c r="Z239" s="100">
        <v>0</v>
      </c>
      <c r="AA239" s="100">
        <v>16080</v>
      </c>
      <c r="AB239" s="100">
        <v>0</v>
      </c>
      <c r="AC239" s="100">
        <f>-16010+32010</f>
        <v>16000</v>
      </c>
      <c r="AD239" s="100">
        <v>0</v>
      </c>
      <c r="AE239" s="100">
        <v>16010</v>
      </c>
      <c r="AF239" s="100">
        <v>15990</v>
      </c>
      <c r="AG239" s="100"/>
      <c r="AH239" s="100">
        <v>15970</v>
      </c>
      <c r="AI239" s="100">
        <v>0</v>
      </c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425"/>
      <c r="BB239" s="100"/>
      <c r="BC239" s="274">
        <f t="shared" si="82"/>
        <v>80050</v>
      </c>
      <c r="BD239" s="786">
        <f t="shared" si="83"/>
        <v>5</v>
      </c>
      <c r="BE239" s="786">
        <f t="shared" si="84"/>
        <v>16010</v>
      </c>
      <c r="BH239" s="436"/>
    </row>
    <row r="240" spans="1:60" s="38" customFormat="1" ht="15" customHeight="1">
      <c r="A240" s="68">
        <v>34</v>
      </c>
      <c r="B240" s="360" t="s">
        <v>222</v>
      </c>
      <c r="C240" s="747" t="s">
        <v>79</v>
      </c>
      <c r="D240" s="748" t="s">
        <v>66</v>
      </c>
      <c r="E240" s="1158">
        <v>0</v>
      </c>
      <c r="F240" s="100">
        <f>+J240</f>
        <v>0</v>
      </c>
      <c r="G240" s="100"/>
      <c r="H240" s="100"/>
      <c r="I240" s="100">
        <f>SUMIF(data!$D:$D,$B240&amp;$D240,data!$J:$J)</f>
        <v>0</v>
      </c>
      <c r="J240" s="100">
        <f>SUMIF(data!$D:$D,$B240&amp;$D240,data!$K:$K)</f>
        <v>0</v>
      </c>
      <c r="K240" s="100"/>
      <c r="L240" s="100"/>
      <c r="M240" s="1158">
        <v>0</v>
      </c>
      <c r="N240" s="100"/>
      <c r="O240" s="1159">
        <f t="shared" si="99"/>
        <v>19890</v>
      </c>
      <c r="P240" s="805"/>
      <c r="Q240" s="805"/>
      <c r="R240" s="804">
        <f>O240/INTGRATE!$N$293</f>
        <v>1808.1818181818182</v>
      </c>
      <c r="S240" s="665">
        <f t="shared" si="100"/>
        <v>0</v>
      </c>
      <c r="T240" s="403"/>
      <c r="U240" s="141"/>
      <c r="V240" s="840" t="str">
        <f t="shared" si="90"/>
        <v>BS09TASILO</v>
      </c>
      <c r="W240" s="823">
        <v>433780</v>
      </c>
      <c r="X240" s="387"/>
      <c r="Y240" s="387">
        <v>0</v>
      </c>
      <c r="Z240" s="100">
        <v>10030</v>
      </c>
      <c r="AA240" s="100">
        <v>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9860</v>
      </c>
      <c r="AG240" s="100"/>
      <c r="AH240" s="100">
        <v>0</v>
      </c>
      <c r="AI240" s="100">
        <v>0</v>
      </c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82"/>
        <v>19890</v>
      </c>
      <c r="BD240" s="786">
        <f t="shared" si="83"/>
        <v>2</v>
      </c>
      <c r="BE240" s="786">
        <f t="shared" si="84"/>
        <v>9945</v>
      </c>
      <c r="BF240" s="85"/>
      <c r="BH240" s="436"/>
    </row>
    <row r="241" spans="1:60" s="38" customFormat="1" ht="15" customHeight="1">
      <c r="A241" s="68">
        <v>35</v>
      </c>
      <c r="B241" s="360" t="s">
        <v>223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>
        <f>SUMIF(CBIN!$A:$A,BRAN!$V:$V,CBIN!$G:$G)</f>
        <v>0</v>
      </c>
      <c r="I241" s="100">
        <f>SUMIF(data!$D:$D,$B241&amp;$D241,data!$J:$J)</f>
        <v>0</v>
      </c>
      <c r="J241" s="100">
        <f>SUMIF(data!$D:$D,$B241&amp;$D241,data!$K:$K)</f>
        <v>0</v>
      </c>
      <c r="K241" s="100">
        <v>0</v>
      </c>
      <c r="L241" s="100">
        <f>SUMIF(CBOUT!$A:$A,BRAN!$V:$V,CBOUT!$G:$G)</f>
        <v>0</v>
      </c>
      <c r="M241" s="1158">
        <f t="shared" ref="M241:M247" si="101">E241+F241+H241-I241-L241+G241-K241</f>
        <v>0</v>
      </c>
      <c r="N241" s="100">
        <f t="shared" si="86"/>
        <v>0</v>
      </c>
      <c r="O241" s="1159">
        <f t="shared" si="99"/>
        <v>14400</v>
      </c>
      <c r="P241" s="805"/>
      <c r="Q241" s="805"/>
      <c r="R241" s="804">
        <f>O241/INTGRATE!$N$293</f>
        <v>1309.090909090909</v>
      </c>
      <c r="S241" s="665">
        <f t="shared" si="100"/>
        <v>0</v>
      </c>
      <c r="T241" s="403"/>
      <c r="U241" s="141"/>
      <c r="V241" s="840" t="str">
        <f t="shared" si="90"/>
        <v>BS10TA40</v>
      </c>
      <c r="W241" s="823">
        <v>433781</v>
      </c>
      <c r="X241" s="387"/>
      <c r="Y241" s="387">
        <v>0</v>
      </c>
      <c r="Z241" s="100">
        <v>0</v>
      </c>
      <c r="AA241" s="100">
        <v>14400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100"/>
      <c r="AH241" s="100">
        <v>0</v>
      </c>
      <c r="AI241" s="100">
        <v>0</v>
      </c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82"/>
        <v>14400</v>
      </c>
      <c r="BD241" s="786">
        <f t="shared" si="83"/>
        <v>1</v>
      </c>
      <c r="BE241" s="786">
        <f t="shared" si="84"/>
        <v>14400</v>
      </c>
      <c r="BH241" s="436"/>
    </row>
    <row r="242" spans="1:60" s="38" customFormat="1" ht="14.25" customHeight="1">
      <c r="A242" s="68">
        <v>36</v>
      </c>
      <c r="B242" s="360" t="s">
        <v>224</v>
      </c>
      <c r="C242" s="747" t="s">
        <v>79</v>
      </c>
      <c r="D242" s="748">
        <v>40</v>
      </c>
      <c r="E242" s="1158">
        <v>0</v>
      </c>
      <c r="F242" s="100">
        <f>SUMIF(pro!$A:$A,$V:$V,pro!$N:$N)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f t="shared" si="101"/>
        <v>0</v>
      </c>
      <c r="N242" s="100">
        <f t="shared" si="86"/>
        <v>0</v>
      </c>
      <c r="O242" s="1159">
        <f t="shared" si="99"/>
        <v>4000</v>
      </c>
      <c r="P242" s="805"/>
      <c r="Q242" s="805"/>
      <c r="R242" s="804">
        <f>O242/INTGRATE!$N$293</f>
        <v>363.63636363636363</v>
      </c>
      <c r="S242" s="665">
        <f t="shared" si="100"/>
        <v>0</v>
      </c>
      <c r="T242" s="403"/>
      <c r="U242" s="141"/>
      <c r="V242" s="840" t="str">
        <f t="shared" si="90"/>
        <v>BS06LD40</v>
      </c>
      <c r="W242" s="823">
        <v>433782</v>
      </c>
      <c r="X242" s="387"/>
      <c r="Y242" s="387">
        <v>0</v>
      </c>
      <c r="Z242" s="100">
        <v>0</v>
      </c>
      <c r="AA242" s="100">
        <v>4000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100"/>
      <c r="AH242" s="100">
        <v>0</v>
      </c>
      <c r="AI242" s="100">
        <v>0</v>
      </c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82"/>
        <v>4000</v>
      </c>
      <c r="BD242" s="786">
        <f t="shared" si="83"/>
        <v>1</v>
      </c>
      <c r="BE242" s="786">
        <f t="shared" si="84"/>
        <v>4000</v>
      </c>
      <c r="BH242" s="436"/>
    </row>
    <row r="243" spans="1:60" s="38" customFormat="1" ht="15" customHeight="1">
      <c r="A243" s="68">
        <v>37</v>
      </c>
      <c r="B243" s="360" t="s">
        <v>225</v>
      </c>
      <c r="C243" s="747" t="s">
        <v>79</v>
      </c>
      <c r="D243" s="748" t="s">
        <v>66</v>
      </c>
      <c r="E243" s="1158">
        <v>0</v>
      </c>
      <c r="F243" s="100">
        <f>+J243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v>0</v>
      </c>
      <c r="N243" s="100"/>
      <c r="O243" s="1159">
        <f t="shared" si="99"/>
        <v>0</v>
      </c>
      <c r="P243" s="805"/>
      <c r="Q243" s="805"/>
      <c r="R243" s="804">
        <f>O243/INTGRATE!$N$293</f>
        <v>0</v>
      </c>
      <c r="S243" s="665">
        <f t="shared" si="100"/>
        <v>0</v>
      </c>
      <c r="T243" s="403"/>
      <c r="U243" s="141"/>
      <c r="V243" s="840" t="str">
        <f t="shared" si="90"/>
        <v>BS07LDSILO</v>
      </c>
      <c r="W243" s="823">
        <v>433783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100"/>
      <c r="AH243" s="100">
        <v>0</v>
      </c>
      <c r="AI243" s="100">
        <v>0</v>
      </c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82"/>
        <v>0</v>
      </c>
      <c r="BD243" s="786">
        <f t="shared" si="83"/>
        <v>0</v>
      </c>
      <c r="BE243" s="786">
        <f t="shared" si="84"/>
        <v>0</v>
      </c>
      <c r="BH243" s="436"/>
    </row>
    <row r="244" spans="1:60" s="38" customFormat="1" ht="15" customHeight="1">
      <c r="A244" s="68">
        <v>38</v>
      </c>
      <c r="B244" s="360" t="s">
        <v>226</v>
      </c>
      <c r="C244" s="747" t="s">
        <v>79</v>
      </c>
      <c r="D244" s="748">
        <v>40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/>
      <c r="L244" s="100"/>
      <c r="M244" s="1158">
        <f t="shared" si="101"/>
        <v>0</v>
      </c>
      <c r="N244" s="100">
        <f t="shared" si="86"/>
        <v>0</v>
      </c>
      <c r="O244" s="1159">
        <f t="shared" si="99"/>
        <v>0</v>
      </c>
      <c r="P244" s="805"/>
      <c r="Q244" s="805"/>
      <c r="R244" s="804">
        <f>O244/INTGRATE!$N$293</f>
        <v>0</v>
      </c>
      <c r="S244" s="665">
        <f t="shared" si="100"/>
        <v>0</v>
      </c>
      <c r="T244" s="403"/>
      <c r="U244" s="141"/>
      <c r="V244" s="840" t="str">
        <f t="shared" si="90"/>
        <v>BS10LD40</v>
      </c>
      <c r="W244" s="823">
        <v>433774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100"/>
      <c r="AH244" s="100">
        <v>0</v>
      </c>
      <c r="AI244" s="100">
        <v>0</v>
      </c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82"/>
        <v>0</v>
      </c>
      <c r="BD244" s="786">
        <f t="shared" si="83"/>
        <v>0</v>
      </c>
      <c r="BE244" s="786">
        <f t="shared" si="84"/>
        <v>0</v>
      </c>
      <c r="BH244" s="436"/>
    </row>
    <row r="245" spans="1:60" s="38" customFormat="1" ht="15" customHeight="1">
      <c r="A245" s="68">
        <v>39</v>
      </c>
      <c r="B245" s="360" t="s">
        <v>227</v>
      </c>
      <c r="C245" s="747" t="s">
        <v>64</v>
      </c>
      <c r="D245" s="748">
        <v>25</v>
      </c>
      <c r="E245" s="1158">
        <v>0</v>
      </c>
      <c r="F245" s="100">
        <f>SUMIF(pro!$A:$A,$V:$V,pro!$N:$N)</f>
        <v>0</v>
      </c>
      <c r="G245" s="100"/>
      <c r="H245" s="100"/>
      <c r="I245" s="100">
        <f>SUMIF(data!$D:$D,$B245&amp;$D245,data!$J:$J)</f>
        <v>0</v>
      </c>
      <c r="J245" s="100">
        <f>SUMIF(data!$D:$D,$B245&amp;$D245,data!$K:$K)</f>
        <v>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101"/>
        <v>0</v>
      </c>
      <c r="N245" s="100">
        <f t="shared" si="86"/>
        <v>0</v>
      </c>
      <c r="O245" s="1159">
        <f t="shared" si="99"/>
        <v>0</v>
      </c>
      <c r="P245" s="805"/>
      <c r="Q245" s="805"/>
      <c r="R245" s="804">
        <f>O245/INTGRATE!$N$293</f>
        <v>0</v>
      </c>
      <c r="S245" s="665">
        <f t="shared" si="100"/>
        <v>0</v>
      </c>
      <c r="T245" s="403"/>
      <c r="U245" s="141"/>
      <c r="V245" s="840" t="str">
        <f t="shared" si="90"/>
        <v>BS1425</v>
      </c>
      <c r="W245" s="823">
        <v>433061</v>
      </c>
      <c r="X245" s="387"/>
      <c r="Y245" s="387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100"/>
      <c r="AH245" s="100">
        <v>0</v>
      </c>
      <c r="AI245" s="100">
        <v>0</v>
      </c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82"/>
        <v>0</v>
      </c>
      <c r="BD245" s="786">
        <f t="shared" si="83"/>
        <v>0</v>
      </c>
      <c r="BE245" s="786">
        <f t="shared" si="84"/>
        <v>0</v>
      </c>
      <c r="BH245" s="436"/>
    </row>
    <row r="246" spans="1:60" s="38" customFormat="1" ht="15" customHeight="1">
      <c r="A246" s="68">
        <v>40</v>
      </c>
      <c r="B246" s="349" t="s">
        <v>228</v>
      </c>
      <c r="C246" s="349" t="s">
        <v>55</v>
      </c>
      <c r="D246" s="660">
        <v>25</v>
      </c>
      <c r="E246" s="1158">
        <v>827</v>
      </c>
      <c r="F246" s="100">
        <f>SUMIF(pro!$A:$A,$V:$V,pro!$N:$N)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101"/>
        <v>827</v>
      </c>
      <c r="N246" s="100">
        <f t="shared" si="86"/>
        <v>20675</v>
      </c>
      <c r="O246" s="1159">
        <f t="shared" si="99"/>
        <v>22600</v>
      </c>
      <c r="P246" s="805">
        <f>N278-P234-P233-P217-P207</f>
        <v>118725</v>
      </c>
      <c r="Q246" s="805">
        <f>O278-Q234-Q233-Q217-Q207</f>
        <v>277790</v>
      </c>
      <c r="R246" s="804">
        <f>O246/INTGRATE!$N$293</f>
        <v>2054.5454545454545</v>
      </c>
      <c r="S246" s="665">
        <f t="shared" si="100"/>
        <v>10.063053097345133</v>
      </c>
      <c r="T246" s="403"/>
      <c r="U246" s="141"/>
      <c r="V246" s="840" t="str">
        <f t="shared" si="90"/>
        <v>VT1125</v>
      </c>
      <c r="W246" s="831">
        <v>201101</v>
      </c>
      <c r="X246" s="387"/>
      <c r="Y246" s="387">
        <v>3725</v>
      </c>
      <c r="Z246" s="100">
        <v>0</v>
      </c>
      <c r="AA246" s="100">
        <v>5000</v>
      </c>
      <c r="AB246" s="100">
        <v>2500</v>
      </c>
      <c r="AC246" s="100">
        <v>2500</v>
      </c>
      <c r="AD246" s="100">
        <v>2500</v>
      </c>
      <c r="AE246" s="100">
        <v>500</v>
      </c>
      <c r="AF246" s="100">
        <v>4000</v>
      </c>
      <c r="AG246" s="100"/>
      <c r="AH246" s="100">
        <v>1875</v>
      </c>
      <c r="AI246" s="100">
        <v>0</v>
      </c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82"/>
        <v>22600</v>
      </c>
      <c r="BD246" s="786">
        <f t="shared" si="83"/>
        <v>8</v>
      </c>
      <c r="BE246" s="786">
        <f t="shared" si="84"/>
        <v>2825</v>
      </c>
      <c r="BH246" s="436"/>
    </row>
    <row r="247" spans="1:60" s="38" customFormat="1" ht="15" customHeight="1">
      <c r="A247" s="68">
        <v>41</v>
      </c>
      <c r="B247" s="349" t="s">
        <v>228</v>
      </c>
      <c r="C247" s="349" t="s">
        <v>55</v>
      </c>
      <c r="D247" s="660" t="s">
        <v>58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101"/>
        <v>0</v>
      </c>
      <c r="N247" s="100"/>
      <c r="O247" s="1159">
        <f t="shared" si="99"/>
        <v>0</v>
      </c>
      <c r="P247" s="805"/>
      <c r="Q247" s="805"/>
      <c r="R247" s="804">
        <f>O247/INTGRATE!$N$293</f>
        <v>0</v>
      </c>
      <c r="S247" s="665">
        <f t="shared" si="100"/>
        <v>0</v>
      </c>
      <c r="T247" s="403"/>
      <c r="U247" s="141"/>
      <c r="V247" s="840" t="str">
        <f t="shared" si="90"/>
        <v>VT11silo</v>
      </c>
      <c r="W247" s="831">
        <v>201101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100"/>
      <c r="AH247" s="100">
        <v>0</v>
      </c>
      <c r="AI247" s="100">
        <v>0</v>
      </c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82"/>
        <v>0</v>
      </c>
      <c r="BD247" s="786">
        <f t="shared" si="83"/>
        <v>0</v>
      </c>
      <c r="BE247" s="786">
        <f t="shared" si="84"/>
        <v>0</v>
      </c>
      <c r="BH247" s="436"/>
    </row>
    <row r="248" spans="1:60" s="38" customFormat="1" ht="15" customHeight="1">
      <c r="A248" s="68">
        <v>42</v>
      </c>
      <c r="B248" s="349" t="s">
        <v>229</v>
      </c>
      <c r="C248" s="349" t="s">
        <v>64</v>
      </c>
      <c r="D248" s="660" t="s">
        <v>66</v>
      </c>
      <c r="E248" s="1158">
        <v>0</v>
      </c>
      <c r="F248" s="100">
        <f>+J248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si="89"/>
        <v>0</v>
      </c>
      <c r="N248" s="100"/>
      <c r="O248" s="1159">
        <f t="shared" si="76"/>
        <v>0</v>
      </c>
      <c r="P248" s="804"/>
      <c r="Q248" s="804"/>
      <c r="R248" s="804">
        <f>O248/INTGRATE!$N$293</f>
        <v>0</v>
      </c>
      <c r="S248" s="665">
        <f t="shared" si="87"/>
        <v>0</v>
      </c>
      <c r="T248" s="403"/>
      <c r="U248" s="141"/>
      <c r="V248" s="840" t="str">
        <f t="shared" si="90"/>
        <v>VT12SILO</v>
      </c>
      <c r="W248" s="831">
        <v>203101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100"/>
      <c r="AH248" s="100">
        <v>0</v>
      </c>
      <c r="AI248" s="100">
        <v>0</v>
      </c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82"/>
        <v>0</v>
      </c>
      <c r="BD248" s="786">
        <f t="shared" si="83"/>
        <v>0</v>
      </c>
      <c r="BE248" s="786">
        <f t="shared" si="84"/>
        <v>0</v>
      </c>
      <c r="BH248" s="436"/>
    </row>
    <row r="249" spans="1:60" s="38" customFormat="1" ht="15" customHeight="1">
      <c r="A249" s="68">
        <v>43</v>
      </c>
      <c r="B249" s="349" t="s">
        <v>230</v>
      </c>
      <c r="C249" s="349" t="s">
        <v>64</v>
      </c>
      <c r="D249" s="660">
        <v>25</v>
      </c>
      <c r="E249" s="1158">
        <v>0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0</v>
      </c>
      <c r="J249" s="100">
        <f>SUMIF(data!$D:$D,$B249&amp;$D249,data!$K:$K)</f>
        <v>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ref="M249" si="102">E249+F249+H249-I249-L249+G249-K249</f>
        <v>0</v>
      </c>
      <c r="N249" s="100">
        <f t="shared" si="86"/>
        <v>0</v>
      </c>
      <c r="O249" s="1159">
        <f t="shared" ref="O249" si="103">SUM(X249:BB249)</f>
        <v>0</v>
      </c>
      <c r="P249" s="804"/>
      <c r="Q249" s="804"/>
      <c r="R249" s="804">
        <f>O249/INTGRATE!$N$293</f>
        <v>0</v>
      </c>
      <c r="S249" s="665">
        <f t="shared" ref="S249" si="104">IF(R249=0,0,N249/R249)</f>
        <v>0</v>
      </c>
      <c r="T249" s="403"/>
      <c r="U249" s="141"/>
      <c r="V249" s="840" t="str">
        <f t="shared" si="90"/>
        <v>VT12P25</v>
      </c>
      <c r="W249" s="831">
        <v>20310890</v>
      </c>
      <c r="X249" s="387"/>
      <c r="Y249" s="387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100"/>
      <c r="AH249" s="100">
        <v>0</v>
      </c>
      <c r="AI249" s="100">
        <v>0</v>
      </c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82"/>
        <v>0</v>
      </c>
      <c r="BD249" s="786">
        <f t="shared" si="83"/>
        <v>0</v>
      </c>
      <c r="BE249" s="786">
        <f t="shared" si="84"/>
        <v>0</v>
      </c>
      <c r="BH249" s="436"/>
    </row>
    <row r="250" spans="1:60" s="38" customFormat="1" ht="15" customHeight="1">
      <c r="A250" s="68">
        <v>44</v>
      </c>
      <c r="B250" s="349" t="s">
        <v>229</v>
      </c>
      <c r="C250" s="349" t="s">
        <v>64</v>
      </c>
      <c r="D250" s="660">
        <v>25</v>
      </c>
      <c r="E250" s="1158">
        <v>2024</v>
      </c>
      <c r="F250" s="100">
        <f>SUMIF(pro!$A:$A,$V:$V,pro!$N:$N)</f>
        <v>623</v>
      </c>
      <c r="G250" s="100"/>
      <c r="H250" s="100">
        <f>SUMIF(CBIN!$A:$A,BRAN!$V:$V,CBIN!$G:$G)</f>
        <v>0</v>
      </c>
      <c r="I250" s="100">
        <f>SUMIF(data!$D:$D,$B250&amp;$D250,data!$J:$J)</f>
        <v>360</v>
      </c>
      <c r="J250" s="100">
        <f>SUMIF(data!$D:$D,$B250&amp;$D250,data!$K:$K)</f>
        <v>9000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9"/>
        <v>2287</v>
      </c>
      <c r="N250" s="100">
        <f t="shared" si="86"/>
        <v>57175</v>
      </c>
      <c r="O250" s="1159">
        <f t="shared" si="76"/>
        <v>130500</v>
      </c>
      <c r="P250" s="804"/>
      <c r="Q250" s="804"/>
      <c r="R250" s="804">
        <f>O250/INTGRATE!$N$293</f>
        <v>11863.636363636364</v>
      </c>
      <c r="S250" s="665">
        <f t="shared" si="87"/>
        <v>4.8193486590038317</v>
      </c>
      <c r="T250" s="403"/>
      <c r="U250" s="141"/>
      <c r="V250" s="840" t="str">
        <f>B250&amp;D250</f>
        <v>VT1225</v>
      </c>
      <c r="W250" s="831">
        <v>203101</v>
      </c>
      <c r="X250" s="387"/>
      <c r="Y250" s="387">
        <v>12250</v>
      </c>
      <c r="Z250" s="100">
        <v>21750</v>
      </c>
      <c r="AA250" s="100">
        <v>12750</v>
      </c>
      <c r="AB250" s="100">
        <v>11500</v>
      </c>
      <c r="AC250" s="100">
        <v>11725</v>
      </c>
      <c r="AD250" s="100">
        <v>15250</v>
      </c>
      <c r="AE250" s="100">
        <v>6625</v>
      </c>
      <c r="AF250" s="100">
        <v>13500</v>
      </c>
      <c r="AG250" s="100"/>
      <c r="AH250" s="100">
        <v>16150</v>
      </c>
      <c r="AI250" s="100">
        <v>9000</v>
      </c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82"/>
        <v>130500</v>
      </c>
      <c r="BD250" s="786">
        <f t="shared" si="83"/>
        <v>10</v>
      </c>
      <c r="BE250" s="786">
        <f t="shared" si="84"/>
        <v>13050</v>
      </c>
      <c r="BH250" s="436"/>
    </row>
    <row r="251" spans="1:60" s="38" customFormat="1" ht="15" customHeight="1">
      <c r="A251" s="68">
        <v>45</v>
      </c>
      <c r="B251" s="180" t="s">
        <v>231</v>
      </c>
      <c r="C251" s="538" t="s">
        <v>61</v>
      </c>
      <c r="D251" s="164">
        <v>25</v>
      </c>
      <c r="E251" s="1158">
        <v>35</v>
      </c>
      <c r="F251" s="100">
        <f>SUMIF(pro!$A:$A,$V:$V,pro!$N:$N)</f>
        <v>205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f t="shared" si="89"/>
        <v>240</v>
      </c>
      <c r="N251" s="100">
        <f t="shared" si="86"/>
        <v>6000</v>
      </c>
      <c r="O251" s="1159">
        <f t="shared" si="76"/>
        <v>2750</v>
      </c>
      <c r="P251" s="804"/>
      <c r="Q251" s="804"/>
      <c r="R251" s="804">
        <f>O251/INTGRATE!$N$293</f>
        <v>250</v>
      </c>
      <c r="S251" s="665">
        <f t="shared" si="87"/>
        <v>24</v>
      </c>
      <c r="T251" s="403"/>
      <c r="U251" s="141"/>
      <c r="V251" s="840" t="str">
        <f t="shared" si="90"/>
        <v>HT1125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2500</v>
      </c>
      <c r="AD251" s="100">
        <v>0</v>
      </c>
      <c r="AE251" s="100">
        <v>250</v>
      </c>
      <c r="AF251" s="100">
        <v>0</v>
      </c>
      <c r="AG251" s="100"/>
      <c r="AH251" s="100">
        <v>0</v>
      </c>
      <c r="AI251" s="100">
        <v>0</v>
      </c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82"/>
        <v>2750</v>
      </c>
      <c r="BD251" s="786">
        <f t="shared" si="83"/>
        <v>2</v>
      </c>
      <c r="BE251" s="786">
        <f t="shared" si="84"/>
        <v>1375</v>
      </c>
      <c r="BH251" s="436"/>
    </row>
    <row r="252" spans="1:60" s="38" customFormat="1" ht="15" customHeight="1">
      <c r="A252" s="68">
        <v>46</v>
      </c>
      <c r="B252" s="180" t="s">
        <v>231</v>
      </c>
      <c r="C252" s="538" t="s">
        <v>61</v>
      </c>
      <c r="D252" s="615" t="s">
        <v>66</v>
      </c>
      <c r="E252" s="1158">
        <v>0</v>
      </c>
      <c r="F252" s="100">
        <f>+J252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v>0</v>
      </c>
      <c r="N252" s="100"/>
      <c r="O252" s="1159">
        <f t="shared" si="76"/>
        <v>12960</v>
      </c>
      <c r="P252" s="804"/>
      <c r="Q252" s="804"/>
      <c r="R252" s="804">
        <f>O252/INTGRATE!$N$293</f>
        <v>1178.1818181818182</v>
      </c>
      <c r="S252" s="665">
        <f t="shared" si="87"/>
        <v>0</v>
      </c>
      <c r="T252" s="403"/>
      <c r="U252" s="141"/>
      <c r="V252" s="840" t="str">
        <f t="shared" si="90"/>
        <v>HT11SILO</v>
      </c>
      <c r="W252" s="831">
        <v>314001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7430</v>
      </c>
      <c r="AD252" s="100">
        <v>0</v>
      </c>
      <c r="AE252" s="100">
        <v>0</v>
      </c>
      <c r="AF252" s="100">
        <v>5530</v>
      </c>
      <c r="AG252" s="100"/>
      <c r="AH252" s="100">
        <v>0</v>
      </c>
      <c r="AI252" s="100">
        <v>0</v>
      </c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82"/>
        <v>12960</v>
      </c>
      <c r="BD252" s="786">
        <f t="shared" si="83"/>
        <v>2</v>
      </c>
      <c r="BE252" s="786">
        <f t="shared" si="84"/>
        <v>6480</v>
      </c>
      <c r="BF252" s="85"/>
      <c r="BH252" s="436"/>
    </row>
    <row r="253" spans="1:60" s="38" customFormat="1" ht="15" customHeight="1">
      <c r="A253" s="68">
        <v>47</v>
      </c>
      <c r="B253" s="180" t="s">
        <v>232</v>
      </c>
      <c r="C253" s="538" t="s">
        <v>61</v>
      </c>
      <c r="D253" s="664">
        <v>25</v>
      </c>
      <c r="E253" s="1158">
        <v>0</v>
      </c>
      <c r="F253" s="100">
        <f>SUMIF(pro!$A:$A,$V:$V,pro!$N:$N)</f>
        <v>0</v>
      </c>
      <c r="G253" s="100"/>
      <c r="H253" s="100">
        <f>SUMIF(CBIN!$A:$A,BRAN!$V:$V,CBIN!$G:$G)</f>
        <v>0</v>
      </c>
      <c r="I253" s="100">
        <f>SUMIF(data!$D:$D,$B253&amp;$D253,data!$J:$J)</f>
        <v>0</v>
      </c>
      <c r="J253" s="100">
        <f>SUMIF(data!$D:$D,$B253&amp;$D253,data!$K:$K)</f>
        <v>0</v>
      </c>
      <c r="K253" s="100">
        <f>SUMIF(AJOUT!$A:$A,BRAN!$V:$V,AJOUT!$L:$L)</f>
        <v>0</v>
      </c>
      <c r="L253" s="100">
        <f>SUMIF(CBOUT!$A:$A,BRAN!$V:$V,CBOUT!$G:$G)</f>
        <v>0</v>
      </c>
      <c r="M253" s="1158">
        <f>E253+F253+H253-I253-L253+G253-K253</f>
        <v>0</v>
      </c>
      <c r="N253" s="100">
        <f t="shared" si="86"/>
        <v>0</v>
      </c>
      <c r="O253" s="1159">
        <f t="shared" si="76"/>
        <v>0</v>
      </c>
      <c r="P253" s="804"/>
      <c r="Q253" s="804"/>
      <c r="R253" s="804">
        <f>O253/INTGRATE!$N$293</f>
        <v>0</v>
      </c>
      <c r="S253" s="665">
        <f t="shared" si="87"/>
        <v>0</v>
      </c>
      <c r="T253" s="403"/>
      <c r="U253" s="141"/>
      <c r="V253" s="840" t="str">
        <f t="shared" si="90"/>
        <v>HT11X25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100"/>
      <c r="AH253" s="100">
        <v>0</v>
      </c>
      <c r="AI253" s="100">
        <v>0</v>
      </c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82"/>
        <v>0</v>
      </c>
      <c r="BD253" s="786">
        <f t="shared" si="83"/>
        <v>0</v>
      </c>
      <c r="BE253" s="786">
        <f t="shared" si="84"/>
        <v>0</v>
      </c>
      <c r="BF253" s="85"/>
      <c r="BH253" s="436"/>
    </row>
    <row r="254" spans="1:60" s="38" customFormat="1" ht="15" customHeight="1">
      <c r="A254" s="68">
        <v>48</v>
      </c>
      <c r="B254" s="180" t="s">
        <v>232</v>
      </c>
      <c r="C254" s="538" t="s">
        <v>61</v>
      </c>
      <c r="D254" s="615" t="s">
        <v>66</v>
      </c>
      <c r="E254" s="1158"/>
      <c r="F254" s="100">
        <f>+J254</f>
        <v>0</v>
      </c>
      <c r="G254" s="100"/>
      <c r="H254" s="100"/>
      <c r="I254" s="100">
        <f>SUMIF(data!$D:$D,$B254&amp;$D254,data!$J:$J)</f>
        <v>0</v>
      </c>
      <c r="J254" s="100">
        <f>SUMIF(data!$D:$D,$B254&amp;$D254,data!$K:$K)</f>
        <v>0</v>
      </c>
      <c r="K254" s="100"/>
      <c r="L254" s="100"/>
      <c r="M254" s="1158"/>
      <c r="N254" s="100"/>
      <c r="O254" s="1159">
        <f t="shared" si="76"/>
        <v>0</v>
      </c>
      <c r="P254" s="804"/>
      <c r="Q254" s="804"/>
      <c r="R254" s="804">
        <f>O254/INTGRATE!$N$293</f>
        <v>0</v>
      </c>
      <c r="S254" s="665">
        <f t="shared" si="87"/>
        <v>0</v>
      </c>
      <c r="T254" s="403"/>
      <c r="U254" s="141"/>
      <c r="V254" s="840" t="str">
        <f t="shared" si="90"/>
        <v>HT11XSILO</v>
      </c>
      <c r="W254" s="831">
        <v>314008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100"/>
      <c r="AH254" s="100">
        <v>0</v>
      </c>
      <c r="AI254" s="100">
        <v>0</v>
      </c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82"/>
        <v>0</v>
      </c>
      <c r="BD254" s="786">
        <f t="shared" si="83"/>
        <v>0</v>
      </c>
      <c r="BE254" s="786">
        <f t="shared" si="84"/>
        <v>0</v>
      </c>
      <c r="BF254" s="85"/>
      <c r="BH254" s="436"/>
    </row>
    <row r="255" spans="1:60" s="38" customFormat="1" ht="15" customHeight="1">
      <c r="A255" s="68">
        <v>49</v>
      </c>
      <c r="B255" s="180" t="s">
        <v>233</v>
      </c>
      <c r="C255" s="538" t="s">
        <v>61</v>
      </c>
      <c r="D255" s="164">
        <v>25</v>
      </c>
      <c r="E255" s="1158">
        <v>1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1</v>
      </c>
      <c r="N255" s="100">
        <f t="shared" si="86"/>
        <v>25</v>
      </c>
      <c r="O255" s="1159">
        <f>SUM(X255:BB255)</f>
        <v>14800</v>
      </c>
      <c r="P255" s="804"/>
      <c r="Q255" s="804"/>
      <c r="R255" s="804">
        <f>O255/INTGRATE!$N$293</f>
        <v>1345.4545454545455</v>
      </c>
      <c r="S255" s="665">
        <f t="shared" si="87"/>
        <v>1.8581081081081082E-2</v>
      </c>
      <c r="T255" s="403"/>
      <c r="U255" s="141"/>
      <c r="V255" s="840" t="str">
        <f t="shared" si="90"/>
        <v>HT11GP25</v>
      </c>
      <c r="W255" s="823">
        <v>314011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7875</v>
      </c>
      <c r="AD255" s="100">
        <v>0</v>
      </c>
      <c r="AE255" s="100">
        <v>0</v>
      </c>
      <c r="AF255" s="100">
        <v>0</v>
      </c>
      <c r="AG255" s="100"/>
      <c r="AH255" s="100">
        <v>6925</v>
      </c>
      <c r="AI255" s="100">
        <v>0</v>
      </c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82"/>
        <v>14800</v>
      </c>
      <c r="BD255" s="786">
        <f t="shared" si="83"/>
        <v>2</v>
      </c>
      <c r="BE255" s="786">
        <f t="shared" si="84"/>
        <v>7400</v>
      </c>
      <c r="BH255" s="436"/>
    </row>
    <row r="256" spans="1:60" s="38" customFormat="1" ht="15" customHeight="1">
      <c r="A256" s="68">
        <v>50</v>
      </c>
      <c r="B256" s="107" t="s">
        <v>234</v>
      </c>
      <c r="C256" s="107" t="s">
        <v>64</v>
      </c>
      <c r="D256" s="91">
        <v>25</v>
      </c>
      <c r="E256" s="1158">
        <v>675</v>
      </c>
      <c r="F256" s="100">
        <f>SUMIF(pro!$A:$A,$V:$V,pro!$N:$N)</f>
        <v>394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f>E256+F256+H256-I256-L256+G256-K256</f>
        <v>1069</v>
      </c>
      <c r="N256" s="100">
        <f t="shared" si="86"/>
        <v>26725</v>
      </c>
      <c r="O256" s="1159">
        <f t="shared" si="76"/>
        <v>22875</v>
      </c>
      <c r="P256" s="804"/>
      <c r="Q256" s="804"/>
      <c r="R256" s="804">
        <f>O256/INTGRATE!$N$293</f>
        <v>2079.5454545454545</v>
      </c>
      <c r="S256" s="665">
        <f t="shared" si="87"/>
        <v>12.851366120218579</v>
      </c>
      <c r="T256" s="403"/>
      <c r="U256" s="141"/>
      <c r="V256" s="840" t="str">
        <f t="shared" si="90"/>
        <v>HT1225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10000</v>
      </c>
      <c r="AD256" s="100">
        <v>0</v>
      </c>
      <c r="AE256" s="100">
        <v>0</v>
      </c>
      <c r="AF256" s="100">
        <v>0</v>
      </c>
      <c r="AG256" s="100"/>
      <c r="AH256" s="100">
        <v>12875</v>
      </c>
      <c r="AI256" s="100">
        <v>0</v>
      </c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82"/>
        <v>22875</v>
      </c>
      <c r="BD256" s="786">
        <f t="shared" si="83"/>
        <v>2</v>
      </c>
      <c r="BE256" s="786">
        <f t="shared" si="84"/>
        <v>11437.5</v>
      </c>
      <c r="BH256" s="436"/>
    </row>
    <row r="257" spans="1:60" s="38" customFormat="1" ht="15" customHeight="1">
      <c r="A257" s="68">
        <v>51</v>
      </c>
      <c r="B257" s="107" t="s">
        <v>234</v>
      </c>
      <c r="C257" s="107" t="s">
        <v>64</v>
      </c>
      <c r="D257" s="425" t="s">
        <v>66</v>
      </c>
      <c r="E257" s="1158">
        <v>0</v>
      </c>
      <c r="F257" s="100">
        <f>+J257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v>0</v>
      </c>
      <c r="N257" s="100"/>
      <c r="O257" s="1159">
        <f t="shared" si="76"/>
        <v>0</v>
      </c>
      <c r="P257" s="804"/>
      <c r="Q257" s="804"/>
      <c r="R257" s="804">
        <f>O257/INTGRATE!$N$293</f>
        <v>0</v>
      </c>
      <c r="S257" s="665">
        <f t="shared" si="87"/>
        <v>0</v>
      </c>
      <c r="T257" s="403"/>
      <c r="U257" s="141"/>
      <c r="V257" s="840" t="str">
        <f t="shared" si="90"/>
        <v>HT12SILO</v>
      </c>
      <c r="W257" s="831">
        <v>321001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100"/>
      <c r="AH257" s="100">
        <v>0</v>
      </c>
      <c r="AI257" s="100">
        <v>0</v>
      </c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82"/>
        <v>0</v>
      </c>
      <c r="BD257" s="786">
        <f t="shared" si="83"/>
        <v>0</v>
      </c>
      <c r="BE257" s="786">
        <f t="shared" si="84"/>
        <v>0</v>
      </c>
      <c r="BH257" s="436"/>
    </row>
    <row r="258" spans="1:60" s="38" customFormat="1" ht="15" customHeight="1">
      <c r="A258" s="68">
        <v>52</v>
      </c>
      <c r="B258" s="107" t="s">
        <v>235</v>
      </c>
      <c r="C258" s="107" t="s">
        <v>64</v>
      </c>
      <c r="D258" s="91">
        <v>25</v>
      </c>
      <c r="E258" s="1158">
        <v>0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0</v>
      </c>
      <c r="N258" s="100">
        <f t="shared" si="86"/>
        <v>0</v>
      </c>
      <c r="O258" s="1159">
        <f t="shared" si="76"/>
        <v>0</v>
      </c>
      <c r="P258" s="804"/>
      <c r="Q258" s="804"/>
      <c r="R258" s="804">
        <f>O258/INTGRATE!$N$293</f>
        <v>0</v>
      </c>
      <c r="S258" s="665">
        <f t="shared" si="87"/>
        <v>0</v>
      </c>
      <c r="T258" s="403"/>
      <c r="U258" s="141"/>
      <c r="V258" s="840" t="str">
        <f t="shared" si="90"/>
        <v>HT12M25</v>
      </c>
      <c r="W258" s="831">
        <v>321012</v>
      </c>
      <c r="X258" s="387"/>
      <c r="Y258" s="387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100"/>
      <c r="AH258" s="100">
        <v>0</v>
      </c>
      <c r="AI258" s="100">
        <v>0</v>
      </c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82"/>
        <v>0</v>
      </c>
      <c r="BD258" s="786">
        <f t="shared" si="83"/>
        <v>0</v>
      </c>
      <c r="BE258" s="786">
        <f t="shared" si="84"/>
        <v>0</v>
      </c>
      <c r="BH258" s="436"/>
    </row>
    <row r="259" spans="1:60" s="38" customFormat="1" ht="15" customHeight="1">
      <c r="A259" s="68">
        <v>53</v>
      </c>
      <c r="B259" s="107" t="s">
        <v>236</v>
      </c>
      <c r="C259" s="1175" t="s">
        <v>61</v>
      </c>
      <c r="D259" s="91">
        <v>25</v>
      </c>
      <c r="E259" s="1158">
        <v>654</v>
      </c>
      <c r="F259" s="100">
        <f>SUMIF(pro!$A:$A,$V:$V,pro!$N:$N)</f>
        <v>977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f>E259+F259+H259-I259-L259+G259-K259</f>
        <v>1631</v>
      </c>
      <c r="N259" s="100">
        <f t="shared" si="86"/>
        <v>40775</v>
      </c>
      <c r="O259" s="1159">
        <f t="shared" si="76"/>
        <v>52750</v>
      </c>
      <c r="P259" s="804"/>
      <c r="Q259" s="804"/>
      <c r="R259" s="804">
        <f>O259/INTGRATE!$N$293</f>
        <v>4795.454545454545</v>
      </c>
      <c r="S259" s="665">
        <f t="shared" si="87"/>
        <v>8.5028436018957354</v>
      </c>
      <c r="T259" s="403"/>
      <c r="U259" s="141"/>
      <c r="V259" s="836" t="str">
        <f t="shared" si="90"/>
        <v>HT12S25</v>
      </c>
      <c r="W259" s="823">
        <v>320001</v>
      </c>
      <c r="X259" s="387"/>
      <c r="Y259" s="387">
        <v>0</v>
      </c>
      <c r="Z259" s="100">
        <v>14250</v>
      </c>
      <c r="AA259" s="100">
        <v>0</v>
      </c>
      <c r="AB259" s="100">
        <v>0</v>
      </c>
      <c r="AC259" s="100">
        <v>10000</v>
      </c>
      <c r="AD259" s="100">
        <v>16000</v>
      </c>
      <c r="AE259" s="100">
        <v>0</v>
      </c>
      <c r="AF259" s="100">
        <v>0</v>
      </c>
      <c r="AG259" s="100"/>
      <c r="AH259" s="100">
        <v>12500</v>
      </c>
      <c r="AI259" s="100">
        <v>0</v>
      </c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82"/>
        <v>52750</v>
      </c>
      <c r="BD259" s="786">
        <f t="shared" si="83"/>
        <v>4</v>
      </c>
      <c r="BE259" s="786">
        <f t="shared" si="84"/>
        <v>13187.5</v>
      </c>
      <c r="BH259" s="436"/>
    </row>
    <row r="260" spans="1:60" s="38" customFormat="1" ht="15" customHeight="1">
      <c r="A260" s="68">
        <v>54</v>
      </c>
      <c r="B260" s="107" t="s">
        <v>236</v>
      </c>
      <c r="C260" s="1175" t="s">
        <v>61</v>
      </c>
      <c r="D260" s="425" t="s">
        <v>66</v>
      </c>
      <c r="E260" s="1158">
        <v>0</v>
      </c>
      <c r="F260" s="100">
        <f>+J260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v>0</v>
      </c>
      <c r="N260" s="100"/>
      <c r="O260" s="1159">
        <f t="shared" si="76"/>
        <v>34100</v>
      </c>
      <c r="P260" s="804"/>
      <c r="Q260" s="804"/>
      <c r="R260" s="804">
        <f>O260/INTGRATE!$N$293</f>
        <v>3100</v>
      </c>
      <c r="S260" s="665">
        <f t="shared" si="87"/>
        <v>0</v>
      </c>
      <c r="T260" s="403"/>
      <c r="U260" s="141"/>
      <c r="V260" s="836" t="str">
        <f t="shared" si="90"/>
        <v>HT12SSILO</v>
      </c>
      <c r="W260" s="823">
        <v>320001</v>
      </c>
      <c r="X260" s="387"/>
      <c r="Y260" s="387">
        <v>13220</v>
      </c>
      <c r="Z260" s="100">
        <v>0</v>
      </c>
      <c r="AA260" s="100">
        <v>0</v>
      </c>
      <c r="AB260" s="100">
        <v>7960</v>
      </c>
      <c r="AC260" s="100">
        <v>5450</v>
      </c>
      <c r="AD260" s="100">
        <v>0</v>
      </c>
      <c r="AE260" s="100">
        <v>0</v>
      </c>
      <c r="AF260" s="100">
        <v>7470</v>
      </c>
      <c r="AG260" s="100"/>
      <c r="AH260" s="100">
        <v>0</v>
      </c>
      <c r="AI260" s="100">
        <v>0</v>
      </c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82"/>
        <v>34100</v>
      </c>
      <c r="BD260" s="786">
        <f t="shared" si="83"/>
        <v>4</v>
      </c>
      <c r="BE260" s="786">
        <f t="shared" si="84"/>
        <v>8525</v>
      </c>
      <c r="BH260" s="436"/>
    </row>
    <row r="261" spans="1:60" s="38" customFormat="1" ht="15" customHeight="1">
      <c r="A261" s="68">
        <v>55</v>
      </c>
      <c r="B261" s="170" t="s">
        <v>237</v>
      </c>
      <c r="C261" s="538" t="s">
        <v>61</v>
      </c>
      <c r="D261" s="164">
        <v>25</v>
      </c>
      <c r="E261" s="1158">
        <v>0</v>
      </c>
      <c r="F261" s="100">
        <f>SUMIF(pro!$A:$A,$V:$V,pro!$N:$N)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f>E261+F261+H261-I261-L261+G261-K261</f>
        <v>0</v>
      </c>
      <c r="N261" s="100">
        <f t="shared" si="86"/>
        <v>0</v>
      </c>
      <c r="O261" s="1159">
        <f t="shared" si="76"/>
        <v>0</v>
      </c>
      <c r="P261" s="804"/>
      <c r="Q261" s="804"/>
      <c r="R261" s="804">
        <f>O261/INTGRATE!$N$293</f>
        <v>0</v>
      </c>
      <c r="S261" s="665">
        <f t="shared" si="87"/>
        <v>0</v>
      </c>
      <c r="T261" s="403"/>
      <c r="U261" s="141"/>
      <c r="V261" s="836" t="str">
        <f t="shared" si="90"/>
        <v>HT12SX25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0</v>
      </c>
      <c r="AC261" s="100">
        <v>0</v>
      </c>
      <c r="AD261" s="100">
        <v>0</v>
      </c>
      <c r="AE261" s="100">
        <v>0</v>
      </c>
      <c r="AF261" s="100">
        <v>0</v>
      </c>
      <c r="AG261" s="100"/>
      <c r="AH261" s="100">
        <v>0</v>
      </c>
      <c r="AI261" s="100">
        <v>0</v>
      </c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82"/>
        <v>0</v>
      </c>
      <c r="BD261" s="786">
        <f t="shared" si="83"/>
        <v>0</v>
      </c>
      <c r="BE261" s="786">
        <f t="shared" si="84"/>
        <v>0</v>
      </c>
      <c r="BH261" s="436"/>
    </row>
    <row r="262" spans="1:60" s="38" customFormat="1" ht="15" customHeight="1">
      <c r="A262" s="68">
        <v>56</v>
      </c>
      <c r="B262" s="170" t="s">
        <v>237</v>
      </c>
      <c r="C262" s="538" t="s">
        <v>61</v>
      </c>
      <c r="D262" s="615" t="s">
        <v>66</v>
      </c>
      <c r="E262" s="1158">
        <v>0</v>
      </c>
      <c r="F262" s="100">
        <f>+J262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v>0</v>
      </c>
      <c r="N262" s="100"/>
      <c r="O262" s="1159">
        <f t="shared" si="76"/>
        <v>15290</v>
      </c>
      <c r="P262" s="804"/>
      <c r="Q262" s="804"/>
      <c r="R262" s="804">
        <f>O262/INTGRATE!$N$293</f>
        <v>1390</v>
      </c>
      <c r="S262" s="665">
        <f t="shared" si="87"/>
        <v>0</v>
      </c>
      <c r="T262" s="403"/>
      <c r="U262" s="141"/>
      <c r="V262" s="836" t="str">
        <f t="shared" si="90"/>
        <v>HT12SXSILO</v>
      </c>
      <c r="W262" s="823">
        <v>320008</v>
      </c>
      <c r="X262" s="387"/>
      <c r="Y262" s="387">
        <v>0</v>
      </c>
      <c r="Z262" s="100">
        <v>0</v>
      </c>
      <c r="AA262" s="100">
        <v>0</v>
      </c>
      <c r="AB262" s="100">
        <v>15290</v>
      </c>
      <c r="AC262" s="100">
        <v>0</v>
      </c>
      <c r="AD262" s="100">
        <v>0</v>
      </c>
      <c r="AE262" s="100">
        <v>0</v>
      </c>
      <c r="AF262" s="100">
        <v>0</v>
      </c>
      <c r="AG262" s="100"/>
      <c r="AH262" s="100">
        <v>0</v>
      </c>
      <c r="AI262" s="100">
        <v>0</v>
      </c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82"/>
        <v>15290</v>
      </c>
      <c r="BD262" s="786">
        <f t="shared" si="83"/>
        <v>1</v>
      </c>
      <c r="BE262" s="786">
        <f t="shared" si="84"/>
        <v>15290</v>
      </c>
      <c r="BH262" s="436"/>
    </row>
    <row r="263" spans="1:60" s="38" customFormat="1" ht="15" customHeight="1">
      <c r="A263" s="68">
        <v>57</v>
      </c>
      <c r="B263" s="107" t="s">
        <v>238</v>
      </c>
      <c r="C263" s="107" t="s">
        <v>64</v>
      </c>
      <c r="D263" s="91">
        <v>25</v>
      </c>
      <c r="E263" s="1158">
        <v>0</v>
      </c>
      <c r="F263" s="100">
        <f>SUMIF(pro!$A:$A,$V:$V,pro!$N:$N)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f>E263+F263+H263-I263-L263+G263-K263</f>
        <v>0</v>
      </c>
      <c r="N263" s="100">
        <f t="shared" si="86"/>
        <v>0</v>
      </c>
      <c r="O263" s="1159">
        <f t="shared" si="76"/>
        <v>325</v>
      </c>
      <c r="P263" s="804"/>
      <c r="Q263" s="804"/>
      <c r="R263" s="804">
        <f>O263/INTGRATE!$N$293</f>
        <v>29.545454545454547</v>
      </c>
      <c r="S263" s="665">
        <f t="shared" si="87"/>
        <v>0</v>
      </c>
      <c r="T263" s="403"/>
      <c r="U263" s="141"/>
      <c r="V263" s="840" t="str">
        <f t="shared" si="90"/>
        <v>HT1325</v>
      </c>
      <c r="W263" s="831">
        <v>332301</v>
      </c>
      <c r="X263" s="387"/>
      <c r="Y263" s="387">
        <v>325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100"/>
      <c r="AH263" s="100">
        <v>0</v>
      </c>
      <c r="AI263" s="100">
        <v>0</v>
      </c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82"/>
        <v>325</v>
      </c>
      <c r="BD263" s="786">
        <f t="shared" si="83"/>
        <v>1</v>
      </c>
      <c r="BE263" s="786">
        <f t="shared" si="84"/>
        <v>325</v>
      </c>
      <c r="BH263" s="436"/>
    </row>
    <row r="264" spans="1:60" s="38" customFormat="1" ht="15" customHeight="1">
      <c r="A264" s="68">
        <v>58</v>
      </c>
      <c r="B264" s="107" t="s">
        <v>239</v>
      </c>
      <c r="C264" s="107" t="s">
        <v>64</v>
      </c>
      <c r="D264" s="91" t="s">
        <v>66</v>
      </c>
      <c r="E264" s="1158">
        <v>0</v>
      </c>
      <c r="F264" s="100">
        <f>+J264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v>0</v>
      </c>
      <c r="N264" s="100"/>
      <c r="O264" s="1159">
        <f t="shared" si="76"/>
        <v>0</v>
      </c>
      <c r="P264" s="804"/>
      <c r="Q264" s="804"/>
      <c r="R264" s="804">
        <f>O264/INTGRATE!$N$293</f>
        <v>0</v>
      </c>
      <c r="S264" s="665">
        <f t="shared" si="87"/>
        <v>0</v>
      </c>
      <c r="T264" s="620"/>
      <c r="U264" s="141"/>
      <c r="V264" s="840" t="str">
        <f t="shared" si="90"/>
        <v>HT13SSILO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100"/>
      <c r="AH264" s="100">
        <v>0</v>
      </c>
      <c r="AI264" s="100">
        <v>0</v>
      </c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82"/>
        <v>0</v>
      </c>
      <c r="BD264" s="786">
        <f t="shared" si="83"/>
        <v>0</v>
      </c>
      <c r="BE264" s="786">
        <f t="shared" si="84"/>
        <v>0</v>
      </c>
      <c r="BH264" s="436"/>
    </row>
    <row r="265" spans="1:60" s="38" customFormat="1" ht="15" customHeight="1">
      <c r="A265" s="68">
        <v>59</v>
      </c>
      <c r="B265" s="107" t="s">
        <v>239</v>
      </c>
      <c r="C265" s="107" t="s">
        <v>64</v>
      </c>
      <c r="D265" s="91">
        <v>25</v>
      </c>
      <c r="E265" s="1158">
        <v>0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0</v>
      </c>
      <c r="N265" s="100">
        <f t="shared" si="86"/>
        <v>0</v>
      </c>
      <c r="O265" s="1159">
        <f t="shared" si="76"/>
        <v>0</v>
      </c>
      <c r="P265" s="804"/>
      <c r="Q265" s="804"/>
      <c r="R265" s="804">
        <f>O265/INTGRATE!$N$293</f>
        <v>0</v>
      </c>
      <c r="S265" s="665">
        <f t="shared" si="87"/>
        <v>0</v>
      </c>
      <c r="T265" s="404"/>
      <c r="U265" s="141"/>
      <c r="V265" s="840" t="str">
        <f t="shared" si="90"/>
        <v>HT13S25</v>
      </c>
      <c r="W265" s="831">
        <v>332101</v>
      </c>
      <c r="X265" s="387"/>
      <c r="Y265" s="387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100"/>
      <c r="AH265" s="100">
        <v>0</v>
      </c>
      <c r="AI265" s="100">
        <v>0</v>
      </c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82"/>
        <v>0</v>
      </c>
      <c r="BD265" s="786">
        <f t="shared" si="83"/>
        <v>0</v>
      </c>
      <c r="BE265" s="786">
        <f t="shared" si="84"/>
        <v>0</v>
      </c>
      <c r="BH265" s="436"/>
    </row>
    <row r="266" spans="1:60" s="38" customFormat="1" ht="15" customHeight="1">
      <c r="A266" s="68">
        <v>60</v>
      </c>
      <c r="B266" s="179" t="s">
        <v>240</v>
      </c>
      <c r="C266" s="172" t="s">
        <v>64</v>
      </c>
      <c r="D266" s="173">
        <v>25</v>
      </c>
      <c r="E266" s="1158">
        <v>64</v>
      </c>
      <c r="F266" s="100">
        <f>SUMIF(pro!$A:$A,$V:$V,pro!$N:$N)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E266+F266+H266-I266-L266+G266-K266</f>
        <v>64</v>
      </c>
      <c r="N266" s="100">
        <f t="shared" si="86"/>
        <v>1600</v>
      </c>
      <c r="O266" s="1159">
        <f t="shared" si="76"/>
        <v>28000</v>
      </c>
      <c r="P266" s="804"/>
      <c r="Q266" s="804"/>
      <c r="R266" s="804">
        <f>O266/INTGRATE!$N$293</f>
        <v>2545.4545454545455</v>
      </c>
      <c r="S266" s="665">
        <f t="shared" si="87"/>
        <v>0.62857142857142856</v>
      </c>
      <c r="T266" s="401"/>
      <c r="U266" s="141"/>
      <c r="V266" s="840" t="str">
        <f t="shared" si="90"/>
        <v>HG1625</v>
      </c>
      <c r="W266" s="831">
        <v>366201</v>
      </c>
      <c r="X266" s="387"/>
      <c r="Y266" s="387">
        <v>11125</v>
      </c>
      <c r="Z266" s="100">
        <v>0</v>
      </c>
      <c r="AA266" s="100">
        <v>500</v>
      </c>
      <c r="AB266" s="100">
        <v>0</v>
      </c>
      <c r="AC266" s="100">
        <v>1750</v>
      </c>
      <c r="AD266" s="100">
        <v>0</v>
      </c>
      <c r="AE266" s="100">
        <v>14625</v>
      </c>
      <c r="AF266" s="100">
        <v>0</v>
      </c>
      <c r="AG266" s="100"/>
      <c r="AH266" s="100">
        <v>0</v>
      </c>
      <c r="AI266" s="100">
        <v>0</v>
      </c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82"/>
        <v>28000</v>
      </c>
      <c r="BD266" s="786">
        <f t="shared" si="83"/>
        <v>4</v>
      </c>
      <c r="BE266" s="786">
        <f t="shared" si="84"/>
        <v>7000</v>
      </c>
      <c r="BH266" s="618"/>
    </row>
    <row r="267" spans="1:60" s="38" customFormat="1" ht="15" customHeight="1">
      <c r="A267" s="68">
        <v>61</v>
      </c>
      <c r="B267" s="179" t="s">
        <v>240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6"/>
        <v>9170</v>
      </c>
      <c r="P267" s="805"/>
      <c r="Q267" s="805"/>
      <c r="R267" s="804">
        <f>O267/INTGRATE!$N$293</f>
        <v>833.63636363636363</v>
      </c>
      <c r="S267" s="665">
        <f t="shared" si="87"/>
        <v>0</v>
      </c>
      <c r="T267" s="401"/>
      <c r="U267" s="141"/>
      <c r="V267" s="840" t="str">
        <f t="shared" si="90"/>
        <v>HG16SILO</v>
      </c>
      <c r="W267" s="831">
        <v>366201</v>
      </c>
      <c r="X267" s="387"/>
      <c r="Y267" s="387">
        <v>0</v>
      </c>
      <c r="Z267" s="100">
        <v>0</v>
      </c>
      <c r="AA267" s="100">
        <v>0</v>
      </c>
      <c r="AB267" s="100">
        <v>5180</v>
      </c>
      <c r="AC267" s="100">
        <v>0</v>
      </c>
      <c r="AD267" s="100">
        <v>0</v>
      </c>
      <c r="AE267" s="100">
        <v>3990</v>
      </c>
      <c r="AF267" s="100">
        <v>0</v>
      </c>
      <c r="AG267" s="100"/>
      <c r="AH267" s="100">
        <v>0</v>
      </c>
      <c r="AI267" s="100">
        <v>0</v>
      </c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82"/>
        <v>9170</v>
      </c>
      <c r="BD267" s="786">
        <f t="shared" si="83"/>
        <v>2</v>
      </c>
      <c r="BE267" s="786">
        <f t="shared" si="84"/>
        <v>4585</v>
      </c>
      <c r="BH267" s="436"/>
    </row>
    <row r="268" spans="1:60" s="38" customFormat="1" ht="15" customHeight="1">
      <c r="A268" s="68">
        <v>62</v>
      </c>
      <c r="B268" s="179" t="s">
        <v>241</v>
      </c>
      <c r="C268" s="172" t="s">
        <v>64</v>
      </c>
      <c r="D268" s="616" t="s">
        <v>66</v>
      </c>
      <c r="E268" s="1158">
        <v>0</v>
      </c>
      <c r="F268" s="100">
        <f>+J268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+F268-J268</f>
        <v>0</v>
      </c>
      <c r="N268" s="100"/>
      <c r="O268" s="1159">
        <f t="shared" si="76"/>
        <v>0</v>
      </c>
      <c r="P268" s="805"/>
      <c r="Q268" s="805"/>
      <c r="R268" s="804">
        <f>O268/INTGRATE!$N$293</f>
        <v>0</v>
      </c>
      <c r="S268" s="665">
        <f t="shared" si="87"/>
        <v>0</v>
      </c>
      <c r="T268" s="401"/>
      <c r="U268" s="141"/>
      <c r="V268" s="840" t="str">
        <f>B268&amp;D268</f>
        <v>HG16XSILO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100"/>
      <c r="AH268" s="100">
        <v>0</v>
      </c>
      <c r="AI268" s="100">
        <v>0</v>
      </c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82"/>
        <v>0</v>
      </c>
      <c r="BD268" s="786">
        <f t="shared" si="83"/>
        <v>0</v>
      </c>
      <c r="BE268" s="786">
        <f t="shared" si="84"/>
        <v>0</v>
      </c>
      <c r="BH268" s="436"/>
    </row>
    <row r="269" spans="1:60" s="38" customFormat="1" ht="15" customHeight="1">
      <c r="A269" s="68">
        <v>63</v>
      </c>
      <c r="B269" s="179" t="s">
        <v>241</v>
      </c>
      <c r="C269" s="172" t="s">
        <v>64</v>
      </c>
      <c r="D269" s="616">
        <v>25</v>
      </c>
      <c r="E269" s="1158">
        <v>0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0</v>
      </c>
      <c r="J269" s="100">
        <f>SUMIF(data!$D:$D,$B269&amp;$D269,data!$K:$K)</f>
        <v>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0</v>
      </c>
      <c r="N269" s="100"/>
      <c r="O269" s="1159">
        <f t="shared" ref="O269" si="105">SUM(X269:BB269)</f>
        <v>0</v>
      </c>
      <c r="P269" s="805"/>
      <c r="Q269" s="805"/>
      <c r="R269" s="804">
        <f>O269/INTGRATE!$N$293</f>
        <v>0</v>
      </c>
      <c r="S269" s="665">
        <f t="shared" si="87"/>
        <v>0</v>
      </c>
      <c r="T269" s="401"/>
      <c r="U269" s="141"/>
      <c r="V269" s="840" t="str">
        <f>B269&amp;D269</f>
        <v>HG16X25</v>
      </c>
      <c r="W269" s="831">
        <v>366208</v>
      </c>
      <c r="X269" s="387"/>
      <c r="Y269" s="387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100"/>
      <c r="AH269" s="100">
        <v>0</v>
      </c>
      <c r="AI269" s="100">
        <v>0</v>
      </c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82"/>
        <v>0</v>
      </c>
      <c r="BD269" s="786">
        <f t="shared" si="83"/>
        <v>0</v>
      </c>
      <c r="BE269" s="786">
        <f t="shared" si="84"/>
        <v>0</v>
      </c>
      <c r="BH269" s="436"/>
    </row>
    <row r="270" spans="1:60" s="38" customFormat="1" ht="15" customHeight="1">
      <c r="A270" s="68">
        <v>64</v>
      </c>
      <c r="B270" s="179" t="s">
        <v>242</v>
      </c>
      <c r="C270" s="172" t="s">
        <v>64</v>
      </c>
      <c r="D270" s="173">
        <v>25</v>
      </c>
      <c r="E270" s="1158">
        <v>38</v>
      </c>
      <c r="F270" s="100">
        <f>SUMIF(pro!$A:$A,$V:$V,pro!$N:$N)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E270+F270+H270-I270-L270+G270-K270</f>
        <v>38</v>
      </c>
      <c r="N270" s="100">
        <f t="shared" si="86"/>
        <v>950</v>
      </c>
      <c r="O270" s="1159">
        <f t="shared" si="76"/>
        <v>37125</v>
      </c>
      <c r="P270" s="804"/>
      <c r="Q270" s="804"/>
      <c r="R270" s="804">
        <f>O270/INTGRATE!$N$293</f>
        <v>3375</v>
      </c>
      <c r="S270" s="665">
        <f t="shared" si="87"/>
        <v>0.2814814814814815</v>
      </c>
      <c r="T270" s="401"/>
      <c r="U270" s="141"/>
      <c r="V270" s="840" t="str">
        <f t="shared" si="90"/>
        <v>HG17S25</v>
      </c>
      <c r="W270" s="831">
        <v>367101</v>
      </c>
      <c r="X270" s="387"/>
      <c r="Y270" s="387">
        <v>13250</v>
      </c>
      <c r="Z270" s="100">
        <v>0</v>
      </c>
      <c r="AA270" s="100">
        <v>625</v>
      </c>
      <c r="AB270" s="100">
        <v>0</v>
      </c>
      <c r="AC270" s="100">
        <v>750</v>
      </c>
      <c r="AD270" s="100">
        <v>1000</v>
      </c>
      <c r="AE270" s="100">
        <v>21250</v>
      </c>
      <c r="AF270" s="100">
        <v>0</v>
      </c>
      <c r="AG270" s="100"/>
      <c r="AH270" s="100">
        <v>250</v>
      </c>
      <c r="AI270" s="100">
        <v>0</v>
      </c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82"/>
        <v>37125</v>
      </c>
      <c r="BD270" s="786">
        <f t="shared" si="83"/>
        <v>6</v>
      </c>
      <c r="BE270" s="786">
        <f t="shared" si="84"/>
        <v>6187.5</v>
      </c>
      <c r="BH270" s="436"/>
    </row>
    <row r="271" spans="1:60" s="38" customFormat="1" ht="15" customHeight="1">
      <c r="A271" s="68">
        <v>65</v>
      </c>
      <c r="B271" s="179" t="s">
        <v>242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6"/>
        <v>3870</v>
      </c>
      <c r="P271" s="805"/>
      <c r="Q271" s="805"/>
      <c r="R271" s="804">
        <f>O271/INTGRATE!$N$293</f>
        <v>351.81818181818181</v>
      </c>
      <c r="S271" s="665">
        <f t="shared" si="87"/>
        <v>0</v>
      </c>
      <c r="T271" s="592"/>
      <c r="U271" s="141"/>
      <c r="V271" s="840" t="str">
        <f t="shared" si="90"/>
        <v>HG17SSILO</v>
      </c>
      <c r="W271" s="831">
        <v>367101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3870</v>
      </c>
      <c r="AF271" s="100">
        <v>0</v>
      </c>
      <c r="AG271" s="100"/>
      <c r="AH271" s="100">
        <v>0</v>
      </c>
      <c r="AI271" s="100">
        <v>0</v>
      </c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82"/>
        <v>3870</v>
      </c>
      <c r="BD271" s="786">
        <f t="shared" si="83"/>
        <v>1</v>
      </c>
      <c r="BE271" s="786">
        <f t="shared" si="84"/>
        <v>3870</v>
      </c>
      <c r="BH271" s="436"/>
    </row>
    <row r="272" spans="1:60" s="38" customFormat="1" ht="15" customHeight="1">
      <c r="A272" s="68">
        <v>66</v>
      </c>
      <c r="B272" s="179" t="s">
        <v>243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f>SUMIF(AJOUT!$A:$A,BRAN!$V:$V,AJOUT!$L:$L)</f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6"/>
        <v>0</v>
      </c>
      <c r="P272" s="805"/>
      <c r="Q272" s="805"/>
      <c r="R272" s="804">
        <f>O272/INTGRATE!$N$293</f>
        <v>0</v>
      </c>
      <c r="S272" s="665">
        <f t="shared" si="87"/>
        <v>0</v>
      </c>
      <c r="T272" s="592"/>
      <c r="U272" s="141"/>
      <c r="V272" s="840" t="str">
        <f t="shared" si="90"/>
        <v>HG17SXSILO</v>
      </c>
      <c r="W272" s="831">
        <v>367108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100"/>
      <c r="AH272" s="100">
        <v>0</v>
      </c>
      <c r="AI272" s="100">
        <v>0</v>
      </c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82"/>
        <v>0</v>
      </c>
      <c r="BD272" s="786">
        <f t="shared" si="83"/>
        <v>0</v>
      </c>
      <c r="BE272" s="786">
        <f t="shared" si="84"/>
        <v>0</v>
      </c>
      <c r="BH272" s="436"/>
    </row>
    <row r="273" spans="1:151" s="38" customFormat="1" ht="15" customHeight="1">
      <c r="A273" s="68">
        <v>67</v>
      </c>
      <c r="B273" s="179" t="s">
        <v>244</v>
      </c>
      <c r="C273" s="172" t="s">
        <v>64</v>
      </c>
      <c r="D273" s="616" t="s">
        <v>66</v>
      </c>
      <c r="E273" s="1158">
        <v>0</v>
      </c>
      <c r="F273" s="100">
        <f>+J273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v>0</v>
      </c>
      <c r="L273" s="100">
        <f>SUMIF(CBOUT!$A:$A,BRAN!$V:$V,CBOUT!$G:$G)</f>
        <v>0</v>
      </c>
      <c r="M273" s="1158">
        <f>+F273-J273</f>
        <v>0</v>
      </c>
      <c r="N273" s="100"/>
      <c r="O273" s="1159">
        <f t="shared" si="76"/>
        <v>0</v>
      </c>
      <c r="P273" s="805"/>
      <c r="Q273" s="805"/>
      <c r="R273" s="804">
        <f>O273/INTGRATE!$N$293</f>
        <v>0</v>
      </c>
      <c r="S273" s="665">
        <f t="shared" si="87"/>
        <v>0</v>
      </c>
      <c r="T273" s="592"/>
      <c r="U273" s="141"/>
      <c r="V273" s="840" t="str">
        <f t="shared" si="90"/>
        <v>HG17SILO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100"/>
      <c r="AH273" s="100">
        <v>0</v>
      </c>
      <c r="AI273" s="100">
        <v>0</v>
      </c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si="82"/>
        <v>0</v>
      </c>
      <c r="BD273" s="786">
        <f t="shared" si="83"/>
        <v>0</v>
      </c>
      <c r="BE273" s="786">
        <f t="shared" si="84"/>
        <v>0</v>
      </c>
      <c r="BH273" s="436"/>
    </row>
    <row r="274" spans="1:151" s="38" customFormat="1" ht="15" customHeight="1">
      <c r="A274" s="68">
        <v>68</v>
      </c>
      <c r="B274" s="179" t="s">
        <v>244</v>
      </c>
      <c r="C274" s="172" t="s">
        <v>64</v>
      </c>
      <c r="D274" s="173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6"/>
        <v>0</v>
      </c>
      <c r="O274" s="1159">
        <f t="shared" si="76"/>
        <v>0</v>
      </c>
      <c r="P274" s="804"/>
      <c r="Q274" s="804"/>
      <c r="R274" s="804">
        <f>O274/INTGRATE!$N$293</f>
        <v>0</v>
      </c>
      <c r="S274" s="665">
        <f t="shared" si="87"/>
        <v>0</v>
      </c>
      <c r="T274" s="402"/>
      <c r="U274" s="141"/>
      <c r="V274" s="840" t="str">
        <f t="shared" si="90"/>
        <v>HG1725</v>
      </c>
      <c r="W274" s="831">
        <v>367201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100"/>
      <c r="AH274" s="100">
        <v>0</v>
      </c>
      <c r="AI274" s="100">
        <v>0</v>
      </c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ref="BC274:BC276" si="106">SUM(X274:BB274)</f>
        <v>0</v>
      </c>
      <c r="BD274" s="786">
        <f t="shared" ref="BD274:BD276" si="107">COUNTIF(X274:BB274,"&gt;0")</f>
        <v>0</v>
      </c>
      <c r="BE274" s="786">
        <f t="shared" ref="BE274:BE276" si="108">IFERROR(BC274/BD274,0)</f>
        <v>0</v>
      </c>
      <c r="BH274" s="436"/>
    </row>
    <row r="275" spans="1:151" s="38" customFormat="1" ht="15" customHeight="1">
      <c r="A275" s="68">
        <v>69</v>
      </c>
      <c r="B275" s="349" t="s">
        <v>245</v>
      </c>
      <c r="C275" s="1176" t="s">
        <v>64</v>
      </c>
      <c r="D275" s="1177">
        <v>25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6"/>
        <v>0</v>
      </c>
      <c r="O275" s="1159">
        <f t="shared" si="76"/>
        <v>0</v>
      </c>
      <c r="P275" s="804"/>
      <c r="Q275" s="804"/>
      <c r="R275" s="804">
        <f>O275/INTGRATE!$N$293</f>
        <v>0</v>
      </c>
      <c r="S275" s="665">
        <f t="shared" si="87"/>
        <v>0</v>
      </c>
      <c r="T275" s="592"/>
      <c r="U275" s="141"/>
      <c r="V275" s="840" t="str">
        <f t="shared" si="90"/>
        <v>VD1425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100"/>
      <c r="AH275" s="100">
        <v>0</v>
      </c>
      <c r="AI275" s="100">
        <v>0</v>
      </c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6"/>
        <v>0</v>
      </c>
      <c r="BD275" s="786">
        <f t="shared" si="107"/>
        <v>0</v>
      </c>
      <c r="BE275" s="786">
        <f t="shared" si="108"/>
        <v>0</v>
      </c>
      <c r="BH275" s="436"/>
    </row>
    <row r="276" spans="1:151" s="108" customFormat="1" ht="15" customHeight="1">
      <c r="A276" s="68">
        <v>70</v>
      </c>
      <c r="B276" s="349" t="s">
        <v>245</v>
      </c>
      <c r="C276" s="1176" t="s">
        <v>64</v>
      </c>
      <c r="D276" s="1177">
        <v>40</v>
      </c>
      <c r="E276" s="1158">
        <v>0</v>
      </c>
      <c r="F276" s="100">
        <f>SUMIF(pro!$A:$A,$V:$V,pro!$N:$N)</f>
        <v>0</v>
      </c>
      <c r="G276" s="100"/>
      <c r="H276" s="100">
        <f>SUMIF(CBIN!$A:$A,BRAN!$V:$V,CBIN!$G:$G)</f>
        <v>0</v>
      </c>
      <c r="I276" s="100">
        <f>SUMIF(data!$D:$D,$B276&amp;$D276,data!$J:$J)</f>
        <v>0</v>
      </c>
      <c r="J276" s="100">
        <f>SUMIF(data!$D:$D,$B276&amp;$D276,data!$K:$K)</f>
        <v>0</v>
      </c>
      <c r="K276" s="100">
        <f>SUMIF(AJOUT!$A:$A,BRAN!$V:$V,AJOUT!$L:$L)</f>
        <v>0</v>
      </c>
      <c r="L276" s="100">
        <f>SUMIF(CBOUT!$A:$A,BRAN!$V:$V,CBOUT!$G:$G)</f>
        <v>0</v>
      </c>
      <c r="M276" s="1158">
        <f>E276+F276+H276-I276-L276+G276-K276</f>
        <v>0</v>
      </c>
      <c r="N276" s="100">
        <f t="shared" si="86"/>
        <v>0</v>
      </c>
      <c r="O276" s="1159">
        <f t="shared" si="76"/>
        <v>0</v>
      </c>
      <c r="P276" s="804"/>
      <c r="Q276" s="804"/>
      <c r="R276" s="804">
        <f>O276/INTGRATE!$N$293</f>
        <v>0</v>
      </c>
      <c r="S276" s="665">
        <f t="shared" si="87"/>
        <v>0</v>
      </c>
      <c r="T276" s="401"/>
      <c r="U276" s="141"/>
      <c r="V276" s="840" t="str">
        <f t="shared" si="90"/>
        <v>VD1440</v>
      </c>
      <c r="W276" s="831">
        <v>216201</v>
      </c>
      <c r="X276" s="387"/>
      <c r="Y276" s="387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100"/>
      <c r="AH276" s="100">
        <v>0</v>
      </c>
      <c r="AI276" s="100">
        <v>0</v>
      </c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  <c r="BC276" s="274">
        <f t="shared" si="106"/>
        <v>0</v>
      </c>
      <c r="BD276" s="786">
        <f t="shared" si="107"/>
        <v>0</v>
      </c>
      <c r="BE276" s="786">
        <f t="shared" si="108"/>
        <v>0</v>
      </c>
      <c r="BF276" s="58"/>
      <c r="BG276" s="38"/>
      <c r="BH276" s="438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8"/>
      <c r="CU276" s="58"/>
      <c r="CV276" s="58"/>
      <c r="CW276" s="58"/>
      <c r="CX276" s="58"/>
      <c r="CY276" s="58"/>
      <c r="CZ276" s="58"/>
      <c r="DA276" s="58"/>
      <c r="DB276" s="58"/>
      <c r="DC276" s="58"/>
      <c r="DD276" s="58"/>
      <c r="DE276" s="58"/>
      <c r="DF276" s="58"/>
      <c r="DG276" s="58"/>
      <c r="DH276" s="58"/>
      <c r="DI276" s="58"/>
      <c r="DJ276" s="58"/>
      <c r="DK276" s="58"/>
      <c r="DL276" s="58"/>
      <c r="DM276" s="58"/>
      <c r="DN276" s="58"/>
      <c r="DO276" s="58"/>
      <c r="DP276" s="58"/>
      <c r="DQ276" s="58"/>
      <c r="DR276" s="58"/>
      <c r="DS276" s="58"/>
      <c r="DT276" s="58"/>
      <c r="DU276" s="58"/>
      <c r="DV276" s="58"/>
      <c r="DW276" s="58"/>
      <c r="DX276" s="58"/>
      <c r="DY276" s="58"/>
      <c r="DZ276" s="58"/>
      <c r="EA276" s="58"/>
      <c r="EB276" s="58"/>
      <c r="EC276" s="58"/>
      <c r="ED276" s="58"/>
      <c r="EE276" s="58"/>
      <c r="EF276" s="58"/>
      <c r="EG276" s="58"/>
      <c r="EH276" s="58"/>
      <c r="EI276" s="58"/>
      <c r="EJ276" s="58"/>
      <c r="EK276" s="58"/>
      <c r="EL276" s="58"/>
      <c r="EM276" s="58"/>
      <c r="EN276" s="58"/>
      <c r="EO276" s="58"/>
      <c r="EP276" s="58"/>
      <c r="EQ276" s="58"/>
      <c r="ER276" s="58"/>
      <c r="ES276" s="58"/>
      <c r="ET276" s="58"/>
      <c r="EU276" s="58"/>
    </row>
    <row r="277" spans="1:151" s="59" customFormat="1" ht="15" customHeight="1">
      <c r="A277" s="1117" t="s">
        <v>71</v>
      </c>
      <c r="B277" s="1118"/>
      <c r="C277" s="1118"/>
      <c r="D277" s="1119"/>
      <c r="E277" s="109"/>
      <c r="F277" s="109"/>
      <c r="G277" s="109"/>
      <c r="H277" s="109"/>
      <c r="I277" s="109"/>
      <c r="J277" s="109"/>
      <c r="K277" s="109"/>
      <c r="L277" s="109"/>
      <c r="M277" s="477"/>
      <c r="N277" s="109"/>
      <c r="O277" s="109"/>
      <c r="P277" s="188"/>
      <c r="Q277" s="188"/>
      <c r="R277" s="109"/>
      <c r="S277" s="99"/>
      <c r="T277" s="1097">
        <f>N282/R280</f>
        <v>5.2034504878625212</v>
      </c>
      <c r="U277" s="152"/>
      <c r="V277" s="836" t="str">
        <f t="shared" si="90"/>
        <v/>
      </c>
      <c r="W277" s="823"/>
      <c r="X277" s="78">
        <f t="shared" ref="X277:BB277" si="109">SUM(X207:X276)</f>
        <v>0</v>
      </c>
      <c r="Y277" s="78">
        <f t="shared" si="109"/>
        <v>84770</v>
      </c>
      <c r="Z277" s="78">
        <f t="shared" si="109"/>
        <v>47730</v>
      </c>
      <c r="AA277" s="78">
        <f t="shared" si="109"/>
        <v>67295</v>
      </c>
      <c r="AB277" s="78">
        <f t="shared" si="109"/>
        <v>77710</v>
      </c>
      <c r="AC277" s="78">
        <f t="shared" si="109"/>
        <v>84380</v>
      </c>
      <c r="AD277" s="78">
        <f t="shared" si="109"/>
        <v>62350</v>
      </c>
      <c r="AE277" s="78">
        <f t="shared" si="109"/>
        <v>87595</v>
      </c>
      <c r="AF277" s="78">
        <f t="shared" si="109"/>
        <v>85525</v>
      </c>
      <c r="AG277" s="78">
        <f t="shared" si="109"/>
        <v>0</v>
      </c>
      <c r="AH277" s="78">
        <f t="shared" si="109"/>
        <v>102120</v>
      </c>
      <c r="AI277" s="78">
        <f t="shared" si="109"/>
        <v>41000</v>
      </c>
      <c r="AJ277" s="78">
        <f t="shared" si="109"/>
        <v>0</v>
      </c>
      <c r="AK277" s="78">
        <f t="shared" si="109"/>
        <v>0</v>
      </c>
      <c r="AL277" s="78">
        <f t="shared" si="109"/>
        <v>0</v>
      </c>
      <c r="AM277" s="78">
        <f t="shared" si="109"/>
        <v>0</v>
      </c>
      <c r="AN277" s="78">
        <f t="shared" si="109"/>
        <v>0</v>
      </c>
      <c r="AO277" s="78">
        <f t="shared" si="109"/>
        <v>0</v>
      </c>
      <c r="AP277" s="78">
        <f t="shared" si="109"/>
        <v>0</v>
      </c>
      <c r="AQ277" s="78">
        <f t="shared" si="109"/>
        <v>0</v>
      </c>
      <c r="AR277" s="78">
        <f t="shared" si="109"/>
        <v>0</v>
      </c>
      <c r="AS277" s="78">
        <f t="shared" si="109"/>
        <v>0</v>
      </c>
      <c r="AT277" s="78">
        <f t="shared" si="109"/>
        <v>0</v>
      </c>
      <c r="AU277" s="78">
        <f t="shared" si="109"/>
        <v>0</v>
      </c>
      <c r="AV277" s="78">
        <f t="shared" si="109"/>
        <v>0</v>
      </c>
      <c r="AW277" s="78">
        <f t="shared" si="109"/>
        <v>0</v>
      </c>
      <c r="AX277" s="78">
        <f t="shared" si="109"/>
        <v>0</v>
      </c>
      <c r="AY277" s="78">
        <f t="shared" si="109"/>
        <v>0</v>
      </c>
      <c r="AZ277" s="78">
        <f t="shared" si="109"/>
        <v>0</v>
      </c>
      <c r="BA277" s="78">
        <f t="shared" si="109"/>
        <v>0</v>
      </c>
      <c r="BB277" s="78">
        <f t="shared" si="109"/>
        <v>0</v>
      </c>
      <c r="BC277" s="531">
        <f t="shared" si="78"/>
        <v>740475</v>
      </c>
      <c r="BD277" s="790"/>
      <c r="BE277" s="790"/>
      <c r="BH277" s="439"/>
    </row>
    <row r="278" spans="1:151" s="59" customFormat="1" ht="15" customHeight="1">
      <c r="A278" s="1117" t="s">
        <v>72</v>
      </c>
      <c r="B278" s="1118"/>
      <c r="C278" s="1118"/>
      <c r="D278" s="1119"/>
      <c r="E278" s="110">
        <f>SUM(E207:E276)-E281-E279</f>
        <v>8877</v>
      </c>
      <c r="F278" s="110">
        <f>SUM(F207:F276)-F281-F279</f>
        <v>6774</v>
      </c>
      <c r="G278" s="110">
        <f t="shared" ref="G278:I278" si="110">SUM(G207:G275)-SUM(G208:G211)-G243-G239-G240-G241-G213-G214-G217-G219-G220-G223-G225-G228-G232-G247-G248-G252-G257-G260-G262-G264-G267-G268-G271-G272-G273-G254</f>
        <v>0</v>
      </c>
      <c r="H278" s="110">
        <f t="shared" si="110"/>
        <v>0</v>
      </c>
      <c r="I278" s="110">
        <f t="shared" si="110"/>
        <v>1640</v>
      </c>
      <c r="J278" s="110">
        <f>+J282-J281-J279</f>
        <v>41000</v>
      </c>
      <c r="K278" s="110">
        <f>SUM(K207:K275)-SUM(K208:K211)-K240-K241-K213-K214-K217-K219-K220-K223-K225-K228-K232-K247-K248-K252-K257-K260-K262-K264-K267-K268-K271-K272-K273</f>
        <v>0</v>
      </c>
      <c r="L278" s="110">
        <f>SUM(L207:L275)-SUM(L208:L211)-L240-L241-L213-L214-L217-L219-L220-L223-L225-L228-L232-L247-L248-L252-L257-L260-L262-L264-L267-L268-L271-L272-L273</f>
        <v>0</v>
      </c>
      <c r="M278" s="110">
        <f>SUM(M207:M276)-M281-M279</f>
        <v>14011</v>
      </c>
      <c r="N278" s="110">
        <f>SUM(N207:N275)-N238-N237-SUM(N208:N211)-N241-N213-N214-N217-N219-N220-N223-N225-N228-N232-N247-N248-N252-N257-N260-N262-N264-N267-N268-N271-N272-N273</f>
        <v>350275</v>
      </c>
      <c r="O278" s="110">
        <f>SUM(O207:O276)</f>
        <v>740475</v>
      </c>
      <c r="P278" s="110">
        <f>SUM(P207:P275)</f>
        <v>350275</v>
      </c>
      <c r="Q278" s="110">
        <f>SUM(Q207:Q275)</f>
        <v>740475</v>
      </c>
      <c r="R278" s="110">
        <f>SUM(R207:R275)-R217</f>
        <v>67315.909090909088</v>
      </c>
      <c r="S278" s="110">
        <f>SUM(S207:S275)-S217</f>
        <v>147.40485264216272</v>
      </c>
      <c r="T278" s="1098"/>
      <c r="U278" s="153">
        <f>SUM(U246:U274)*25+U222</f>
        <v>0</v>
      </c>
      <c r="V278" s="839" t="str">
        <f t="shared" si="90"/>
        <v/>
      </c>
      <c r="W278" s="823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59" customFormat="1" ht="15" customHeight="1">
      <c r="A279" s="1117" t="s">
        <v>73</v>
      </c>
      <c r="B279" s="1118"/>
      <c r="C279" s="1118"/>
      <c r="D279" s="1119"/>
      <c r="E279" s="111">
        <f>SUM(E276,E237,E241,E242,E244,E238)</f>
        <v>0</v>
      </c>
      <c r="F279" s="111">
        <f>SUM(F276,F237,F241,F242,F244,F238)</f>
        <v>0</v>
      </c>
      <c r="G279" s="111">
        <f t="shared" ref="G279:N279" si="111">SUM(G276,G237,G241,G242,G244,G238)</f>
        <v>0</v>
      </c>
      <c r="H279" s="111">
        <f t="shared" si="111"/>
        <v>0</v>
      </c>
      <c r="I279" s="111">
        <f t="shared" si="111"/>
        <v>0</v>
      </c>
      <c r="J279" s="111">
        <f t="shared" si="111"/>
        <v>0</v>
      </c>
      <c r="K279" s="111">
        <f t="shared" si="111"/>
        <v>0</v>
      </c>
      <c r="L279" s="111">
        <f t="shared" si="111"/>
        <v>0</v>
      </c>
      <c r="M279" s="111">
        <f t="shared" si="111"/>
        <v>0</v>
      </c>
      <c r="N279" s="111">
        <f t="shared" si="111"/>
        <v>0</v>
      </c>
      <c r="O279" s="111">
        <f t="shared" ref="O279" si="112">SUM(O276,O237,O241,O242,O244)</f>
        <v>18400</v>
      </c>
      <c r="P279" s="111">
        <f t="shared" ref="P279:Q279" si="113">SUM(P276,P237,P241)</f>
        <v>0</v>
      </c>
      <c r="Q279" s="111">
        <f t="shared" si="113"/>
        <v>0</v>
      </c>
      <c r="R279" s="111">
        <f>SUM(R276:R276)</f>
        <v>0</v>
      </c>
      <c r="S279" s="82">
        <f>IF(R279=0,0,N279/R279)</f>
        <v>0</v>
      </c>
      <c r="T279" s="1098"/>
      <c r="U279" s="154">
        <f>SUM(U276:U276)*40</f>
        <v>0</v>
      </c>
      <c r="V279" s="839" t="str">
        <f t="shared" si="90"/>
        <v/>
      </c>
      <c r="W279" s="823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439"/>
    </row>
    <row r="280" spans="1:151" s="129" customFormat="1" ht="15" customHeight="1">
      <c r="A280" s="1111" t="s">
        <v>75</v>
      </c>
      <c r="B280" s="1112"/>
      <c r="C280" s="1112"/>
      <c r="D280" s="1113"/>
      <c r="E280" s="73">
        <f>SUM(E277:E279)</f>
        <v>8877</v>
      </c>
      <c r="F280" s="73">
        <f>SUM(F277:F279)</f>
        <v>6774</v>
      </c>
      <c r="G280" s="73">
        <f t="shared" ref="G280:N280" si="114">SUM(G277:G279)</f>
        <v>0</v>
      </c>
      <c r="H280" s="73">
        <f t="shared" si="114"/>
        <v>0</v>
      </c>
      <c r="I280" s="73">
        <f t="shared" si="114"/>
        <v>1640</v>
      </c>
      <c r="J280" s="73">
        <f>+J279+J278</f>
        <v>41000</v>
      </c>
      <c r="K280" s="73">
        <f t="shared" si="114"/>
        <v>0</v>
      </c>
      <c r="L280" s="73">
        <f t="shared" si="114"/>
        <v>0</v>
      </c>
      <c r="M280" s="73">
        <f>SUM(M277:M279)</f>
        <v>14011</v>
      </c>
      <c r="N280" s="73">
        <f t="shared" si="114"/>
        <v>350275</v>
      </c>
      <c r="O280" s="767">
        <f>+O282-O281</f>
        <v>650085</v>
      </c>
      <c r="P280" s="186">
        <f>SUM(P207:P276)</f>
        <v>350275</v>
      </c>
      <c r="Q280" s="186">
        <f>+Q278-Q218</f>
        <v>740475</v>
      </c>
      <c r="R280" s="1106">
        <f>SUM(R207:R276)</f>
        <v>67315.909090909088</v>
      </c>
      <c r="S280" s="1115" t="s">
        <v>246</v>
      </c>
      <c r="T280" s="1098"/>
      <c r="U280" s="146">
        <f>SUM(U207:U276)</f>
        <v>0</v>
      </c>
      <c r="V280" s="839" t="str">
        <f t="shared" si="90"/>
        <v/>
      </c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129" customFormat="1" ht="15" customHeight="1">
      <c r="A281" s="1117" t="s">
        <v>74</v>
      </c>
      <c r="B281" s="1118"/>
      <c r="C281" s="1118"/>
      <c r="D281" s="1119"/>
      <c r="E281" s="595"/>
      <c r="F281" s="595">
        <f>F243+F239+F240+F213+F217+F267+F271+F257+F262+F252+F264+F268+F272+F211+F209+F248+F260+F247+F210+F273+F208+F223+F219+F228+F225+F232+F220+F214+F254</f>
        <v>0</v>
      </c>
      <c r="G281" s="595">
        <f t="shared" ref="G281:I281" si="115">G243+G239+G240+G213+G217+G267+G271+G257+G262+G252+G264+G268+G272+G211+G209+G248+G260+G247+G210+G273+G208+G223+G219+G228+G225+G232+G220+G214+G254</f>
        <v>0</v>
      </c>
      <c r="H281" s="595">
        <f t="shared" si="115"/>
        <v>0</v>
      </c>
      <c r="I281" s="595">
        <f t="shared" si="115"/>
        <v>0</v>
      </c>
      <c r="J281" s="595">
        <f>J243+J239+J240+J213+J217+J267+J271+J257+J262+J252+J264+J268+J272+J211+J209+J248+J260+J247+J210+J273+J208+J223+J219+J228+J225+J232+J220+J214+J254</f>
        <v>0</v>
      </c>
      <c r="K281" s="595">
        <f>+K217+K267+K271+K257+K262+K252+K264+K268+K272+K211+K209+K248+K260+K247+K210+K273+K208</f>
        <v>0</v>
      </c>
      <c r="L281" s="595">
        <f>+L217+L267+L271+L257+L262+L252+L264+L268+L272+L211+L209+L248+L260+L247+L210</f>
        <v>0</v>
      </c>
      <c r="M281" s="595">
        <f>+M217+M267+M271+M257+M262+M252+M264+M268+M272+M211+M209+M248+M260+M247+M210+M273+M208+M223+M219</f>
        <v>0</v>
      </c>
      <c r="N281" s="595">
        <f>+N217+N267+N271+N257+N262+N252+N264+N268+N272+N211+N209+N248+N260+N247+N210</f>
        <v>0</v>
      </c>
      <c r="O281" s="767">
        <f>+O208+O209+O210+O211+O217+O223+O247+O248+O252+O257+O260+O262+O267+O268+O271+O272+O273+O264</f>
        <v>90390</v>
      </c>
      <c r="P281" s="596">
        <f>+N280-P278</f>
        <v>0</v>
      </c>
      <c r="Q281" s="596"/>
      <c r="R281" s="1125"/>
      <c r="S281" s="1126"/>
      <c r="T281" s="1098"/>
      <c r="U281" s="147"/>
      <c r="V281" s="839"/>
      <c r="W281" s="82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354"/>
      <c r="BD281" s="354"/>
      <c r="BE281" s="354"/>
      <c r="BF281" s="354"/>
      <c r="BG281" s="354"/>
      <c r="BH281" s="439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</row>
    <row r="282" spans="1:151" s="71" customFormat="1" ht="15" customHeight="1">
      <c r="A282" s="1117" t="s">
        <v>77</v>
      </c>
      <c r="B282" s="1118"/>
      <c r="C282" s="1118"/>
      <c r="D282" s="1119"/>
      <c r="E282" s="69">
        <f>SUM(E277:E278)*25+E279*40</f>
        <v>221925</v>
      </c>
      <c r="F282" s="69">
        <f>+F281+F278*25+F279*40</f>
        <v>169350</v>
      </c>
      <c r="G282" s="69">
        <f t="shared" ref="G282:L282" si="116">+G281+G278*25</f>
        <v>0</v>
      </c>
      <c r="H282" s="69">
        <f t="shared" si="116"/>
        <v>0</v>
      </c>
      <c r="I282" s="69">
        <f>+I281+I278*25</f>
        <v>41000</v>
      </c>
      <c r="J282" s="69">
        <f>SUM(J207:J276)</f>
        <v>41000</v>
      </c>
      <c r="K282" s="69">
        <f t="shared" si="116"/>
        <v>0</v>
      </c>
      <c r="L282" s="69">
        <f t="shared" si="116"/>
        <v>0</v>
      </c>
      <c r="M282" s="69">
        <f>+M281+M278*25+M279*40</f>
        <v>350275</v>
      </c>
      <c r="N282" s="69">
        <f>SUM(N207:N276)</f>
        <v>350275</v>
      </c>
      <c r="O282" s="767">
        <f>SUM(O207:O276)</f>
        <v>740475</v>
      </c>
      <c r="P282" s="187"/>
      <c r="Q282" s="187"/>
      <c r="R282" s="1107"/>
      <c r="S282" s="1116"/>
      <c r="T282" s="1123"/>
      <c r="U282" s="147">
        <f>U278*25</f>
        <v>0</v>
      </c>
      <c r="V282" s="839" t="str">
        <f t="shared" ref="V282:V287" si="117">B282&amp;D282</f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H282" s="439"/>
    </row>
    <row r="283" spans="1:151" s="71" customFormat="1" ht="15" customHeight="1">
      <c r="A283" s="286" t="s">
        <v>174</v>
      </c>
      <c r="B283" s="37"/>
      <c r="C283" s="37"/>
      <c r="D283" s="37"/>
      <c r="E283" s="130"/>
      <c r="F283" s="37"/>
      <c r="G283" s="37"/>
      <c r="H283" s="37"/>
      <c r="I283" s="37"/>
      <c r="J283" s="37"/>
      <c r="K283" s="37"/>
      <c r="L283" s="37"/>
      <c r="M283" s="472"/>
      <c r="N283" s="37"/>
      <c r="O283" s="37"/>
      <c r="P283" s="37"/>
      <c r="Q283" s="37"/>
      <c r="R283" s="37"/>
      <c r="S283" s="37"/>
      <c r="T283" s="458"/>
      <c r="U283" s="139"/>
      <c r="V283" s="839" t="str">
        <f t="shared" si="117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175</v>
      </c>
      <c r="B284" s="38"/>
      <c r="C284" s="38"/>
      <c r="D284" s="38"/>
      <c r="E284" s="38"/>
      <c r="F284" s="85"/>
      <c r="G284" s="38"/>
      <c r="H284" s="38"/>
      <c r="I284" s="38"/>
      <c r="J284" s="38"/>
      <c r="K284" s="38"/>
      <c r="L284" s="38"/>
      <c r="M284" s="465"/>
      <c r="N284" s="38"/>
      <c r="O284" s="85"/>
      <c r="P284" s="85"/>
      <c r="Q284" s="85"/>
      <c r="R284" s="38"/>
      <c r="S284" s="38"/>
      <c r="T284" s="459"/>
      <c r="U284" s="131"/>
      <c r="V284" s="839" t="str">
        <f t="shared" si="117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s="71" customFormat="1" ht="15" customHeight="1">
      <c r="A285" s="286" t="s">
        <v>176</v>
      </c>
      <c r="B285" s="362"/>
      <c r="C285" s="362"/>
      <c r="D285" s="362"/>
      <c r="E285" s="362"/>
      <c r="F285" s="362"/>
      <c r="G285" s="362"/>
      <c r="H285" s="362"/>
      <c r="I285" s="362"/>
      <c r="J285" s="362"/>
      <c r="K285" s="362"/>
      <c r="L285" s="362"/>
      <c r="M285" s="473"/>
      <c r="N285" s="362"/>
      <c r="O285" s="362"/>
      <c r="P285" s="362"/>
      <c r="Q285" s="362"/>
      <c r="R285" s="362"/>
      <c r="S285" s="362"/>
      <c r="T285" s="460"/>
      <c r="U285" s="131"/>
      <c r="V285" s="839" t="str">
        <f t="shared" si="117"/>
        <v/>
      </c>
      <c r="W285" s="82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439"/>
    </row>
    <row r="286" spans="1:151" ht="15" customHeight="1">
      <c r="A286" s="443" t="s">
        <v>20</v>
      </c>
      <c r="B286" s="443"/>
      <c r="C286" s="443"/>
      <c r="D286" s="443"/>
      <c r="E286" s="443"/>
      <c r="F286" s="443"/>
      <c r="G286" s="443"/>
      <c r="H286" s="443"/>
      <c r="I286" s="443"/>
      <c r="J286" s="443"/>
      <c r="K286" s="443"/>
      <c r="L286" s="443"/>
      <c r="M286" s="468"/>
      <c r="N286" s="443"/>
      <c r="O286" s="443"/>
      <c r="P286" s="443"/>
      <c r="Q286" s="443"/>
      <c r="R286" s="443"/>
      <c r="S286" s="443"/>
      <c r="T286" s="78"/>
      <c r="U286" s="139"/>
      <c r="V286" s="839" t="str">
        <f t="shared" si="117"/>
        <v/>
      </c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</row>
    <row r="287" spans="1:151" ht="15" customHeight="1">
      <c r="A287" s="444" t="s">
        <v>247</v>
      </c>
      <c r="B287" s="444"/>
      <c r="C287" s="444"/>
      <c r="D287" s="444"/>
      <c r="E287" s="444"/>
      <c r="F287" s="444"/>
      <c r="G287" s="444"/>
      <c r="H287" s="444"/>
      <c r="I287" s="444"/>
      <c r="J287" s="444"/>
      <c r="K287" s="444"/>
      <c r="L287" s="444"/>
      <c r="M287" s="469"/>
      <c r="N287" s="444"/>
      <c r="O287" s="444"/>
      <c r="P287" s="444"/>
      <c r="Q287" s="444"/>
      <c r="R287" s="444"/>
      <c r="S287" s="444"/>
      <c r="T287" s="407"/>
      <c r="U287" s="140"/>
      <c r="V287" s="839" t="str">
        <f t="shared" si="117"/>
        <v/>
      </c>
    </row>
    <row r="288" spans="1:151" s="63" customFormat="1" ht="36" customHeight="1">
      <c r="A288" s="910" t="s">
        <v>22</v>
      </c>
      <c r="B288" s="901" t="s">
        <v>23</v>
      </c>
      <c r="C288" s="901" t="s">
        <v>24</v>
      </c>
      <c r="D288" s="907" t="s">
        <v>178</v>
      </c>
      <c r="E288" s="61" t="s">
        <v>26</v>
      </c>
      <c r="F288" s="904" t="s">
        <v>27</v>
      </c>
      <c r="G288" s="905"/>
      <c r="H288" s="906"/>
      <c r="I288" s="904" t="s">
        <v>28</v>
      </c>
      <c r="J288" s="905"/>
      <c r="K288" s="905"/>
      <c r="L288" s="905"/>
      <c r="M288" s="904" t="s">
        <v>29</v>
      </c>
      <c r="N288" s="906"/>
      <c r="O288" s="183" t="s">
        <v>30</v>
      </c>
      <c r="P288" s="183"/>
      <c r="Q288" s="183"/>
      <c r="R288" s="183" t="s">
        <v>31</v>
      </c>
      <c r="S288" s="907" t="s">
        <v>32</v>
      </c>
      <c r="T288" s="919" t="s">
        <v>33</v>
      </c>
      <c r="U288" s="1092" t="s">
        <v>34</v>
      </c>
      <c r="V288" s="830"/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51.75" customHeight="1">
      <c r="A289" s="911"/>
      <c r="B289" s="902"/>
      <c r="C289" s="902"/>
      <c r="D289" s="908" t="s">
        <v>35</v>
      </c>
      <c r="E289" s="64" t="s">
        <v>36</v>
      </c>
      <c r="F289" s="680" t="s">
        <v>37</v>
      </c>
      <c r="G289" s="512" t="s">
        <v>38</v>
      </c>
      <c r="H289" s="681" t="s">
        <v>39</v>
      </c>
      <c r="I289" s="904" t="s">
        <v>40</v>
      </c>
      <c r="J289" s="905"/>
      <c r="K289" s="512" t="s">
        <v>41</v>
      </c>
      <c r="L289" s="681" t="s">
        <v>42</v>
      </c>
      <c r="M289" s="904" t="s">
        <v>43</v>
      </c>
      <c r="N289" s="906"/>
      <c r="O289" s="683" t="s">
        <v>44</v>
      </c>
      <c r="P289" s="184"/>
      <c r="Q289" s="184"/>
      <c r="R289" s="683" t="s">
        <v>45</v>
      </c>
      <c r="S289" s="908"/>
      <c r="T289" s="920"/>
      <c r="U289" s="1093"/>
      <c r="V289" s="835" t="str">
        <f t="shared" ref="V289:V311" si="118">B289&amp;D289</f>
        <v>SIZE</v>
      </c>
      <c r="W289" s="83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437"/>
    </row>
    <row r="290" spans="1:60" s="63" customFormat="1" ht="15.75" customHeight="1">
      <c r="A290" s="912"/>
      <c r="B290" s="903"/>
      <c r="C290" s="903"/>
      <c r="D290" s="909" t="s">
        <v>46</v>
      </c>
      <c r="E290" s="64" t="s">
        <v>47</v>
      </c>
      <c r="F290" s="64" t="s">
        <v>47</v>
      </c>
      <c r="G290" s="64" t="s">
        <v>47</v>
      </c>
      <c r="H290" s="64" t="s">
        <v>47</v>
      </c>
      <c r="I290" s="64" t="s">
        <v>47</v>
      </c>
      <c r="J290" s="64" t="s">
        <v>46</v>
      </c>
      <c r="K290" s="64" t="s">
        <v>47</v>
      </c>
      <c r="L290" s="64" t="s">
        <v>47</v>
      </c>
      <c r="M290" s="64" t="s">
        <v>47</v>
      </c>
      <c r="N290" s="65" t="s">
        <v>46</v>
      </c>
      <c r="O290" s="65" t="s">
        <v>46</v>
      </c>
      <c r="P290" s="185"/>
      <c r="Q290" s="185"/>
      <c r="R290" s="65" t="s">
        <v>48</v>
      </c>
      <c r="S290" s="909"/>
      <c r="T290" s="921"/>
      <c r="U290" s="684" t="s">
        <v>47</v>
      </c>
      <c r="V290" s="835" t="str">
        <f t="shared" si="118"/>
        <v>(Kg)</v>
      </c>
      <c r="W290" s="831"/>
      <c r="X290" s="311">
        <v>1</v>
      </c>
      <c r="Y290" s="89">
        <v>2</v>
      </c>
      <c r="Z290" s="88">
        <v>3</v>
      </c>
      <c r="AA290" s="89">
        <v>4</v>
      </c>
      <c r="AB290" s="88">
        <v>5</v>
      </c>
      <c r="AC290" s="89">
        <v>6</v>
      </c>
      <c r="AD290" s="88">
        <v>7</v>
      </c>
      <c r="AE290" s="89">
        <v>8</v>
      </c>
      <c r="AF290" s="88">
        <v>9</v>
      </c>
      <c r="AG290" s="89">
        <v>10</v>
      </c>
      <c r="AH290" s="88">
        <v>11</v>
      </c>
      <c r="AI290" s="89">
        <v>12</v>
      </c>
      <c r="AJ290" s="88">
        <v>13</v>
      </c>
      <c r="AK290" s="89">
        <v>14</v>
      </c>
      <c r="AL290" s="88">
        <v>15</v>
      </c>
      <c r="AM290" s="89">
        <v>16</v>
      </c>
      <c r="AN290" s="88">
        <v>17</v>
      </c>
      <c r="AO290" s="89">
        <v>18</v>
      </c>
      <c r="AP290" s="88">
        <v>19</v>
      </c>
      <c r="AQ290" s="89">
        <v>20</v>
      </c>
      <c r="AR290" s="88">
        <v>21</v>
      </c>
      <c r="AS290" s="89">
        <v>22</v>
      </c>
      <c r="AT290" s="88">
        <v>23</v>
      </c>
      <c r="AU290" s="89">
        <v>24</v>
      </c>
      <c r="AV290" s="88">
        <v>25</v>
      </c>
      <c r="AW290" s="89">
        <v>26</v>
      </c>
      <c r="AX290" s="88">
        <v>27</v>
      </c>
      <c r="AY290" s="89">
        <v>28</v>
      </c>
      <c r="AZ290" s="88">
        <v>29</v>
      </c>
      <c r="BA290" s="89">
        <v>30</v>
      </c>
      <c r="BB290" s="88">
        <v>31</v>
      </c>
      <c r="BC290" s="90" t="s">
        <v>49</v>
      </c>
      <c r="BD290" s="785" t="s">
        <v>85</v>
      </c>
      <c r="BE290" s="785" t="s">
        <v>86</v>
      </c>
      <c r="BH290" s="437"/>
    </row>
    <row r="291" spans="1:60" s="658" customFormat="1" ht="15" customHeight="1">
      <c r="A291" s="648">
        <v>1</v>
      </c>
      <c r="B291" s="315">
        <v>9624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ref="O291:O300" si="119">SUM(X291:BB291)</f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8"/>
        <v>9624silo</v>
      </c>
      <c r="W291" s="831">
        <v>127001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ref="BC291:BC300" si="120">SUM(X291:BB291)</f>
        <v>0</v>
      </c>
      <c r="BD291" s="786">
        <f>COUNTIF(X291:BB291,"&gt;0")</f>
        <v>0</v>
      </c>
      <c r="BE291" s="786">
        <f>IFERROR(BC291/BD291,0)</f>
        <v>0</v>
      </c>
      <c r="BH291" s="659"/>
    </row>
    <row r="292" spans="1:60" s="658" customFormat="1" ht="15" customHeight="1">
      <c r="A292" s="68">
        <v>2</v>
      </c>
      <c r="B292" s="315">
        <v>9622</v>
      </c>
      <c r="C292" s="315" t="s">
        <v>80</v>
      </c>
      <c r="D292" s="651" t="s">
        <v>58</v>
      </c>
      <c r="E292" s="649">
        <v>0</v>
      </c>
      <c r="F292" s="652">
        <f>+J292</f>
        <v>0</v>
      </c>
      <c r="G292" s="649"/>
      <c r="H292" s="652">
        <f>SUMIF(CBIN!$A:$A,BRAN!$V:$V,CBIN!$G:$G)</f>
        <v>0</v>
      </c>
      <c r="I292" s="649">
        <f>SUMIF(data!$D:$D,$B292&amp;$D292,data!$J:$J)</f>
        <v>0</v>
      </c>
      <c r="J292" s="649">
        <f>SUMIF(data!$D:$D,$B292&amp;$D292,data!$K:$K)</f>
        <v>0</v>
      </c>
      <c r="K292" s="652">
        <f>SUMIF(AJOUT!$A:$A,BRAN!$V:$V,AJOUT!$L:$L)</f>
        <v>0</v>
      </c>
      <c r="L292" s="652">
        <f>SUMIF(CBOUT!$A:$A,BRAN!$V:$V,CBOUT!$G:$G)</f>
        <v>0</v>
      </c>
      <c r="M292" s="650">
        <v>0</v>
      </c>
      <c r="N292" s="649">
        <v>0</v>
      </c>
      <c r="O292" s="649">
        <f t="shared" si="119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 t="shared" si="118"/>
        <v>9622silo</v>
      </c>
      <c r="W292" s="831">
        <v>123001</v>
      </c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20"/>
        <v>0</v>
      </c>
      <c r="BD292" s="786">
        <f t="shared" ref="BD292:BD300" si="121">COUNTIF(X292:BB292,"&gt;0")</f>
        <v>0</v>
      </c>
      <c r="BE292" s="786">
        <f t="shared" ref="BE292:BE300" si="122">IFERROR(BC292/BD292,0)</f>
        <v>0</v>
      </c>
      <c r="BH292" s="659"/>
    </row>
    <row r="293" spans="1:60" s="658" customFormat="1" ht="15" customHeight="1">
      <c r="A293" s="68">
        <v>3</v>
      </c>
      <c r="B293" s="315" t="s">
        <v>248</v>
      </c>
      <c r="C293" s="315" t="s">
        <v>80</v>
      </c>
      <c r="D293" s="651" t="s">
        <v>58</v>
      </c>
      <c r="E293" s="649"/>
      <c r="F293" s="652">
        <f>+J293</f>
        <v>0</v>
      </c>
      <c r="G293" s="649"/>
      <c r="H293" s="652"/>
      <c r="I293" s="649">
        <f>SUMIF(data!$D:$D,$B293&amp;$D293,data!$J:$J)</f>
        <v>0</v>
      </c>
      <c r="J293" s="649">
        <f>SUMIF(data!$D:$D,$B293&amp;$D293,data!$K:$K)</f>
        <v>0</v>
      </c>
      <c r="K293" s="652"/>
      <c r="L293" s="652"/>
      <c r="M293" s="650"/>
      <c r="N293" s="649">
        <v>0</v>
      </c>
      <c r="O293" s="649">
        <f t="shared" si="119"/>
        <v>0</v>
      </c>
      <c r="P293" s="653"/>
      <c r="Q293" s="653"/>
      <c r="R293" s="65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9624Psilo</v>
      </c>
      <c r="W293" s="831"/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100"/>
      <c r="AX293" s="649"/>
      <c r="AY293" s="100"/>
      <c r="AZ293" s="100"/>
      <c r="BA293" s="100"/>
      <c r="BB293" s="100"/>
      <c r="BC293" s="657">
        <f t="shared" si="120"/>
        <v>0</v>
      </c>
      <c r="BD293" s="786">
        <f t="shared" si="121"/>
        <v>0</v>
      </c>
      <c r="BE293" s="786">
        <f t="shared" si="122"/>
        <v>0</v>
      </c>
      <c r="BH293" s="659"/>
    </row>
    <row r="294" spans="1:60" s="658" customFormat="1" ht="15" customHeight="1">
      <c r="A294" s="68">
        <v>4</v>
      </c>
      <c r="B294" s="315">
        <v>9624</v>
      </c>
      <c r="C294" s="315" t="s">
        <v>80</v>
      </c>
      <c r="D294" s="651">
        <v>25</v>
      </c>
      <c r="E294" s="649">
        <v>0</v>
      </c>
      <c r="F294" s="100">
        <f>SUMIF(pro!$A:$A,$V:$V,pro!$N:$N)</f>
        <v>0</v>
      </c>
      <c r="G294" s="649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>E294+F294+H294-I294-L294+G294-K294</f>
        <v>0</v>
      </c>
      <c r="N294" s="351">
        <f>M294*D294</f>
        <v>0</v>
      </c>
      <c r="O294" s="649">
        <f t="shared" si="119"/>
        <v>0</v>
      </c>
      <c r="P294" s="665"/>
      <c r="Q294" s="665"/>
      <c r="R294" s="804">
        <f>O294/INTGRATE!$N$293</f>
        <v>0</v>
      </c>
      <c r="S294" s="665">
        <f>IF(R294=0,0,N294/R294)</f>
        <v>0</v>
      </c>
      <c r="T294" s="655"/>
      <c r="U294" s="656"/>
      <c r="V294" s="843" t="str">
        <f>B294&amp;D294</f>
        <v>962425</v>
      </c>
      <c r="W294" s="831">
        <v>127001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351"/>
      <c r="AX294" s="351"/>
      <c r="AY294" s="100"/>
      <c r="AZ294" s="100"/>
      <c r="BA294" s="100"/>
      <c r="BB294" s="100"/>
      <c r="BC294" s="657">
        <f t="shared" si="120"/>
        <v>0</v>
      </c>
      <c r="BD294" s="786">
        <f t="shared" si="121"/>
        <v>0</v>
      </c>
      <c r="BE294" s="786">
        <f t="shared" si="122"/>
        <v>0</v>
      </c>
      <c r="BH294" s="659"/>
    </row>
    <row r="295" spans="1:60" ht="15" customHeight="1">
      <c r="A295" s="68">
        <v>5</v>
      </c>
      <c r="B295" s="162">
        <v>9651</v>
      </c>
      <c r="C295" s="772" t="s">
        <v>61</v>
      </c>
      <c r="D295" s="17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ref="M295:M300" si="123">E295+F295+H295-I295-L295+G295-K295</f>
        <v>0</v>
      </c>
      <c r="N295" s="351">
        <f t="shared" ref="N295:N300" si="124">M295*D295</f>
        <v>0</v>
      </c>
      <c r="O295" s="649">
        <f t="shared" si="119"/>
        <v>0</v>
      </c>
      <c r="P295" s="665"/>
      <c r="Q295" s="665"/>
      <c r="R295" s="804">
        <f>O295/INTGRATE!$N$293</f>
        <v>0</v>
      </c>
      <c r="S295" s="665">
        <f t="shared" ref="S295:S300" si="125">IF(R295=0,0,N295/R295)</f>
        <v>0</v>
      </c>
      <c r="T295" s="402"/>
      <c r="U295" s="136"/>
      <c r="V295" s="836" t="str">
        <f t="shared" si="118"/>
        <v>965125</v>
      </c>
      <c r="W295" s="823">
        <v>314001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20"/>
        <v>0</v>
      </c>
      <c r="BD295" s="786">
        <f t="shared" si="121"/>
        <v>0</v>
      </c>
      <c r="BE295" s="786">
        <f t="shared" si="122"/>
        <v>0</v>
      </c>
      <c r="BG295" s="38"/>
    </row>
    <row r="296" spans="1:60" ht="14.25" customHeight="1">
      <c r="A296" s="68">
        <v>6</v>
      </c>
      <c r="B296" s="77">
        <v>9652</v>
      </c>
      <c r="C296" s="77" t="s">
        <v>64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23"/>
        <v>0</v>
      </c>
      <c r="N296" s="351">
        <f t="shared" si="124"/>
        <v>0</v>
      </c>
      <c r="O296" s="649">
        <f t="shared" si="119"/>
        <v>0</v>
      </c>
      <c r="P296" s="665"/>
      <c r="Q296" s="665"/>
      <c r="R296" s="804">
        <f>O296/INTGRATE!$N$293</f>
        <v>0</v>
      </c>
      <c r="S296" s="665">
        <f t="shared" si="125"/>
        <v>0</v>
      </c>
      <c r="T296" s="403"/>
      <c r="U296" s="136"/>
      <c r="V296" s="836" t="str">
        <f t="shared" si="118"/>
        <v>965225</v>
      </c>
      <c r="W296" s="823">
        <v>321001</v>
      </c>
      <c r="X296" s="68"/>
      <c r="Y296" s="68"/>
      <c r="Z296" s="390"/>
      <c r="AA296" s="100"/>
      <c r="AB296" s="100"/>
      <c r="AC296" s="100"/>
      <c r="AD296" s="351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51"/>
      <c r="AR296" s="100"/>
      <c r="AS296" s="100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20"/>
        <v>0</v>
      </c>
      <c r="BD296" s="786">
        <f t="shared" si="121"/>
        <v>0</v>
      </c>
      <c r="BE296" s="786">
        <f t="shared" si="122"/>
        <v>0</v>
      </c>
      <c r="BG296" s="38"/>
    </row>
    <row r="297" spans="1:60" ht="15" customHeight="1">
      <c r="A297" s="68">
        <v>7</v>
      </c>
      <c r="B297" s="77" t="s">
        <v>249</v>
      </c>
      <c r="C297" s="1178" t="s">
        <v>61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23"/>
        <v>0</v>
      </c>
      <c r="N297" s="351">
        <f t="shared" si="124"/>
        <v>0</v>
      </c>
      <c r="O297" s="649">
        <f t="shared" si="119"/>
        <v>0</v>
      </c>
      <c r="P297" s="665">
        <f>+N297+N295</f>
        <v>0</v>
      </c>
      <c r="Q297" s="665">
        <f>+O297+O295</f>
        <v>0</v>
      </c>
      <c r="R297" s="804">
        <f>O297/INTGRATE!$N$293</f>
        <v>0</v>
      </c>
      <c r="S297" s="665">
        <f t="shared" si="125"/>
        <v>0</v>
      </c>
      <c r="T297" s="403"/>
      <c r="U297" s="136"/>
      <c r="V297" s="836" t="str">
        <f t="shared" si="118"/>
        <v>9652S25</v>
      </c>
      <c r="W297" s="823">
        <v>320001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20"/>
        <v>0</v>
      </c>
      <c r="BD297" s="786">
        <f t="shared" si="121"/>
        <v>0</v>
      </c>
      <c r="BE297" s="786">
        <f t="shared" si="122"/>
        <v>0</v>
      </c>
      <c r="BG297" s="38"/>
    </row>
    <row r="298" spans="1:60">
      <c r="A298" s="68">
        <v>8</v>
      </c>
      <c r="B298" s="77">
        <v>9653</v>
      </c>
      <c r="C298" s="77" t="s">
        <v>64</v>
      </c>
      <c r="D298" s="67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23"/>
        <v>0</v>
      </c>
      <c r="N298" s="351">
        <f t="shared" si="124"/>
        <v>0</v>
      </c>
      <c r="O298" s="649">
        <f t="shared" si="119"/>
        <v>0</v>
      </c>
      <c r="P298" s="665">
        <f>+N291+N292+N293+N294</f>
        <v>0</v>
      </c>
      <c r="Q298" s="665">
        <f>+O291+O292+O293+O294</f>
        <v>0</v>
      </c>
      <c r="R298" s="804">
        <f>O298/INTGRATE!$N$293</f>
        <v>0</v>
      </c>
      <c r="S298" s="665">
        <f t="shared" si="125"/>
        <v>0</v>
      </c>
      <c r="T298" s="403"/>
      <c r="U298" s="136"/>
      <c r="V298" s="836" t="str">
        <f t="shared" si="118"/>
        <v>965325</v>
      </c>
      <c r="W298" s="823">
        <v>332301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20"/>
        <v>0</v>
      </c>
      <c r="BD298" s="786">
        <f t="shared" si="121"/>
        <v>0</v>
      </c>
      <c r="BE298" s="786">
        <f t="shared" si="122"/>
        <v>0</v>
      </c>
      <c r="BG298" s="38"/>
    </row>
    <row r="299" spans="1:60" ht="15" customHeight="1">
      <c r="A299" s="68">
        <v>9</v>
      </c>
      <c r="B299" s="777">
        <v>9666</v>
      </c>
      <c r="C299" s="161" t="s">
        <v>64</v>
      </c>
      <c r="D299" s="174">
        <v>25</v>
      </c>
      <c r="E299" s="649">
        <v>0</v>
      </c>
      <c r="F299" s="100">
        <f>SUMIF(pro!$A:$A,$V:$V,pro!$N:$N)</f>
        <v>0</v>
      </c>
      <c r="G299" s="351"/>
      <c r="H299" s="100">
        <f>SUMIF(CBIN!$A:$A,BRAN!$V:$V,CBIN!$G:$G)</f>
        <v>0</v>
      </c>
      <c r="I299" s="351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23"/>
        <v>0</v>
      </c>
      <c r="N299" s="351">
        <f t="shared" si="124"/>
        <v>0</v>
      </c>
      <c r="O299" s="649">
        <f t="shared" si="119"/>
        <v>0</v>
      </c>
      <c r="P299" s="665">
        <f>+N296+N298+N299+N300</f>
        <v>0</v>
      </c>
      <c r="Q299" s="665">
        <f>+O296+O298+O299+O300</f>
        <v>0</v>
      </c>
      <c r="R299" s="804">
        <f>O299/INTGRATE!$N$293</f>
        <v>0</v>
      </c>
      <c r="S299" s="665">
        <f t="shared" si="125"/>
        <v>0</v>
      </c>
      <c r="T299" s="403"/>
      <c r="U299" s="136"/>
      <c r="V299" s="836" t="str">
        <f t="shared" si="118"/>
        <v>966625</v>
      </c>
      <c r="W299" s="823">
        <v>366201</v>
      </c>
      <c r="X299" s="351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51"/>
      <c r="AP299" s="100"/>
      <c r="AQ299" s="351"/>
      <c r="AR299" s="351"/>
      <c r="AS299" s="649"/>
      <c r="AT299" s="100"/>
      <c r="AU299" s="100"/>
      <c r="AV299" s="100"/>
      <c r="AW299" s="100"/>
      <c r="AX299" s="351"/>
      <c r="AY299" s="100"/>
      <c r="AZ299" s="100"/>
      <c r="BA299" s="100"/>
      <c r="BB299" s="100"/>
      <c r="BC299" s="657">
        <f t="shared" si="120"/>
        <v>0</v>
      </c>
      <c r="BD299" s="786">
        <f t="shared" si="121"/>
        <v>0</v>
      </c>
      <c r="BE299" s="786">
        <f t="shared" si="122"/>
        <v>0</v>
      </c>
      <c r="BG299" s="38"/>
    </row>
    <row r="300" spans="1:60" ht="15" customHeight="1">
      <c r="A300" s="68">
        <v>10</v>
      </c>
      <c r="B300" s="778">
        <v>9667</v>
      </c>
      <c r="C300" s="161" t="s">
        <v>64</v>
      </c>
      <c r="D300" s="178">
        <v>25</v>
      </c>
      <c r="E300" s="649">
        <v>0</v>
      </c>
      <c r="F300" s="100">
        <f>SUMIF(pro!$A:$A,$V:$V,pro!$N:$N)</f>
        <v>0</v>
      </c>
      <c r="G300" s="352"/>
      <c r="H300" s="100">
        <f>SUMIF(CBIN!$A:$A,BRAN!$V:$V,CBIN!$G:$G)</f>
        <v>0</v>
      </c>
      <c r="I300" s="352">
        <f>SUMIF(data!$D:$D,$B300&amp;$D300,data!$J:$J)</f>
        <v>0</v>
      </c>
      <c r="J300" s="351">
        <f>SUMIF(data!$D:$D,$B300&amp;$D300,data!$K:$K)</f>
        <v>0</v>
      </c>
      <c r="K300" s="100">
        <f>SUMIF(AJOUT!$A:$A,BRAN!$V:$V,AJOUT!$L:$L)</f>
        <v>0</v>
      </c>
      <c r="L300" s="100">
        <f>SUMIF(CBOUT!$A:$A,BRAN!$V:$V,CBOUT!$G:$G)</f>
        <v>0</v>
      </c>
      <c r="M300" s="650">
        <f t="shared" si="123"/>
        <v>0</v>
      </c>
      <c r="N300" s="351">
        <f t="shared" si="124"/>
        <v>0</v>
      </c>
      <c r="O300" s="649">
        <f t="shared" si="119"/>
        <v>0</v>
      </c>
      <c r="P300" s="1179"/>
      <c r="Q300" s="1179"/>
      <c r="R300" s="804">
        <f>O300/INTGRATE!$N$293</f>
        <v>0</v>
      </c>
      <c r="S300" s="665">
        <f t="shared" si="125"/>
        <v>0</v>
      </c>
      <c r="T300" s="402"/>
      <c r="U300" s="148"/>
      <c r="V300" s="836" t="str">
        <f t="shared" si="118"/>
        <v>966725</v>
      </c>
      <c r="W300" s="823">
        <v>367201</v>
      </c>
      <c r="X300" s="352"/>
      <c r="Y300" s="558"/>
      <c r="Z300" s="558"/>
      <c r="AA300" s="558"/>
      <c r="AB300" s="558"/>
      <c r="AC300" s="558"/>
      <c r="AD300" s="100"/>
      <c r="AE300" s="558"/>
      <c r="AF300" s="558"/>
      <c r="AG300" s="558"/>
      <c r="AH300" s="558"/>
      <c r="AI300" s="558"/>
      <c r="AJ300" s="558"/>
      <c r="AK300" s="558"/>
      <c r="AL300" s="558"/>
      <c r="AM300" s="558"/>
      <c r="AN300" s="558"/>
      <c r="AO300" s="351"/>
      <c r="AP300" s="558"/>
      <c r="AQ300" s="351"/>
      <c r="AR300" s="351"/>
      <c r="AS300" s="649"/>
      <c r="AT300" s="558"/>
      <c r="AU300" s="558"/>
      <c r="AV300" s="558"/>
      <c r="AW300" s="558"/>
      <c r="AX300" s="351"/>
      <c r="AY300" s="558"/>
      <c r="AZ300" s="558"/>
      <c r="BA300" s="558"/>
      <c r="BB300" s="558"/>
      <c r="BC300" s="657">
        <f t="shared" si="120"/>
        <v>0</v>
      </c>
      <c r="BD300" s="786">
        <f t="shared" si="121"/>
        <v>0</v>
      </c>
      <c r="BE300" s="786">
        <f t="shared" si="122"/>
        <v>0</v>
      </c>
      <c r="BG300" s="38"/>
    </row>
    <row r="301" spans="1:60" s="59" customFormat="1" ht="15" customHeight="1">
      <c r="A301" s="1117" t="s">
        <v>71</v>
      </c>
      <c r="B301" s="1118"/>
      <c r="C301" s="1118"/>
      <c r="D301" s="1119"/>
      <c r="E301" s="113"/>
      <c r="F301" s="113"/>
      <c r="G301" s="113"/>
      <c r="H301" s="113"/>
      <c r="I301" s="113"/>
      <c r="J301" s="113"/>
      <c r="K301" s="113"/>
      <c r="L301" s="113"/>
      <c r="M301" s="479"/>
      <c r="N301" s="113"/>
      <c r="O301" s="113"/>
      <c r="P301" s="113"/>
      <c r="Q301" s="113"/>
      <c r="R301" s="113"/>
      <c r="S301" s="114"/>
      <c r="T301" s="462"/>
      <c r="U301" s="113"/>
      <c r="V301" s="844" t="str">
        <f t="shared" si="118"/>
        <v/>
      </c>
      <c r="W301" s="845"/>
      <c r="X301" s="112">
        <f t="shared" ref="X301:BA301" si="126">SUM(X291:X300)</f>
        <v>0</v>
      </c>
      <c r="Y301" s="112">
        <f t="shared" si="126"/>
        <v>0</v>
      </c>
      <c r="Z301" s="112">
        <f t="shared" si="126"/>
        <v>0</v>
      </c>
      <c r="AA301" s="112">
        <f t="shared" si="126"/>
        <v>0</v>
      </c>
      <c r="AB301" s="112">
        <f t="shared" si="126"/>
        <v>0</v>
      </c>
      <c r="AC301" s="112">
        <f t="shared" si="126"/>
        <v>0</v>
      </c>
      <c r="AD301" s="112">
        <f t="shared" si="126"/>
        <v>0</v>
      </c>
      <c r="AE301" s="112">
        <f t="shared" si="126"/>
        <v>0</v>
      </c>
      <c r="AF301" s="112">
        <f t="shared" si="126"/>
        <v>0</v>
      </c>
      <c r="AG301" s="112">
        <f t="shared" si="126"/>
        <v>0</v>
      </c>
      <c r="AH301" s="112">
        <f t="shared" si="126"/>
        <v>0</v>
      </c>
      <c r="AI301" s="112">
        <f t="shared" si="126"/>
        <v>0</v>
      </c>
      <c r="AJ301" s="112">
        <f t="shared" si="126"/>
        <v>0</v>
      </c>
      <c r="AK301" s="112">
        <f t="shared" si="126"/>
        <v>0</v>
      </c>
      <c r="AL301" s="112">
        <f t="shared" si="126"/>
        <v>0</v>
      </c>
      <c r="AM301" s="112">
        <f t="shared" si="126"/>
        <v>0</v>
      </c>
      <c r="AN301" s="112">
        <f t="shared" si="126"/>
        <v>0</v>
      </c>
      <c r="AO301" s="112">
        <f t="shared" si="126"/>
        <v>0</v>
      </c>
      <c r="AP301" s="112">
        <f t="shared" si="126"/>
        <v>0</v>
      </c>
      <c r="AQ301" s="112">
        <f t="shared" si="126"/>
        <v>0</v>
      </c>
      <c r="AR301" s="112">
        <f t="shared" si="126"/>
        <v>0</v>
      </c>
      <c r="AS301" s="112">
        <f t="shared" si="126"/>
        <v>0</v>
      </c>
      <c r="AT301" s="112">
        <f t="shared" si="126"/>
        <v>0</v>
      </c>
      <c r="AU301" s="112">
        <f t="shared" si="126"/>
        <v>0</v>
      </c>
      <c r="AV301" s="112">
        <f t="shared" si="126"/>
        <v>0</v>
      </c>
      <c r="AW301" s="112">
        <f t="shared" si="126"/>
        <v>0</v>
      </c>
      <c r="AX301" s="112">
        <f t="shared" si="126"/>
        <v>0</v>
      </c>
      <c r="AY301" s="112">
        <f t="shared" si="126"/>
        <v>0</v>
      </c>
      <c r="AZ301" s="112">
        <f t="shared" si="126"/>
        <v>0</v>
      </c>
      <c r="BA301" s="112">
        <f t="shared" si="126"/>
        <v>0</v>
      </c>
      <c r="BB301" s="112">
        <f>SUM(BB291:BB300)</f>
        <v>0</v>
      </c>
      <c r="BC301" s="112">
        <f>SUM(BC291:BC300)</f>
        <v>0</v>
      </c>
      <c r="BD301" s="112"/>
      <c r="BE301" s="112"/>
      <c r="BG301" s="38"/>
      <c r="BH301" s="439"/>
    </row>
    <row r="302" spans="1:60" s="59" customFormat="1" ht="15" customHeight="1">
      <c r="A302" s="1117" t="s">
        <v>72</v>
      </c>
      <c r="B302" s="1118"/>
      <c r="C302" s="1118"/>
      <c r="D302" s="1119"/>
      <c r="E302" s="113">
        <f>SUM(E294:E300)</f>
        <v>0</v>
      </c>
      <c r="F302" s="113">
        <f>SUM(F294:F300)</f>
        <v>0</v>
      </c>
      <c r="G302" s="113">
        <f t="shared" ref="G302:L302" si="127">SUM(G294:G300)</f>
        <v>0</v>
      </c>
      <c r="H302" s="113">
        <f t="shared" si="127"/>
        <v>0</v>
      </c>
      <c r="I302" s="113">
        <f t="shared" si="127"/>
        <v>0</v>
      </c>
      <c r="J302" s="113">
        <f t="shared" si="127"/>
        <v>0</v>
      </c>
      <c r="K302" s="113">
        <f t="shared" si="127"/>
        <v>0</v>
      </c>
      <c r="L302" s="113">
        <f t="shared" si="127"/>
        <v>0</v>
      </c>
      <c r="M302" s="113">
        <f t="shared" ref="M302:R302" si="128">SUM(M294:M300)</f>
        <v>0</v>
      </c>
      <c r="N302" s="113">
        <f t="shared" si="128"/>
        <v>0</v>
      </c>
      <c r="O302" s="113">
        <f t="shared" si="128"/>
        <v>0</v>
      </c>
      <c r="P302" s="113">
        <f t="shared" si="128"/>
        <v>0</v>
      </c>
      <c r="Q302" s="113">
        <f t="shared" si="128"/>
        <v>0</v>
      </c>
      <c r="R302" s="113">
        <f t="shared" si="128"/>
        <v>0</v>
      </c>
      <c r="S302" s="113">
        <f>SUM(S295:S300)</f>
        <v>0</v>
      </c>
      <c r="T302" s="1097" t="e">
        <f>N306/R304</f>
        <v>#DIV/0!</v>
      </c>
      <c r="U302" s="155">
        <f>SUM(U295:U300)*25</f>
        <v>0</v>
      </c>
      <c r="V302" s="839" t="str">
        <f t="shared" si="118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59" customFormat="1" ht="15" customHeight="1">
      <c r="A303" s="1117" t="s">
        <v>73</v>
      </c>
      <c r="B303" s="1118"/>
      <c r="C303" s="1118"/>
      <c r="D303" s="1119"/>
      <c r="E303" s="113"/>
      <c r="F303" s="113"/>
      <c r="G303" s="113"/>
      <c r="H303" s="113"/>
      <c r="I303" s="113"/>
      <c r="J303" s="113"/>
      <c r="K303" s="113"/>
      <c r="L303" s="113"/>
      <c r="M303" s="479"/>
      <c r="N303" s="113"/>
      <c r="O303" s="113"/>
      <c r="P303" s="113"/>
      <c r="Q303" s="113"/>
      <c r="R303" s="113"/>
      <c r="S303" s="114"/>
      <c r="T303" s="1098"/>
      <c r="U303" s="155"/>
      <c r="V303" s="839" t="str">
        <f t="shared" si="118"/>
        <v/>
      </c>
      <c r="W303" s="82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439"/>
    </row>
    <row r="304" spans="1:60" s="129" customFormat="1" ht="15" customHeight="1">
      <c r="A304" s="1111" t="s">
        <v>75</v>
      </c>
      <c r="B304" s="1112"/>
      <c r="C304" s="1112"/>
      <c r="D304" s="1113"/>
      <c r="E304" s="73">
        <f t="shared" ref="E304:N304" si="129">SUM(E301:E303)</f>
        <v>0</v>
      </c>
      <c r="F304" s="73">
        <f t="shared" si="129"/>
        <v>0</v>
      </c>
      <c r="G304" s="73">
        <f t="shared" si="129"/>
        <v>0</v>
      </c>
      <c r="H304" s="73">
        <f t="shared" si="129"/>
        <v>0</v>
      </c>
      <c r="I304" s="73">
        <f t="shared" si="129"/>
        <v>0</v>
      </c>
      <c r="J304" s="73">
        <f t="shared" si="129"/>
        <v>0</v>
      </c>
      <c r="K304" s="73">
        <f t="shared" si="129"/>
        <v>0</v>
      </c>
      <c r="L304" s="73">
        <f t="shared" si="129"/>
        <v>0</v>
      </c>
      <c r="M304" s="478">
        <f t="shared" si="129"/>
        <v>0</v>
      </c>
      <c r="N304" s="73">
        <f t="shared" si="129"/>
        <v>0</v>
      </c>
      <c r="O304" s="767">
        <f>+O306-O305</f>
        <v>0</v>
      </c>
      <c r="P304" s="186"/>
      <c r="Q304" s="186"/>
      <c r="R304" s="1106">
        <f>SUM(R295:R300)</f>
        <v>0</v>
      </c>
      <c r="S304" s="1115" t="s">
        <v>250</v>
      </c>
      <c r="T304" s="1099"/>
      <c r="U304" s="142">
        <f>SUM(U295:U300)</f>
        <v>0</v>
      </c>
      <c r="V304" s="834" t="str">
        <f t="shared" si="118"/>
        <v/>
      </c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129" customFormat="1" ht="15" customHeight="1">
      <c r="A305" s="1117" t="s">
        <v>74</v>
      </c>
      <c r="B305" s="1118"/>
      <c r="C305" s="1118"/>
      <c r="D305" s="1119"/>
      <c r="E305" s="73"/>
      <c r="F305" s="73">
        <f>+F291+F292+F293</f>
        <v>0</v>
      </c>
      <c r="G305" s="73">
        <f t="shared" ref="G305:L305" si="130">+G291+G292+G293</f>
        <v>0</v>
      </c>
      <c r="H305" s="73">
        <f t="shared" si="130"/>
        <v>0</v>
      </c>
      <c r="I305" s="73">
        <f t="shared" si="130"/>
        <v>0</v>
      </c>
      <c r="J305" s="73">
        <f t="shared" si="130"/>
        <v>0</v>
      </c>
      <c r="K305" s="73">
        <f t="shared" si="130"/>
        <v>0</v>
      </c>
      <c r="L305" s="73">
        <f t="shared" si="130"/>
        <v>0</v>
      </c>
      <c r="M305" s="73">
        <f>+M291</f>
        <v>0</v>
      </c>
      <c r="N305" s="73">
        <f>+N291</f>
        <v>0</v>
      </c>
      <c r="O305" s="767">
        <f>+O291+O292+O293</f>
        <v>0</v>
      </c>
      <c r="P305" s="596"/>
      <c r="Q305" s="596"/>
      <c r="R305" s="1125"/>
      <c r="S305" s="1126"/>
      <c r="T305" s="1099"/>
      <c r="U305" s="142"/>
      <c r="V305" s="834"/>
      <c r="W305" s="83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354"/>
      <c r="BD305" s="354"/>
      <c r="BE305" s="354"/>
      <c r="BF305" s="354"/>
      <c r="BG305" s="354"/>
      <c r="BH305" s="439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</row>
    <row r="306" spans="1:151" s="71" customFormat="1" ht="15" customHeight="1">
      <c r="A306" s="1117" t="s">
        <v>77</v>
      </c>
      <c r="B306" s="1118"/>
      <c r="C306" s="1118"/>
      <c r="D306" s="1119"/>
      <c r="E306" s="70">
        <f>SUM(E301:E302)*25+E303*40</f>
        <v>0</v>
      </c>
      <c r="F306" s="70">
        <f>+F305+F302*25+F303*40</f>
        <v>0</v>
      </c>
      <c r="G306" s="70">
        <f>+G305+G302*25+G303*40</f>
        <v>0</v>
      </c>
      <c r="H306" s="70">
        <f>+H305+H302*25+H303*40</f>
        <v>0</v>
      </c>
      <c r="I306" s="70">
        <f t="shared" ref="I306:N306" si="131">+I305+I304</f>
        <v>0</v>
      </c>
      <c r="J306" s="70">
        <f t="shared" si="131"/>
        <v>0</v>
      </c>
      <c r="K306" s="70">
        <f t="shared" si="131"/>
        <v>0</v>
      </c>
      <c r="L306" s="70">
        <f t="shared" si="131"/>
        <v>0</v>
      </c>
      <c r="M306" s="70">
        <f>+M305+M302*25+M303*40</f>
        <v>0</v>
      </c>
      <c r="N306" s="70">
        <f t="shared" si="131"/>
        <v>0</v>
      </c>
      <c r="O306" s="767">
        <f>+SUM(O291:O300)</f>
        <v>0</v>
      </c>
      <c r="P306" s="187"/>
      <c r="Q306" s="187"/>
      <c r="R306" s="1107"/>
      <c r="S306" s="1116"/>
      <c r="T306" s="1100"/>
      <c r="U306" s="142">
        <f>SUM(U301:U303)</f>
        <v>0</v>
      </c>
      <c r="V306" s="834" t="str">
        <f t="shared" si="118"/>
        <v/>
      </c>
      <c r="W306" s="831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79"/>
      <c r="BH306" s="439"/>
    </row>
    <row r="307" spans="1:151" s="71" customFormat="1" ht="15" customHeight="1">
      <c r="A307" s="286" t="s">
        <v>174</v>
      </c>
      <c r="B307" s="37"/>
      <c r="C307" s="37"/>
      <c r="D307" s="37"/>
      <c r="E307" s="130"/>
      <c r="F307" s="37"/>
      <c r="G307" s="37"/>
      <c r="H307" s="37"/>
      <c r="I307" s="37"/>
      <c r="J307" s="37"/>
      <c r="K307" s="37"/>
      <c r="L307" s="37"/>
      <c r="M307" s="472"/>
      <c r="N307" s="37"/>
      <c r="O307" s="37"/>
      <c r="P307" s="37"/>
      <c r="Q307" s="37"/>
      <c r="R307" s="37"/>
      <c r="S307" s="37"/>
      <c r="T307" s="458"/>
      <c r="U307" s="145"/>
      <c r="V307" s="834" t="str">
        <f t="shared" si="118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175</v>
      </c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465"/>
      <c r="N308" s="38"/>
      <c r="O308" s="38"/>
      <c r="P308" s="38"/>
      <c r="Q308" s="38"/>
      <c r="R308" s="38"/>
      <c r="S308" s="38"/>
      <c r="T308" s="459"/>
      <c r="U308" s="134"/>
      <c r="V308" s="834" t="str">
        <f t="shared" si="118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s="71" customFormat="1" ht="15" customHeight="1">
      <c r="A309" s="286" t="s">
        <v>176</v>
      </c>
      <c r="B309" s="362"/>
      <c r="C309" s="362"/>
      <c r="D309" s="362"/>
      <c r="E309" s="362"/>
      <c r="F309" s="362"/>
      <c r="G309" s="362"/>
      <c r="H309" s="362"/>
      <c r="I309" s="362"/>
      <c r="J309" s="362"/>
      <c r="K309" s="362"/>
      <c r="L309" s="362"/>
      <c r="M309" s="473"/>
      <c r="N309" s="362"/>
      <c r="O309" s="362"/>
      <c r="P309" s="362"/>
      <c r="Q309" s="362"/>
      <c r="R309" s="362"/>
      <c r="S309" s="362"/>
      <c r="T309" s="460"/>
      <c r="U309" s="134"/>
      <c r="V309" s="834" t="str">
        <f t="shared" si="118"/>
        <v/>
      </c>
      <c r="W309" s="83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439"/>
    </row>
    <row r="310" spans="1:151" ht="15" customHeight="1">
      <c r="A310" s="443" t="s">
        <v>20</v>
      </c>
      <c r="B310" s="443"/>
      <c r="C310" s="443"/>
      <c r="D310" s="443"/>
      <c r="E310" s="443"/>
      <c r="F310" s="443"/>
      <c r="G310" s="443"/>
      <c r="H310" s="443"/>
      <c r="I310" s="443"/>
      <c r="J310" s="443"/>
      <c r="K310" s="443"/>
      <c r="L310" s="443"/>
      <c r="M310" s="468"/>
      <c r="N310" s="443"/>
      <c r="O310" s="443"/>
      <c r="P310" s="443"/>
      <c r="Q310" s="443"/>
      <c r="R310" s="443"/>
      <c r="S310" s="443"/>
      <c r="T310" s="78"/>
      <c r="U310" s="139"/>
      <c r="V310" s="839" t="str">
        <f t="shared" si="118"/>
        <v/>
      </c>
      <c r="AB310" s="290"/>
    </row>
    <row r="311" spans="1:151" ht="15" customHeight="1">
      <c r="A311" s="444" t="s">
        <v>78</v>
      </c>
      <c r="B311" s="444"/>
      <c r="C311" s="444"/>
      <c r="D311" s="444"/>
      <c r="E311" s="444"/>
      <c r="F311" s="444"/>
      <c r="G311" s="444"/>
      <c r="H311" s="444"/>
      <c r="I311" s="444"/>
      <c r="J311" s="444"/>
      <c r="K311" s="444"/>
      <c r="L311" s="444"/>
      <c r="M311" s="469"/>
      <c r="N311" s="444"/>
      <c r="O311" s="444"/>
      <c r="P311" s="444"/>
      <c r="Q311" s="444"/>
      <c r="R311" s="444"/>
      <c r="S311" s="444"/>
      <c r="T311" s="407"/>
      <c r="U311" s="140"/>
      <c r="V311" s="839" t="str">
        <f t="shared" si="118"/>
        <v/>
      </c>
    </row>
    <row r="312" spans="1:151" s="63" customFormat="1" ht="32.25" customHeight="1">
      <c r="A312" s="910" t="s">
        <v>22</v>
      </c>
      <c r="B312" s="901" t="s">
        <v>23</v>
      </c>
      <c r="C312" s="901" t="s">
        <v>24</v>
      </c>
      <c r="D312" s="907" t="s">
        <v>178</v>
      </c>
      <c r="E312" s="61" t="s">
        <v>26</v>
      </c>
      <c r="F312" s="904" t="s">
        <v>27</v>
      </c>
      <c r="G312" s="905"/>
      <c r="H312" s="906"/>
      <c r="I312" s="904" t="s">
        <v>28</v>
      </c>
      <c r="J312" s="905"/>
      <c r="K312" s="905"/>
      <c r="L312" s="905"/>
      <c r="M312" s="904" t="s">
        <v>29</v>
      </c>
      <c r="N312" s="906"/>
      <c r="O312" s="183" t="s">
        <v>30</v>
      </c>
      <c r="P312" s="183"/>
      <c r="Q312" s="183"/>
      <c r="R312" s="183" t="s">
        <v>31</v>
      </c>
      <c r="S312" s="907" t="s">
        <v>32</v>
      </c>
      <c r="T312" s="919" t="s">
        <v>33</v>
      </c>
      <c r="U312" s="1092" t="s">
        <v>34</v>
      </c>
      <c r="V312" s="830"/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44.25" customHeight="1">
      <c r="A313" s="911"/>
      <c r="B313" s="902"/>
      <c r="C313" s="902"/>
      <c r="D313" s="908" t="s">
        <v>35</v>
      </c>
      <c r="E313" s="64" t="s">
        <v>36</v>
      </c>
      <c r="F313" s="680" t="s">
        <v>37</v>
      </c>
      <c r="G313" s="512" t="s">
        <v>38</v>
      </c>
      <c r="H313" s="681" t="s">
        <v>39</v>
      </c>
      <c r="I313" s="904" t="s">
        <v>40</v>
      </c>
      <c r="J313" s="905"/>
      <c r="K313" s="512" t="s">
        <v>41</v>
      </c>
      <c r="L313" s="681" t="s">
        <v>42</v>
      </c>
      <c r="M313" s="904" t="s">
        <v>43</v>
      </c>
      <c r="N313" s="906"/>
      <c r="O313" s="683" t="s">
        <v>44</v>
      </c>
      <c r="P313" s="184"/>
      <c r="Q313" s="184"/>
      <c r="R313" s="683" t="s">
        <v>45</v>
      </c>
      <c r="S313" s="908"/>
      <c r="T313" s="920"/>
      <c r="U313" s="1093"/>
      <c r="V313" s="830" t="str">
        <f t="shared" ref="V313:V320" si="132">B313&amp;D313</f>
        <v>SIZE</v>
      </c>
      <c r="W313" s="83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437"/>
    </row>
    <row r="314" spans="1:151" s="63" customFormat="1" ht="17.25" customHeight="1">
      <c r="A314" s="912"/>
      <c r="B314" s="903"/>
      <c r="C314" s="903"/>
      <c r="D314" s="909" t="s">
        <v>46</v>
      </c>
      <c r="E314" s="64" t="s">
        <v>47</v>
      </c>
      <c r="F314" s="64" t="s">
        <v>47</v>
      </c>
      <c r="G314" s="64" t="s">
        <v>47</v>
      </c>
      <c r="H314" s="64" t="s">
        <v>47</v>
      </c>
      <c r="I314" s="64" t="s">
        <v>47</v>
      </c>
      <c r="J314" s="64" t="s">
        <v>46</v>
      </c>
      <c r="K314" s="64" t="s">
        <v>47</v>
      </c>
      <c r="L314" s="64" t="s">
        <v>47</v>
      </c>
      <c r="M314" s="64" t="s">
        <v>47</v>
      </c>
      <c r="N314" s="65" t="s">
        <v>46</v>
      </c>
      <c r="O314" s="65" t="s">
        <v>46</v>
      </c>
      <c r="P314" s="185"/>
      <c r="Q314" s="185"/>
      <c r="R314" s="65" t="s">
        <v>48</v>
      </c>
      <c r="S314" s="909"/>
      <c r="T314" s="921"/>
      <c r="U314" s="684" t="s">
        <v>47</v>
      </c>
      <c r="V314" s="835" t="str">
        <f t="shared" si="132"/>
        <v>(Kg)</v>
      </c>
      <c r="W314" s="831"/>
      <c r="X314" s="311">
        <v>1</v>
      </c>
      <c r="Y314" s="89">
        <v>2</v>
      </c>
      <c r="Z314" s="88">
        <v>3</v>
      </c>
      <c r="AA314" s="89">
        <v>4</v>
      </c>
      <c r="AB314" s="88">
        <v>5</v>
      </c>
      <c r="AC314" s="89">
        <v>6</v>
      </c>
      <c r="AD314" s="88">
        <v>7</v>
      </c>
      <c r="AE314" s="89">
        <v>8</v>
      </c>
      <c r="AF314" s="88">
        <v>9</v>
      </c>
      <c r="AG314" s="89">
        <v>10</v>
      </c>
      <c r="AH314" s="88">
        <v>11</v>
      </c>
      <c r="AI314" s="89">
        <v>12</v>
      </c>
      <c r="AJ314" s="88">
        <v>13</v>
      </c>
      <c r="AK314" s="89">
        <v>14</v>
      </c>
      <c r="AL314" s="88">
        <v>15</v>
      </c>
      <c r="AM314" s="89">
        <v>16</v>
      </c>
      <c r="AN314" s="88">
        <v>17</v>
      </c>
      <c r="AO314" s="89">
        <v>18</v>
      </c>
      <c r="AP314" s="88">
        <v>19</v>
      </c>
      <c r="AQ314" s="89">
        <v>20</v>
      </c>
      <c r="AR314" s="88">
        <v>21</v>
      </c>
      <c r="AS314" s="89">
        <v>22</v>
      </c>
      <c r="AT314" s="88">
        <v>23</v>
      </c>
      <c r="AU314" s="89">
        <v>24</v>
      </c>
      <c r="AV314" s="88">
        <v>25</v>
      </c>
      <c r="AW314" s="89">
        <v>26</v>
      </c>
      <c r="AX314" s="88">
        <v>27</v>
      </c>
      <c r="AY314" s="89">
        <v>28</v>
      </c>
      <c r="AZ314" s="88">
        <v>29</v>
      </c>
      <c r="BA314" s="89">
        <v>30</v>
      </c>
      <c r="BB314" s="89">
        <v>31</v>
      </c>
      <c r="BC314" s="66" t="s">
        <v>49</v>
      </c>
      <c r="BD314" s="785" t="s">
        <v>85</v>
      </c>
      <c r="BE314" s="785" t="s">
        <v>86</v>
      </c>
      <c r="BH314" s="437"/>
    </row>
    <row r="315" spans="1:151" s="63" customFormat="1" ht="15" customHeight="1">
      <c r="A315" s="68">
        <v>1</v>
      </c>
      <c r="B315" s="628">
        <v>6824</v>
      </c>
      <c r="C315" s="628" t="s">
        <v>79</v>
      </c>
      <c r="D315" s="629">
        <v>25</v>
      </c>
      <c r="E315" s="631">
        <v>0</v>
      </c>
      <c r="F315" s="100">
        <f>SUMIF(pro!$A:$A,$V:$V,pro!$N:$N)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f>M315*D315</f>
        <v>0</v>
      </c>
      <c r="O315" s="1161">
        <f t="shared" ref="O315:O320" si="133">SUM(X315:BB315)</f>
        <v>0</v>
      </c>
      <c r="P315" s="665"/>
      <c r="Q315" s="665"/>
      <c r="R315" s="804">
        <f>O315/INTGRATE!$N$293</f>
        <v>0</v>
      </c>
      <c r="S315" s="665">
        <f t="shared" ref="S315:S320" si="134">IF(R315=0,0,N315/R315)</f>
        <v>0</v>
      </c>
      <c r="T315" s="401"/>
      <c r="U315" s="136"/>
      <c r="V315" s="836" t="str">
        <f t="shared" si="132"/>
        <v>682425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>
        <v>0</v>
      </c>
      <c r="AF315" s="100">
        <v>0</v>
      </c>
      <c r="AG315" s="100"/>
      <c r="AH315" s="100">
        <v>0</v>
      </c>
      <c r="AI315" s="100">
        <v>0</v>
      </c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ref="BC315:BC316" si="135">SUM(X315:BB315)</f>
        <v>0</v>
      </c>
      <c r="BD315" s="786">
        <f>COUNTIF(X315:BB315,"&gt;0")</f>
        <v>0</v>
      </c>
      <c r="BE315" s="786">
        <f>IFERROR(BC315/BD315,0)</f>
        <v>0</v>
      </c>
      <c r="BH315" s="437"/>
    </row>
    <row r="316" spans="1:151" s="63" customFormat="1" ht="15" customHeight="1">
      <c r="A316" s="68">
        <v>2</v>
      </c>
      <c r="B316" s="628">
        <v>6824</v>
      </c>
      <c r="C316" s="628" t="s">
        <v>79</v>
      </c>
      <c r="D316" s="629" t="s">
        <v>66</v>
      </c>
      <c r="E316" s="626">
        <v>0</v>
      </c>
      <c r="F316" s="100">
        <f>+J316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v>0</v>
      </c>
      <c r="N316" s="351">
        <v>0</v>
      </c>
      <c r="O316" s="1161">
        <f t="shared" si="133"/>
        <v>0</v>
      </c>
      <c r="P316" s="665"/>
      <c r="Q316" s="665"/>
      <c r="R316" s="804">
        <f>O316/INTGRATE!$N$293</f>
        <v>0</v>
      </c>
      <c r="S316" s="665">
        <f t="shared" si="134"/>
        <v>0</v>
      </c>
      <c r="T316" s="401"/>
      <c r="U316" s="136"/>
      <c r="V316" s="836" t="str">
        <f t="shared" si="132"/>
        <v>6824SILO</v>
      </c>
      <c r="W316" s="831">
        <v>127800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100"/>
      <c r="AX316" s="351"/>
      <c r="AY316" s="100"/>
      <c r="AZ316" s="100"/>
      <c r="BA316" s="100"/>
      <c r="BB316" s="100"/>
      <c r="BC316" s="275">
        <f t="shared" si="135"/>
        <v>0</v>
      </c>
      <c r="BD316" s="786">
        <f t="shared" ref="BD316" si="136">COUNTIF(X316:BB316,"&gt;0")</f>
        <v>0</v>
      </c>
      <c r="BE316" s="786">
        <f t="shared" ref="BE316" si="137">IFERROR(BC316/BD316,0)</f>
        <v>0</v>
      </c>
      <c r="BH316" s="437"/>
    </row>
    <row r="317" spans="1:151" s="108" customFormat="1" ht="15" customHeight="1">
      <c r="A317" s="68">
        <v>3</v>
      </c>
      <c r="B317" s="175">
        <v>6911</v>
      </c>
      <c r="C317" s="175" t="s">
        <v>61</v>
      </c>
      <c r="D317" s="176">
        <v>25</v>
      </c>
      <c r="E317" s="649">
        <v>0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0</v>
      </c>
      <c r="N317" s="351">
        <f>M317*D317</f>
        <v>0</v>
      </c>
      <c r="O317" s="1161">
        <f t="shared" si="133"/>
        <v>0</v>
      </c>
      <c r="P317" s="665"/>
      <c r="Q317" s="665"/>
      <c r="R317" s="804">
        <f>O317/INTGRATE!$N$293</f>
        <v>0</v>
      </c>
      <c r="S317" s="665">
        <f t="shared" si="134"/>
        <v>0</v>
      </c>
      <c r="T317" s="401"/>
      <c r="U317" s="136"/>
      <c r="V317" s="836" t="str">
        <f t="shared" si="132"/>
        <v>691125</v>
      </c>
      <c r="W317" s="823">
        <v>115701</v>
      </c>
      <c r="X317" s="68"/>
      <c r="Y317" s="68">
        <v>0</v>
      </c>
      <c r="Z317" s="390">
        <v>0</v>
      </c>
      <c r="AA317" s="100">
        <v>0</v>
      </c>
      <c r="AB317" s="100">
        <v>0</v>
      </c>
      <c r="AC317" s="100">
        <v>0</v>
      </c>
      <c r="AD317" s="351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351"/>
      <c r="AX317" s="351"/>
      <c r="AY317" s="100"/>
      <c r="AZ317" s="100"/>
      <c r="BA317" s="100"/>
      <c r="BB317" s="100"/>
      <c r="BC317" s="275">
        <f t="shared" ref="BC317:BC331" si="138">SUM(X317:BB317)</f>
        <v>0</v>
      </c>
      <c r="BD317" s="786">
        <f t="shared" ref="BD317:BD331" si="139">COUNTIF(X317:BB317,"&gt;0")</f>
        <v>0</v>
      </c>
      <c r="BE317" s="786">
        <f t="shared" ref="BE317:BE331" si="140">IFERROR(BC317/BD317,0)</f>
        <v>0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4</v>
      </c>
      <c r="B318" s="630">
        <v>6924</v>
      </c>
      <c r="C318" s="630" t="s">
        <v>80</v>
      </c>
      <c r="D318" s="629">
        <v>25</v>
      </c>
      <c r="E318" s="649">
        <v>436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436</v>
      </c>
      <c r="N318" s="351">
        <f>M318*D318</f>
        <v>10900</v>
      </c>
      <c r="O318" s="1161">
        <f t="shared" si="133"/>
        <v>19025</v>
      </c>
      <c r="P318" s="665"/>
      <c r="Q318" s="665"/>
      <c r="R318" s="804">
        <f>O318/INTGRATE!$N$293</f>
        <v>1729.5454545454545</v>
      </c>
      <c r="S318" s="665">
        <f t="shared" si="134"/>
        <v>6.3022339027595269</v>
      </c>
      <c r="T318" s="401"/>
      <c r="U318" s="136"/>
      <c r="V318" s="836" t="str">
        <f t="shared" si="132"/>
        <v>692425</v>
      </c>
      <c r="W318" s="831">
        <v>127801</v>
      </c>
      <c r="X318" s="68"/>
      <c r="Y318" s="68">
        <v>1625</v>
      </c>
      <c r="Z318" s="390">
        <v>0</v>
      </c>
      <c r="AA318" s="100">
        <v>2100</v>
      </c>
      <c r="AB318" s="100">
        <v>0</v>
      </c>
      <c r="AC318" s="100">
        <v>3475</v>
      </c>
      <c r="AD318" s="351">
        <v>0</v>
      </c>
      <c r="AE318" s="100">
        <v>0</v>
      </c>
      <c r="AF318" s="100">
        <v>6250</v>
      </c>
      <c r="AG318" s="100"/>
      <c r="AH318" s="100">
        <v>5575</v>
      </c>
      <c r="AI318" s="100">
        <v>0</v>
      </c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8"/>
        <v>19025</v>
      </c>
      <c r="BD318" s="786">
        <f t="shared" si="139"/>
        <v>5</v>
      </c>
      <c r="BE318" s="786">
        <f t="shared" si="140"/>
        <v>3805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5</v>
      </c>
      <c r="B319" s="630" t="s">
        <v>81</v>
      </c>
      <c r="C319" s="630" t="s">
        <v>80</v>
      </c>
      <c r="D319" s="629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33"/>
        <v>0</v>
      </c>
      <c r="P319" s="665"/>
      <c r="Q319" s="665"/>
      <c r="R319" s="804">
        <f>O319/INTGRATE!$N$293</f>
        <v>0</v>
      </c>
      <c r="S319" s="665">
        <f t="shared" si="134"/>
        <v>0</v>
      </c>
      <c r="T319" s="401"/>
      <c r="U319" s="136"/>
      <c r="V319" s="836" t="str">
        <f>B319&amp;D319</f>
        <v>6924P25</v>
      </c>
      <c r="W319" s="831">
        <v>127808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>
        <v>0</v>
      </c>
      <c r="AF319" s="100">
        <v>0</v>
      </c>
      <c r="AG319" s="100"/>
      <c r="AH319" s="100">
        <v>0</v>
      </c>
      <c r="AI319" s="100">
        <v>0</v>
      </c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8"/>
        <v>0</v>
      </c>
      <c r="BD319" s="786">
        <f t="shared" si="139"/>
        <v>0</v>
      </c>
      <c r="BE319" s="786">
        <f t="shared" si="140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6</v>
      </c>
      <c r="B320" s="349">
        <v>6948</v>
      </c>
      <c r="C320" s="349" t="s">
        <v>55</v>
      </c>
      <c r="D320" s="660">
        <v>25</v>
      </c>
      <c r="E320" s="649">
        <v>0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>E320+F320+H320-I320-L320+G320-K320</f>
        <v>0</v>
      </c>
      <c r="N320" s="351">
        <f>M320*D320</f>
        <v>0</v>
      </c>
      <c r="O320" s="1161">
        <f t="shared" si="133"/>
        <v>0</v>
      </c>
      <c r="P320" s="665">
        <f>+N320</f>
        <v>0</v>
      </c>
      <c r="Q320" s="665">
        <f>+O320</f>
        <v>0</v>
      </c>
      <c r="R320" s="804">
        <f>O320/INTGRATE!$N$293</f>
        <v>0</v>
      </c>
      <c r="S320" s="665">
        <f t="shared" si="134"/>
        <v>0</v>
      </c>
      <c r="T320" s="401"/>
      <c r="U320" s="136"/>
      <c r="V320" s="836" t="str">
        <f t="shared" si="132"/>
        <v>694825</v>
      </c>
      <c r="W320" s="823">
        <v>201101</v>
      </c>
      <c r="X320" s="68"/>
      <c r="Y320" s="68">
        <v>0</v>
      </c>
      <c r="Z320" s="390">
        <v>0</v>
      </c>
      <c r="AA320" s="100">
        <v>0</v>
      </c>
      <c r="AB320" s="100">
        <v>0</v>
      </c>
      <c r="AC320" s="100">
        <v>0</v>
      </c>
      <c r="AD320" s="351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8"/>
        <v>0</v>
      </c>
      <c r="BD320" s="786">
        <f t="shared" si="139"/>
        <v>0</v>
      </c>
      <c r="BE320" s="786">
        <f t="shared" si="140"/>
        <v>0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7</v>
      </c>
      <c r="B321" s="349">
        <v>6949</v>
      </c>
      <c r="C321" s="349" t="s">
        <v>64</v>
      </c>
      <c r="D321" s="660">
        <v>25</v>
      </c>
      <c r="E321" s="649">
        <v>732</v>
      </c>
      <c r="F321" s="100">
        <f>SUMIF(pro!$A:$A,$V:$V,pro!$N:$N)</f>
        <v>0</v>
      </c>
      <c r="G321" s="351"/>
      <c r="H321" s="100">
        <f>SUMIF(CBIN!$A:$A,BRAN!$V:$V,CBIN!$G:$G)</f>
        <v>0</v>
      </c>
      <c r="I321" s="351">
        <f>SUMIF(data!$D:$D,$B321&amp;$D321,data!$J:$J)</f>
        <v>260</v>
      </c>
      <c r="J321" s="351">
        <f>SUMIF(data!$D:$D,$B321&amp;$D321,data!$K:$K)</f>
        <v>6500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ref="M321:M330" si="141">E321+F321+H321-I321-L321+G321-K321</f>
        <v>472</v>
      </c>
      <c r="N321" s="351">
        <f t="shared" ref="N321:N330" si="142">M321*D321</f>
        <v>11800</v>
      </c>
      <c r="O321" s="1161">
        <f t="shared" ref="O321:O330" si="143">SUM(X321:BB321)</f>
        <v>17925</v>
      </c>
      <c r="P321" s="665">
        <f>SUM(N315:N331)-P320-P324-P325-P326</f>
        <v>34750</v>
      </c>
      <c r="Q321" s="665">
        <f>SUM(O315:O331)-Q320-Q324-Q325-Q326</f>
        <v>70875</v>
      </c>
      <c r="R321" s="804">
        <f>O321/INTGRATE!$N$293</f>
        <v>1629.5454545454545</v>
      </c>
      <c r="S321" s="665">
        <f t="shared" ref="S321:S330" si="144">IF(R321=0,0,N321/R321)</f>
        <v>7.2412831241283122</v>
      </c>
      <c r="T321" s="401"/>
      <c r="U321" s="136"/>
      <c r="V321" s="836" t="str">
        <f t="shared" ref="V321:V330" si="145">B321&amp;D321</f>
        <v>694925</v>
      </c>
      <c r="W321" s="823">
        <v>203701</v>
      </c>
      <c r="X321" s="68"/>
      <c r="Y321" s="68">
        <v>1250</v>
      </c>
      <c r="Z321" s="390">
        <v>0</v>
      </c>
      <c r="AA321" s="100">
        <v>2925</v>
      </c>
      <c r="AB321" s="100">
        <v>7125</v>
      </c>
      <c r="AC321" s="100">
        <v>0</v>
      </c>
      <c r="AD321" s="1162">
        <v>0</v>
      </c>
      <c r="AE321" s="100">
        <v>0</v>
      </c>
      <c r="AF321" s="100">
        <v>125</v>
      </c>
      <c r="AG321" s="100"/>
      <c r="AH321" s="100">
        <v>0</v>
      </c>
      <c r="AI321" s="100">
        <v>6500</v>
      </c>
      <c r="AJ321" s="100"/>
      <c r="AK321" s="100"/>
      <c r="AL321" s="100"/>
      <c r="AM321" s="100"/>
      <c r="AN321" s="100"/>
      <c r="AO321" s="100"/>
      <c r="AP321" s="100"/>
      <c r="AQ321" s="351"/>
      <c r="AR321" s="100"/>
      <c r="AS321" s="100"/>
      <c r="AT321" s="100"/>
      <c r="AU321" s="100"/>
      <c r="AV321" s="100"/>
      <c r="AW321" s="100"/>
      <c r="AX321" s="351"/>
      <c r="AY321" s="100"/>
      <c r="AZ321" s="100"/>
      <c r="BA321" s="100"/>
      <c r="BB321" s="100"/>
      <c r="BC321" s="275">
        <f t="shared" si="138"/>
        <v>17925</v>
      </c>
      <c r="BD321" s="786">
        <f t="shared" si="139"/>
        <v>5</v>
      </c>
      <c r="BE321" s="786">
        <f t="shared" si="140"/>
        <v>3585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8</v>
      </c>
      <c r="B322" s="162">
        <v>6951</v>
      </c>
      <c r="C322" s="772" t="s">
        <v>61</v>
      </c>
      <c r="D322" s="177">
        <v>25</v>
      </c>
      <c r="E322" s="649">
        <v>0</v>
      </c>
      <c r="F322" s="100">
        <f>SUMIF(pro!$A:$A,$V:$V,pro!$N:$N)</f>
        <v>1000</v>
      </c>
      <c r="G322" s="351"/>
      <c r="H322" s="100"/>
      <c r="I322" s="351">
        <f>SUMIF(data!$D:$D,$B322&amp;$D322,data!$J:$J)</f>
        <v>175</v>
      </c>
      <c r="J322" s="351">
        <f>SUMIF(data!$D:$D,$B322&amp;$D322,data!$K:$K)</f>
        <v>4375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si="141"/>
        <v>825</v>
      </c>
      <c r="N322" s="351">
        <f t="shared" ref="N322" si="146">M322*D322</f>
        <v>20625</v>
      </c>
      <c r="O322" s="1161">
        <f t="shared" ref="O322" si="147">SUM(X322:BB322)</f>
        <v>31525</v>
      </c>
      <c r="P322" s="665"/>
      <c r="Q322" s="665"/>
      <c r="R322" s="804">
        <f>O322/INTGRATE!$N$293</f>
        <v>2865.909090909091</v>
      </c>
      <c r="S322" s="665">
        <f t="shared" ref="S322:S324" si="148">IF(R322=0,0,N322/R322)</f>
        <v>7.1966693100713721</v>
      </c>
      <c r="T322" s="401"/>
      <c r="U322" s="136"/>
      <c r="V322" s="836" t="str">
        <f t="shared" si="145"/>
        <v>695125</v>
      </c>
      <c r="W322" s="823">
        <v>314081</v>
      </c>
      <c r="X322" s="68"/>
      <c r="Y322" s="68">
        <v>250</v>
      </c>
      <c r="Z322" s="390">
        <v>1025</v>
      </c>
      <c r="AA322" s="100">
        <v>1500</v>
      </c>
      <c r="AB322" s="100">
        <v>1175</v>
      </c>
      <c r="AC322" s="100">
        <v>3350</v>
      </c>
      <c r="AD322" s="1162">
        <v>1875</v>
      </c>
      <c r="AE322" s="100">
        <v>250</v>
      </c>
      <c r="AF322" s="100">
        <v>2750</v>
      </c>
      <c r="AG322" s="100"/>
      <c r="AH322" s="100">
        <v>14975</v>
      </c>
      <c r="AI322" s="100">
        <v>4375</v>
      </c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8"/>
        <v>31525</v>
      </c>
      <c r="BD322" s="786">
        <f t="shared" si="139"/>
        <v>10</v>
      </c>
      <c r="BE322" s="786">
        <f t="shared" si="140"/>
        <v>3152.5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9</v>
      </c>
      <c r="B323" s="162" t="s">
        <v>82</v>
      </c>
      <c r="C323" s="772" t="s">
        <v>61</v>
      </c>
      <c r="D323" s="177">
        <v>25</v>
      </c>
      <c r="E323" s="649">
        <v>330</v>
      </c>
      <c r="F323" s="100">
        <f>SUMIF(pro!$A:$A,$V:$V,pro!$N:$N)</f>
        <v>284</v>
      </c>
      <c r="G323" s="351"/>
      <c r="H323" s="100"/>
      <c r="I323" s="351">
        <f>SUMIF(data!$D:$D,$B323&amp;$D323,data!$J:$J)</f>
        <v>570</v>
      </c>
      <c r="J323" s="351">
        <f>SUMIF(data!$D:$D,$B323&amp;$D323,data!$K:$K)</f>
        <v>14250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ref="M323" si="149">E323+F323+H323-I323-L323+G323-K323</f>
        <v>44</v>
      </c>
      <c r="N323" s="351">
        <f t="shared" ref="N323" si="150">M323*D323</f>
        <v>1100</v>
      </c>
      <c r="O323" s="1161">
        <f t="shared" ref="O323" si="151">SUM(X323:BB323)</f>
        <v>14525</v>
      </c>
      <c r="P323" s="665"/>
      <c r="Q323" s="665"/>
      <c r="R323" s="804">
        <f>O323/INTGRATE!$N$293</f>
        <v>1320.4545454545455</v>
      </c>
      <c r="S323" s="665">
        <f t="shared" ref="S323" si="152">IF(R323=0,0,N323/R323)</f>
        <v>0.83304647160068845</v>
      </c>
      <c r="T323" s="401"/>
      <c r="U323" s="136"/>
      <c r="V323" s="836" t="str">
        <f t="shared" si="145"/>
        <v>6951X25</v>
      </c>
      <c r="W323" s="823">
        <v>31408887</v>
      </c>
      <c r="X323" s="68"/>
      <c r="Y323" s="68">
        <v>0</v>
      </c>
      <c r="Z323" s="390">
        <v>0</v>
      </c>
      <c r="AA323" s="100">
        <v>0</v>
      </c>
      <c r="AB323" s="100">
        <v>0</v>
      </c>
      <c r="AC323" s="100">
        <v>0</v>
      </c>
      <c r="AD323" s="1162">
        <v>0</v>
      </c>
      <c r="AE323" s="100">
        <v>0</v>
      </c>
      <c r="AF323" s="100">
        <v>0</v>
      </c>
      <c r="AG323" s="100"/>
      <c r="AH323" s="100">
        <v>275</v>
      </c>
      <c r="AI323" s="100">
        <v>14250</v>
      </c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8"/>
        <v>14525</v>
      </c>
      <c r="BD323" s="786">
        <f t="shared" si="139"/>
        <v>2</v>
      </c>
      <c r="BE323" s="786">
        <f t="shared" si="140"/>
        <v>7262.5</v>
      </c>
      <c r="BF323" s="58"/>
      <c r="BG323" s="58"/>
      <c r="BH323" s="438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ht="15" customHeight="1">
      <c r="A324" s="68">
        <v>10</v>
      </c>
      <c r="B324" s="77">
        <v>6952</v>
      </c>
      <c r="C324" s="77" t="s">
        <v>64</v>
      </c>
      <c r="D324" s="67">
        <v>25</v>
      </c>
      <c r="E324" s="649">
        <v>435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160</v>
      </c>
      <c r="J324" s="351">
        <f>SUMIF(data!$D:$D,$B324&amp;$D324,data!$K:$K)</f>
        <v>4000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41"/>
        <v>275</v>
      </c>
      <c r="N324" s="351">
        <f t="shared" si="142"/>
        <v>6875</v>
      </c>
      <c r="O324" s="1161">
        <f t="shared" si="143"/>
        <v>19250</v>
      </c>
      <c r="P324" s="665">
        <f>N317+N322+N323</f>
        <v>21725</v>
      </c>
      <c r="Q324" s="665">
        <f>O317+O322+O323</f>
        <v>46050</v>
      </c>
      <c r="R324" s="804">
        <f>O324/INTGRATE!$N$293</f>
        <v>1750</v>
      </c>
      <c r="S324" s="665">
        <f t="shared" si="148"/>
        <v>3.9285714285714284</v>
      </c>
      <c r="T324" s="401"/>
      <c r="U324" s="136"/>
      <c r="V324" s="836" t="str">
        <f t="shared" si="145"/>
        <v>695225</v>
      </c>
      <c r="W324" s="823">
        <v>320041</v>
      </c>
      <c r="X324" s="68"/>
      <c r="Y324" s="68">
        <v>1750</v>
      </c>
      <c r="Z324" s="390">
        <v>875</v>
      </c>
      <c r="AA324" s="100">
        <v>2250</v>
      </c>
      <c r="AB324" s="100">
        <v>875</v>
      </c>
      <c r="AC324" s="100">
        <v>4000</v>
      </c>
      <c r="AD324" s="1162">
        <v>1000</v>
      </c>
      <c r="AE324" s="100">
        <v>1000</v>
      </c>
      <c r="AF324" s="100">
        <v>500</v>
      </c>
      <c r="AG324" s="100"/>
      <c r="AH324" s="100">
        <v>3000</v>
      </c>
      <c r="AI324" s="100">
        <v>4000</v>
      </c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8"/>
        <v>19250</v>
      </c>
      <c r="BD324" s="786">
        <f t="shared" si="139"/>
        <v>10</v>
      </c>
      <c r="BE324" s="786">
        <f t="shared" si="140"/>
        <v>1925</v>
      </c>
    </row>
    <row r="325" spans="1:151" ht="15" customHeight="1">
      <c r="A325" s="68">
        <v>11</v>
      </c>
      <c r="B325" s="77">
        <v>6953</v>
      </c>
      <c r="C325" s="77" t="s">
        <v>64</v>
      </c>
      <c r="D325" s="67">
        <v>25</v>
      </c>
      <c r="E325" s="649">
        <v>347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85</v>
      </c>
      <c r="J325" s="351">
        <f>SUMIF(data!$D:$D,$B325&amp;$D325,data!$K:$K)</f>
        <v>2125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41"/>
        <v>262</v>
      </c>
      <c r="N325" s="351">
        <f t="shared" si="142"/>
        <v>6550</v>
      </c>
      <c r="O325" s="1161">
        <f t="shared" si="143"/>
        <v>11800</v>
      </c>
      <c r="P325" s="665">
        <f>+N328+N327</f>
        <v>16650</v>
      </c>
      <c r="Q325" s="665">
        <f>+O328+O327</f>
        <v>14050</v>
      </c>
      <c r="R325" s="804">
        <f>O325/INTGRATE!$N$293</f>
        <v>1072.7272727272727</v>
      </c>
      <c r="S325" s="665">
        <f t="shared" si="144"/>
        <v>6.1059322033898304</v>
      </c>
      <c r="T325" s="401"/>
      <c r="U325" s="136"/>
      <c r="V325" s="836" t="str">
        <f t="shared" si="145"/>
        <v>695325</v>
      </c>
      <c r="W325" s="823">
        <v>332401</v>
      </c>
      <c r="X325" s="68"/>
      <c r="Y325" s="68">
        <v>1000</v>
      </c>
      <c r="Z325" s="390">
        <v>500</v>
      </c>
      <c r="AA325" s="100">
        <v>375</v>
      </c>
      <c r="AB325" s="100">
        <v>200</v>
      </c>
      <c r="AC325" s="100">
        <v>1000</v>
      </c>
      <c r="AD325" s="1162">
        <v>4600</v>
      </c>
      <c r="AE325" s="100">
        <v>1000</v>
      </c>
      <c r="AF325" s="100">
        <v>0</v>
      </c>
      <c r="AG325" s="100"/>
      <c r="AH325" s="100">
        <v>1000</v>
      </c>
      <c r="AI325" s="100">
        <v>2125</v>
      </c>
      <c r="AJ325" s="100"/>
      <c r="AK325" s="100"/>
      <c r="AL325" s="100"/>
      <c r="AM325" s="100"/>
      <c r="AN325" s="100"/>
      <c r="AO325" s="100"/>
      <c r="AP325" s="100"/>
      <c r="AQ325" s="1162"/>
      <c r="AR325" s="100"/>
      <c r="AS325" s="100"/>
      <c r="AT325" s="100"/>
      <c r="AU325" s="100"/>
      <c r="AV325" s="100"/>
      <c r="AW325" s="100"/>
      <c r="AX325" s="1162"/>
      <c r="AY325" s="100"/>
      <c r="AZ325" s="100"/>
      <c r="BA325" s="100"/>
      <c r="BB325" s="100"/>
      <c r="BC325" s="275">
        <f t="shared" si="138"/>
        <v>11800</v>
      </c>
      <c r="BD325" s="786">
        <f t="shared" si="139"/>
        <v>9</v>
      </c>
      <c r="BE325" s="786">
        <f t="shared" si="140"/>
        <v>1311.1111111111111</v>
      </c>
    </row>
    <row r="326" spans="1:151" ht="15" customHeight="1">
      <c r="A326" s="68">
        <v>12</v>
      </c>
      <c r="B326" s="77">
        <v>6954</v>
      </c>
      <c r="C326" s="77" t="s">
        <v>64</v>
      </c>
      <c r="D326" s="67">
        <v>25</v>
      </c>
      <c r="E326" s="649">
        <v>0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0</v>
      </c>
      <c r="J326" s="351">
        <f>SUMIF(data!$D:$D,$B326&amp;$D326,data!$K:$K)</f>
        <v>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41"/>
        <v>0</v>
      </c>
      <c r="N326" s="351">
        <f t="shared" si="142"/>
        <v>0</v>
      </c>
      <c r="O326" s="1161">
        <f t="shared" si="143"/>
        <v>0</v>
      </c>
      <c r="P326" s="665">
        <f>+N318+N319</f>
        <v>10900</v>
      </c>
      <c r="Q326" s="665">
        <f>+O318+O319</f>
        <v>19025</v>
      </c>
      <c r="R326" s="804">
        <f>O326/INTGRATE!$N$293</f>
        <v>0</v>
      </c>
      <c r="S326" s="665">
        <f t="shared" si="144"/>
        <v>0</v>
      </c>
      <c r="T326" s="401"/>
      <c r="U326" s="136"/>
      <c r="V326" s="836" t="str">
        <f t="shared" si="145"/>
        <v>695425</v>
      </c>
      <c r="W326" s="823">
        <v>332341</v>
      </c>
      <c r="X326" s="68"/>
      <c r="Y326" s="68">
        <v>0</v>
      </c>
      <c r="Z326" s="390">
        <v>0</v>
      </c>
      <c r="AA326" s="100">
        <v>0</v>
      </c>
      <c r="AB326" s="100">
        <v>0</v>
      </c>
      <c r="AC326" s="100">
        <v>0</v>
      </c>
      <c r="AD326" s="351">
        <v>0</v>
      </c>
      <c r="AE326" s="100">
        <v>0</v>
      </c>
      <c r="AF326" s="100">
        <v>0</v>
      </c>
      <c r="AG326" s="100"/>
      <c r="AH326" s="100">
        <v>0</v>
      </c>
      <c r="AI326" s="100">
        <v>0</v>
      </c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351"/>
      <c r="AY326" s="100"/>
      <c r="AZ326" s="100"/>
      <c r="BA326" s="100"/>
      <c r="BB326" s="100"/>
      <c r="BC326" s="275">
        <f t="shared" si="138"/>
        <v>0</v>
      </c>
      <c r="BD326" s="786">
        <f t="shared" si="139"/>
        <v>0</v>
      </c>
      <c r="BE326" s="786">
        <f t="shared" si="140"/>
        <v>0</v>
      </c>
    </row>
    <row r="327" spans="1:151" ht="15" customHeight="1">
      <c r="A327" s="68">
        <v>13</v>
      </c>
      <c r="B327" s="410">
        <v>6895</v>
      </c>
      <c r="C327" s="410" t="s">
        <v>79</v>
      </c>
      <c r="D327" s="410">
        <v>25</v>
      </c>
      <c r="E327" s="649">
        <v>549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15</v>
      </c>
      <c r="J327" s="351">
        <f>SUMIF(data!$D:$D,$B327&amp;$D327,data!$K:$K)</f>
        <v>375</v>
      </c>
      <c r="K327" s="100">
        <f>SUMIF(AJOUT!$A:$A,BRAN!$V:$V,AJOUT!$L:$L)</f>
        <v>0</v>
      </c>
      <c r="L327" s="100">
        <f>SUMIF(CBOUT!$A:$A,BRAN!$V:$V,CBOUT!$G:$G)</f>
        <v>0</v>
      </c>
      <c r="M327" s="650">
        <f t="shared" si="141"/>
        <v>534</v>
      </c>
      <c r="N327" s="351">
        <f t="shared" si="142"/>
        <v>13350</v>
      </c>
      <c r="O327" s="1161">
        <f t="shared" si="143"/>
        <v>12675</v>
      </c>
      <c r="P327" s="665"/>
      <c r="Q327" s="665"/>
      <c r="R327" s="804">
        <f>O327/INTGRATE!$N$293</f>
        <v>1152.2727272727273</v>
      </c>
      <c r="S327" s="665">
        <f t="shared" si="144"/>
        <v>11.585798816568047</v>
      </c>
      <c r="T327" s="401"/>
      <c r="U327" s="136"/>
      <c r="V327" s="836" t="str">
        <f t="shared" si="145"/>
        <v>689525</v>
      </c>
      <c r="W327" s="823">
        <v>423700</v>
      </c>
      <c r="X327" s="68"/>
      <c r="Y327" s="68">
        <v>675</v>
      </c>
      <c r="Z327" s="390">
        <v>500</v>
      </c>
      <c r="AA327" s="100">
        <v>6750</v>
      </c>
      <c r="AB327" s="100">
        <v>0</v>
      </c>
      <c r="AC327" s="100">
        <v>250</v>
      </c>
      <c r="AD327" s="351">
        <v>750</v>
      </c>
      <c r="AE327" s="100">
        <v>0</v>
      </c>
      <c r="AF327" s="100">
        <v>1750</v>
      </c>
      <c r="AG327" s="100"/>
      <c r="AH327" s="100">
        <v>1625</v>
      </c>
      <c r="AI327" s="100">
        <v>375</v>
      </c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8"/>
        <v>12675</v>
      </c>
      <c r="BD327" s="786">
        <f t="shared" si="139"/>
        <v>8</v>
      </c>
      <c r="BE327" s="786">
        <f t="shared" si="140"/>
        <v>1584.375</v>
      </c>
    </row>
    <row r="328" spans="1:151" ht="15" customHeight="1">
      <c r="A328" s="68">
        <v>14</v>
      </c>
      <c r="B328" s="410">
        <v>6884</v>
      </c>
      <c r="C328" s="410" t="s">
        <v>79</v>
      </c>
      <c r="D328" s="410">
        <v>25</v>
      </c>
      <c r="E328" s="649">
        <v>152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20</v>
      </c>
      <c r="J328" s="351">
        <f>SUMIF(data!$D:$D,$B328&amp;$D328,data!$K:$K)</f>
        <v>500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132</v>
      </c>
      <c r="N328" s="351">
        <f>M328*D328</f>
        <v>3300</v>
      </c>
      <c r="O328" s="1161">
        <f>SUM(X328:BB328)</f>
        <v>1375</v>
      </c>
      <c r="P328" s="665"/>
      <c r="Q328" s="665"/>
      <c r="R328" s="804">
        <f>O328/INTGRATE!$N$293</f>
        <v>125</v>
      </c>
      <c r="S328" s="665">
        <f>IF(R328=0,0,N328/R328)</f>
        <v>26.4</v>
      </c>
      <c r="T328" s="401"/>
      <c r="U328" s="136"/>
      <c r="V328" s="836" t="str">
        <f t="shared" si="145"/>
        <v>688425</v>
      </c>
      <c r="W328" s="823">
        <v>433700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250</v>
      </c>
      <c r="AD328" s="351">
        <v>500</v>
      </c>
      <c r="AE328" s="100">
        <v>0</v>
      </c>
      <c r="AF328" s="100">
        <v>125</v>
      </c>
      <c r="AG328" s="100"/>
      <c r="AH328" s="100">
        <v>0</v>
      </c>
      <c r="AI328" s="100">
        <v>500</v>
      </c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8"/>
        <v>1375</v>
      </c>
      <c r="BD328" s="786">
        <f t="shared" si="139"/>
        <v>4</v>
      </c>
      <c r="BE328" s="786">
        <f t="shared" si="140"/>
        <v>343.75</v>
      </c>
    </row>
    <row r="329" spans="1:151" ht="15" customHeight="1">
      <c r="A329" s="68">
        <v>15</v>
      </c>
      <c r="B329" s="410">
        <v>6984</v>
      </c>
      <c r="C329" s="410" t="s">
        <v>64</v>
      </c>
      <c r="D329" s="410">
        <v>25</v>
      </c>
      <c r="E329" s="649">
        <v>0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0</v>
      </c>
      <c r="J329" s="351">
        <f>SUMIF(data!$D:$D,$B329&amp;$D329,data!$K:$K)</f>
        <v>0</v>
      </c>
      <c r="K329" s="100">
        <f>SUMIF(AJOUT!$A:$A,BRAN!$V:$V,AJOUT!$L:$L)</f>
        <v>0</v>
      </c>
      <c r="L329" s="100">
        <f>SUMIF(CBOUT!$A:$A,BRAN!$V:$V,CBOUT!$G:$G)</f>
        <v>0</v>
      </c>
      <c r="M329" s="650">
        <f>E329+F329+H329-I329-L329+G329-K329</f>
        <v>0</v>
      </c>
      <c r="N329" s="351">
        <f>M329*D329</f>
        <v>0</v>
      </c>
      <c r="O329" s="1161">
        <f>SUM(X329:BB329)</f>
        <v>0</v>
      </c>
      <c r="P329" s="665"/>
      <c r="Q329" s="665"/>
      <c r="R329" s="804">
        <f>O329/INTGRATE!$N$293</f>
        <v>0</v>
      </c>
      <c r="S329" s="665">
        <f>IF(R329=0,0,N329/R329)</f>
        <v>0</v>
      </c>
      <c r="T329" s="401"/>
      <c r="U329" s="136"/>
      <c r="V329" s="836" t="str">
        <f t="shared" si="145"/>
        <v>698425</v>
      </c>
      <c r="W329" s="823">
        <v>433701</v>
      </c>
      <c r="X329" s="68"/>
      <c r="Y329" s="68">
        <v>0</v>
      </c>
      <c r="Z329" s="390">
        <v>0</v>
      </c>
      <c r="AA329" s="100">
        <v>0</v>
      </c>
      <c r="AB329" s="100">
        <v>0</v>
      </c>
      <c r="AC329" s="100">
        <v>0</v>
      </c>
      <c r="AD329" s="351">
        <v>0</v>
      </c>
      <c r="AE329" s="100">
        <v>0</v>
      </c>
      <c r="AF329" s="100">
        <v>0</v>
      </c>
      <c r="AG329" s="100"/>
      <c r="AH329" s="100">
        <v>0</v>
      </c>
      <c r="AI329" s="100">
        <v>0</v>
      </c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8"/>
        <v>0</v>
      </c>
      <c r="BD329" s="786">
        <f t="shared" si="139"/>
        <v>0</v>
      </c>
      <c r="BE329" s="786">
        <f t="shared" si="140"/>
        <v>0</v>
      </c>
    </row>
    <row r="330" spans="1:151" ht="15" customHeight="1">
      <c r="A330" s="68">
        <v>16</v>
      </c>
      <c r="B330" s="410">
        <v>6995</v>
      </c>
      <c r="C330" s="410" t="s">
        <v>64</v>
      </c>
      <c r="D330" s="410">
        <v>25</v>
      </c>
      <c r="E330" s="649">
        <v>461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120</v>
      </c>
      <c r="J330" s="351">
        <f>SUMIF(data!$D:$D,$B330&amp;$D330,data!$K:$K)</f>
        <v>3000</v>
      </c>
      <c r="K330" s="100">
        <f>SUMIF(AJOUT!$A:$A,BRAN!$V:$V,AJOUT!$L:$L)</f>
        <v>0</v>
      </c>
      <c r="L330" s="100">
        <f>SUMIF(CBOUT!$A:$A,BRAN!$V:$V,CBOUT!$G:$G)</f>
        <v>0</v>
      </c>
      <c r="M330" s="650">
        <f t="shared" si="141"/>
        <v>341</v>
      </c>
      <c r="N330" s="351">
        <f t="shared" si="142"/>
        <v>8525</v>
      </c>
      <c r="O330" s="1161">
        <f t="shared" si="143"/>
        <v>17400</v>
      </c>
      <c r="P330" s="665"/>
      <c r="Q330" s="665"/>
      <c r="R330" s="804">
        <f>O330/INTGRATE!$N$293</f>
        <v>1581.8181818181818</v>
      </c>
      <c r="S330" s="665">
        <f t="shared" si="144"/>
        <v>5.389367816091954</v>
      </c>
      <c r="T330" s="401"/>
      <c r="U330" s="136"/>
      <c r="V330" s="836" t="str">
        <f t="shared" si="145"/>
        <v>699525</v>
      </c>
      <c r="W330" s="823">
        <v>423701</v>
      </c>
      <c r="X330" s="68"/>
      <c r="Y330" s="68">
        <v>1250</v>
      </c>
      <c r="Z330" s="390">
        <v>125</v>
      </c>
      <c r="AA330" s="100">
        <v>500</v>
      </c>
      <c r="AB330" s="100">
        <v>1750</v>
      </c>
      <c r="AC330" s="100">
        <v>1750</v>
      </c>
      <c r="AD330" s="351">
        <v>5500</v>
      </c>
      <c r="AE330" s="100">
        <v>250</v>
      </c>
      <c r="AF330" s="100">
        <v>1325</v>
      </c>
      <c r="AG330" s="100"/>
      <c r="AH330" s="100">
        <v>1950</v>
      </c>
      <c r="AI330" s="100">
        <v>3000</v>
      </c>
      <c r="AJ330" s="100"/>
      <c r="AK330" s="100"/>
      <c r="AL330" s="100"/>
      <c r="AM330" s="100"/>
      <c r="AN330" s="100"/>
      <c r="AO330" s="100"/>
      <c r="AP330" s="100"/>
      <c r="AQ330" s="351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75">
        <f t="shared" si="138"/>
        <v>17400</v>
      </c>
      <c r="BD330" s="786">
        <f t="shared" si="139"/>
        <v>10</v>
      </c>
      <c r="BE330" s="786">
        <f t="shared" si="140"/>
        <v>1740</v>
      </c>
    </row>
    <row r="331" spans="1:151" ht="15" customHeight="1">
      <c r="A331" s="68">
        <v>17</v>
      </c>
      <c r="B331" s="448">
        <v>6991</v>
      </c>
      <c r="C331" s="448" t="s">
        <v>64</v>
      </c>
      <c r="D331" s="448">
        <v>25</v>
      </c>
      <c r="E331" s="649">
        <v>75</v>
      </c>
      <c r="F331" s="100">
        <f>SUMIF(pro!$A:$A,$V:$V,pro!$N:$N)</f>
        <v>0</v>
      </c>
      <c r="G331" s="351"/>
      <c r="H331" s="100">
        <f>SUMIF(CBIN!$A:$A,BRAN!$V:$V,CBIN!$G:$G)</f>
        <v>0</v>
      </c>
      <c r="I331" s="351">
        <f>SUMIF(data!$D:$D,$B331&amp;$D331,data!$J:$J)</f>
        <v>35</v>
      </c>
      <c r="J331" s="351">
        <f>SUMIF(data!$D:$D,$B331&amp;$D331,data!$K:$K)</f>
        <v>875</v>
      </c>
      <c r="K331" s="100">
        <f>SUMIF(AJOUT!$A:$A,BRAN!$V:$V,AJOUT!$L:$L)</f>
        <v>0</v>
      </c>
      <c r="L331" s="100">
        <f>SUMIF(CBOUT!$A:$A,BRAN!$V:$V,CBOUT!$G:$G)</f>
        <v>0</v>
      </c>
      <c r="M331" s="650">
        <f>E331+F331+H331-I331-L331+G331-K331</f>
        <v>40</v>
      </c>
      <c r="N331" s="351">
        <f>M331*D331</f>
        <v>1000</v>
      </c>
      <c r="O331" s="1161">
        <f>SUM(X331:BB331)</f>
        <v>4500</v>
      </c>
      <c r="P331" s="665"/>
      <c r="Q331" s="665"/>
      <c r="R331" s="804">
        <f>O331/INTGRATE!$N$293</f>
        <v>409.09090909090907</v>
      </c>
      <c r="S331" s="665">
        <f>IF(R331=0,0,N331/R331)</f>
        <v>2.4444444444444446</v>
      </c>
      <c r="T331" s="592"/>
      <c r="U331" s="613"/>
      <c r="V331" s="836" t="str">
        <f>B331&amp;D331</f>
        <v>699125</v>
      </c>
      <c r="W331" s="823">
        <v>513021</v>
      </c>
      <c r="X331" s="666"/>
      <c r="Y331" s="666">
        <v>1375</v>
      </c>
      <c r="Z331" s="667">
        <v>500</v>
      </c>
      <c r="AA331" s="157">
        <v>250</v>
      </c>
      <c r="AB331" s="157">
        <v>0</v>
      </c>
      <c r="AC331" s="157">
        <v>625</v>
      </c>
      <c r="AD331" s="1162">
        <v>0</v>
      </c>
      <c r="AE331" s="157">
        <v>500</v>
      </c>
      <c r="AF331" s="157">
        <v>125</v>
      </c>
      <c r="AG331" s="157"/>
      <c r="AH331" s="157">
        <v>250</v>
      </c>
      <c r="AI331" s="157">
        <v>875</v>
      </c>
      <c r="AJ331" s="157"/>
      <c r="AK331" s="157"/>
      <c r="AL331" s="157"/>
      <c r="AM331" s="157"/>
      <c r="AN331" s="157"/>
      <c r="AO331" s="157"/>
      <c r="AP331" s="157"/>
      <c r="AQ331" s="1162"/>
      <c r="AR331" s="157"/>
      <c r="AS331" s="157"/>
      <c r="AT331" s="157"/>
      <c r="AU331" s="157"/>
      <c r="AV331" s="157"/>
      <c r="AW331" s="157"/>
      <c r="AX331" s="157"/>
      <c r="AY331" s="157"/>
      <c r="AZ331" s="157"/>
      <c r="BA331" s="157"/>
      <c r="BB331" s="157"/>
      <c r="BC331" s="275">
        <f t="shared" si="138"/>
        <v>4500</v>
      </c>
      <c r="BD331" s="786">
        <f t="shared" si="139"/>
        <v>8</v>
      </c>
      <c r="BE331" s="786">
        <f t="shared" si="140"/>
        <v>562.5</v>
      </c>
    </row>
    <row r="332" spans="1:151" s="59" customFormat="1" ht="15" customHeight="1">
      <c r="A332" s="1117" t="s">
        <v>71</v>
      </c>
      <c r="B332" s="1118"/>
      <c r="C332" s="1118"/>
      <c r="D332" s="1119"/>
      <c r="E332" s="113"/>
      <c r="F332" s="113"/>
      <c r="G332" s="113"/>
      <c r="H332" s="113"/>
      <c r="I332" s="113"/>
      <c r="J332" s="113"/>
      <c r="K332" s="113"/>
      <c r="L332" s="113"/>
      <c r="M332" s="479"/>
      <c r="N332" s="113"/>
      <c r="O332" s="113"/>
      <c r="P332" s="113"/>
      <c r="Q332" s="113"/>
      <c r="R332" s="113"/>
      <c r="S332" s="114"/>
      <c r="T332" s="462"/>
      <c r="U332" s="155"/>
      <c r="V332" s="836"/>
      <c r="W332" s="823"/>
      <c r="X332" s="669">
        <f t="shared" ref="X332:BC332" si="153">SUM(X315:X331)</f>
        <v>0</v>
      </c>
      <c r="Y332" s="670">
        <f t="shared" si="153"/>
        <v>9175</v>
      </c>
      <c r="Z332" s="670">
        <f t="shared" si="153"/>
        <v>3525</v>
      </c>
      <c r="AA332" s="670">
        <f t="shared" si="153"/>
        <v>16650</v>
      </c>
      <c r="AB332" s="670">
        <f t="shared" si="153"/>
        <v>11125</v>
      </c>
      <c r="AC332" s="670">
        <f t="shared" si="153"/>
        <v>14700</v>
      </c>
      <c r="AD332" s="670">
        <f t="shared" si="153"/>
        <v>14225</v>
      </c>
      <c r="AE332" s="670">
        <f t="shared" si="153"/>
        <v>3000</v>
      </c>
      <c r="AF332" s="670">
        <f t="shared" si="153"/>
        <v>12950</v>
      </c>
      <c r="AG332" s="670">
        <f t="shared" si="153"/>
        <v>0</v>
      </c>
      <c r="AH332" s="670">
        <f t="shared" si="153"/>
        <v>28650</v>
      </c>
      <c r="AI332" s="670">
        <f t="shared" si="153"/>
        <v>36000</v>
      </c>
      <c r="AJ332" s="670">
        <f t="shared" si="153"/>
        <v>0</v>
      </c>
      <c r="AK332" s="670">
        <f t="shared" si="153"/>
        <v>0</v>
      </c>
      <c r="AL332" s="670">
        <f t="shared" si="153"/>
        <v>0</v>
      </c>
      <c r="AM332" s="670">
        <f t="shared" si="153"/>
        <v>0</v>
      </c>
      <c r="AN332" s="670">
        <f t="shared" si="153"/>
        <v>0</v>
      </c>
      <c r="AO332" s="670">
        <f t="shared" si="153"/>
        <v>0</v>
      </c>
      <c r="AP332" s="670">
        <f t="shared" si="153"/>
        <v>0</v>
      </c>
      <c r="AQ332" s="670">
        <f t="shared" si="153"/>
        <v>0</v>
      </c>
      <c r="AR332" s="670">
        <f t="shared" si="153"/>
        <v>0</v>
      </c>
      <c r="AS332" s="670">
        <f t="shared" si="153"/>
        <v>0</v>
      </c>
      <c r="AT332" s="670">
        <f t="shared" si="153"/>
        <v>0</v>
      </c>
      <c r="AU332" s="670">
        <f t="shared" si="153"/>
        <v>0</v>
      </c>
      <c r="AV332" s="670">
        <f t="shared" si="153"/>
        <v>0</v>
      </c>
      <c r="AW332" s="670">
        <f t="shared" si="153"/>
        <v>0</v>
      </c>
      <c r="AX332" s="670">
        <f t="shared" si="153"/>
        <v>0</v>
      </c>
      <c r="AY332" s="670">
        <f t="shared" si="153"/>
        <v>0</v>
      </c>
      <c r="AZ332" s="670">
        <f t="shared" si="153"/>
        <v>0</v>
      </c>
      <c r="BA332" s="670">
        <f t="shared" si="153"/>
        <v>0</v>
      </c>
      <c r="BB332" s="670">
        <f t="shared" si="153"/>
        <v>0</v>
      </c>
      <c r="BC332" s="670">
        <f t="shared" si="153"/>
        <v>150000</v>
      </c>
      <c r="BD332" s="112"/>
      <c r="BE332" s="112"/>
      <c r="BH332" s="439"/>
    </row>
    <row r="333" spans="1:151" s="59" customFormat="1" ht="15" customHeight="1">
      <c r="A333" s="1117" t="s">
        <v>72</v>
      </c>
      <c r="B333" s="1118"/>
      <c r="C333" s="1118"/>
      <c r="D333" s="1119"/>
      <c r="E333" s="113">
        <f>SUM(E315:E331)</f>
        <v>3517</v>
      </c>
      <c r="F333" s="113">
        <f>SUM(F315:F331)-F335</f>
        <v>1284</v>
      </c>
      <c r="G333" s="113">
        <f>SUM(G315:G331)</f>
        <v>0</v>
      </c>
      <c r="H333" s="113">
        <f>SUM(H315:H331)</f>
        <v>0</v>
      </c>
      <c r="I333" s="113">
        <f>SUM(I315:I331)</f>
        <v>1440</v>
      </c>
      <c r="J333" s="113">
        <f>SUM(J315:J331)-J335</f>
        <v>36000</v>
      </c>
      <c r="K333" s="113">
        <f t="shared" ref="K333:S333" si="154">SUM(K315:K331)</f>
        <v>0</v>
      </c>
      <c r="L333" s="113">
        <f t="shared" si="154"/>
        <v>0</v>
      </c>
      <c r="M333" s="113">
        <f t="shared" si="154"/>
        <v>3361</v>
      </c>
      <c r="N333" s="113">
        <f t="shared" si="154"/>
        <v>84025</v>
      </c>
      <c r="O333" s="113">
        <f t="shared" si="154"/>
        <v>150000</v>
      </c>
      <c r="P333" s="113">
        <f t="shared" si="154"/>
        <v>84025</v>
      </c>
      <c r="Q333" s="113">
        <f t="shared" si="154"/>
        <v>150000</v>
      </c>
      <c r="R333" s="113">
        <f t="shared" si="154"/>
        <v>13636.363636363638</v>
      </c>
      <c r="S333" s="113">
        <f t="shared" si="154"/>
        <v>77.427347517625591</v>
      </c>
      <c r="T333" s="1097"/>
      <c r="U333" s="155">
        <f>SUM(U317:U317,U320:U326)*25</f>
        <v>0</v>
      </c>
      <c r="V333" s="836"/>
      <c r="W333" s="823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BA333" s="112"/>
      <c r="BB333" s="112"/>
      <c r="BC333" s="329">
        <f>+BC332+BC301+BC277+BC194+BC151</f>
        <v>4967350</v>
      </c>
      <c r="BD333" s="329"/>
      <c r="BE333" s="329"/>
      <c r="BH333" s="439"/>
    </row>
    <row r="334" spans="1:151" s="59" customFormat="1" ht="15" customHeight="1">
      <c r="A334" s="1117" t="s">
        <v>73</v>
      </c>
      <c r="B334" s="1118"/>
      <c r="C334" s="1118"/>
      <c r="D334" s="1119"/>
      <c r="E334" s="113"/>
      <c r="F334" s="113"/>
      <c r="G334" s="113"/>
      <c r="H334" s="113"/>
      <c r="I334" s="113"/>
      <c r="J334" s="113"/>
      <c r="K334" s="113"/>
      <c r="L334" s="113"/>
      <c r="M334" s="479"/>
      <c r="N334" s="113"/>
      <c r="O334" s="113"/>
      <c r="P334" s="113"/>
      <c r="Q334" s="113"/>
      <c r="R334" s="113"/>
      <c r="S334" s="113"/>
      <c r="T334" s="1098"/>
      <c r="U334" s="155"/>
      <c r="V334" s="839"/>
      <c r="W334" s="823"/>
      <c r="X334" s="671">
        <f t="shared" ref="X334:BB334" si="155">X332+X301+X277+X194+X151</f>
        <v>0</v>
      </c>
      <c r="Y334" s="671">
        <f t="shared" si="155"/>
        <v>617180</v>
      </c>
      <c r="Z334" s="671">
        <f t="shared" si="155"/>
        <v>194990</v>
      </c>
      <c r="AA334" s="671">
        <f t="shared" si="155"/>
        <v>565630</v>
      </c>
      <c r="AB334" s="671">
        <f t="shared" si="155"/>
        <v>534855</v>
      </c>
      <c r="AC334" s="671">
        <f t="shared" si="155"/>
        <v>495125</v>
      </c>
      <c r="AD334" s="671">
        <f t="shared" si="155"/>
        <v>389925</v>
      </c>
      <c r="AE334" s="671">
        <f t="shared" si="155"/>
        <v>493910</v>
      </c>
      <c r="AF334" s="671">
        <f t="shared" si="155"/>
        <v>330125</v>
      </c>
      <c r="AG334" s="671">
        <f t="shared" si="155"/>
        <v>0</v>
      </c>
      <c r="AH334" s="671">
        <f t="shared" si="155"/>
        <v>702575</v>
      </c>
      <c r="AI334" s="671">
        <f t="shared" si="155"/>
        <v>643035</v>
      </c>
      <c r="AJ334" s="671">
        <f t="shared" si="155"/>
        <v>0</v>
      </c>
      <c r="AK334" s="671">
        <f t="shared" si="155"/>
        <v>0</v>
      </c>
      <c r="AL334" s="671">
        <f t="shared" si="155"/>
        <v>0</v>
      </c>
      <c r="AM334" s="671">
        <f t="shared" si="155"/>
        <v>0</v>
      </c>
      <c r="AN334" s="671">
        <f t="shared" si="155"/>
        <v>0</v>
      </c>
      <c r="AO334" s="671">
        <f t="shared" si="155"/>
        <v>0</v>
      </c>
      <c r="AP334" s="671">
        <f t="shared" si="155"/>
        <v>0</v>
      </c>
      <c r="AQ334" s="671">
        <f t="shared" si="155"/>
        <v>0</v>
      </c>
      <c r="AR334" s="671">
        <f t="shared" si="155"/>
        <v>0</v>
      </c>
      <c r="AS334" s="671">
        <f t="shared" si="155"/>
        <v>0</v>
      </c>
      <c r="AT334" s="671">
        <f t="shared" si="155"/>
        <v>0</v>
      </c>
      <c r="AU334" s="671">
        <f t="shared" si="155"/>
        <v>0</v>
      </c>
      <c r="AV334" s="671">
        <f t="shared" si="155"/>
        <v>0</v>
      </c>
      <c r="AW334" s="671">
        <f t="shared" si="155"/>
        <v>0</v>
      </c>
      <c r="AX334" s="671">
        <f t="shared" si="155"/>
        <v>0</v>
      </c>
      <c r="AY334" s="671">
        <f t="shared" si="155"/>
        <v>0</v>
      </c>
      <c r="AZ334" s="671">
        <f t="shared" si="155"/>
        <v>0</v>
      </c>
      <c r="BA334" s="671">
        <f t="shared" si="155"/>
        <v>0</v>
      </c>
      <c r="BB334" s="671">
        <f t="shared" si="155"/>
        <v>0</v>
      </c>
      <c r="BC334" s="440">
        <f>+SUM(BF15:BF27)</f>
        <v>4953820</v>
      </c>
      <c r="BD334" s="440"/>
      <c r="BE334" s="440"/>
      <c r="BH334" s="439"/>
    </row>
    <row r="335" spans="1:151" s="59" customFormat="1" ht="15" customHeight="1">
      <c r="A335" s="1117" t="s">
        <v>74</v>
      </c>
      <c r="B335" s="1118"/>
      <c r="C335" s="1118"/>
      <c r="D335" s="1119"/>
      <c r="E335" s="113"/>
      <c r="F335" s="113">
        <f>+F316</f>
        <v>0</v>
      </c>
      <c r="G335" s="113">
        <f>+G316</f>
        <v>0</v>
      </c>
      <c r="I335" s="113">
        <f>+I316</f>
        <v>0</v>
      </c>
      <c r="J335" s="113">
        <f>+J316</f>
        <v>0</v>
      </c>
      <c r="K335" s="113"/>
      <c r="L335" s="113"/>
      <c r="M335" s="479"/>
      <c r="N335" s="113"/>
      <c r="O335" s="188"/>
      <c r="P335" s="188"/>
      <c r="Q335" s="188"/>
      <c r="R335" s="188"/>
      <c r="S335" s="188"/>
      <c r="T335" s="1098"/>
      <c r="U335" s="155"/>
      <c r="V335" s="839"/>
      <c r="W335" s="823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BA335" s="75"/>
      <c r="BB335" s="75"/>
      <c r="BC335" s="440"/>
      <c r="BD335" s="440"/>
      <c r="BE335" s="440"/>
      <c r="BH335" s="439"/>
    </row>
    <row r="336" spans="1:151" s="129" customFormat="1" ht="15" customHeight="1">
      <c r="A336" s="1111" t="s">
        <v>75</v>
      </c>
      <c r="B336" s="1112"/>
      <c r="C336" s="1112"/>
      <c r="D336" s="1113"/>
      <c r="E336" s="73">
        <f>SUM(E332:E334)</f>
        <v>3517</v>
      </c>
      <c r="F336" s="73">
        <f>SUM(F332:F334)-F333</f>
        <v>0</v>
      </c>
      <c r="G336" s="73">
        <f>SUM(G332:G334)-G333</f>
        <v>0</v>
      </c>
      <c r="H336" s="73">
        <f>SUM(H332:H334)-H333</f>
        <v>0</v>
      </c>
      <c r="I336" s="73">
        <f>+SUM(I332:I335)</f>
        <v>1440</v>
      </c>
      <c r="J336" s="73">
        <f>+SUM(J332:J334)</f>
        <v>36000</v>
      </c>
      <c r="K336" s="73">
        <f>SUM(K332:K334)</f>
        <v>0</v>
      </c>
      <c r="L336" s="73">
        <f>SUM(L332:L334)</f>
        <v>0</v>
      </c>
      <c r="M336" s="478">
        <f>SUM(M332:M334)</f>
        <v>3361</v>
      </c>
      <c r="N336" s="73">
        <f>SUM(N332:N334)</f>
        <v>84025</v>
      </c>
      <c r="O336" s="1104">
        <f>SUM(O317:O331)</f>
        <v>150000</v>
      </c>
      <c r="P336" s="186"/>
      <c r="Q336" s="186"/>
      <c r="R336" s="1106">
        <f>SUM(R317:R331)</f>
        <v>13636.363636363638</v>
      </c>
      <c r="S336" s="1106" t="s">
        <v>83</v>
      </c>
      <c r="T336" s="1099"/>
      <c r="U336" s="146">
        <f>SUM(U317:U326)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C336" s="441">
        <f>+BC333-BC334</f>
        <v>13530</v>
      </c>
      <c r="BD336" s="441"/>
      <c r="BE336" s="441"/>
      <c r="BF336" s="354"/>
      <c r="BG336" s="354"/>
      <c r="BH336" s="439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</row>
    <row r="337" spans="1:60" s="71" customFormat="1" ht="15" customHeight="1">
      <c r="A337" s="1117" t="s">
        <v>77</v>
      </c>
      <c r="B337" s="1118"/>
      <c r="C337" s="1118"/>
      <c r="D337" s="1119"/>
      <c r="E337" s="70">
        <f>SUM(E332:E333)*25+E334*40</f>
        <v>87925</v>
      </c>
      <c r="F337" s="70">
        <f>SUM(F332:F333)*25+F334*40</f>
        <v>32100</v>
      </c>
      <c r="G337" s="70">
        <f>SUM(G332:G333)*25+G334*40</f>
        <v>0</v>
      </c>
      <c r="H337" s="70">
        <f>SUM(H332:H333)*25+H334*40</f>
        <v>0</v>
      </c>
      <c r="I337" s="70">
        <f>SUM(I332:I333)*25+I334*40</f>
        <v>36000</v>
      </c>
      <c r="J337" s="70">
        <f>SUM(J332:J333)+J334+J335</f>
        <v>36000</v>
      </c>
      <c r="K337" s="70">
        <f>+K336*25</f>
        <v>0</v>
      </c>
      <c r="L337" s="70">
        <f>SUM(L332:L333)*25+L334*40</f>
        <v>0</v>
      </c>
      <c r="M337" s="480">
        <f>SUM(M332:M333)*25+M334*40</f>
        <v>84025</v>
      </c>
      <c r="N337" s="70">
        <f>SUM(N332:N333)+N334</f>
        <v>84025</v>
      </c>
      <c r="O337" s="1105"/>
      <c r="P337" s="187"/>
      <c r="Q337" s="187"/>
      <c r="R337" s="1107"/>
      <c r="S337" s="1107"/>
      <c r="T337" s="1100"/>
      <c r="U337" s="146">
        <f>SUM(U332:U334)</f>
        <v>0</v>
      </c>
      <c r="V337" s="839"/>
      <c r="W337" s="82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H337" s="439"/>
    </row>
    <row r="338" spans="1:60" ht="15" customHeight="1">
      <c r="A338" s="286" t="s">
        <v>174</v>
      </c>
      <c r="B338" s="37"/>
      <c r="C338" s="37"/>
      <c r="D338" s="37"/>
      <c r="E338" s="130"/>
      <c r="F338" s="37"/>
      <c r="G338" s="37"/>
      <c r="H338" s="37"/>
      <c r="I338" s="37"/>
      <c r="J338" s="37"/>
      <c r="K338" s="37"/>
      <c r="L338" s="37"/>
      <c r="M338" s="472"/>
      <c r="N338" s="37"/>
      <c r="O338" s="37"/>
      <c r="P338" s="37"/>
      <c r="Q338" s="37"/>
      <c r="R338" s="37"/>
      <c r="S338" s="37"/>
      <c r="T338" s="458"/>
      <c r="U338" s="149"/>
      <c r="AZ338" s="58"/>
      <c r="BB338" s="72"/>
    </row>
    <row r="339" spans="1:60" ht="15" customHeight="1">
      <c r="A339" s="286" t="s">
        <v>175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U339" s="131"/>
      <c r="V339" s="839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Z339" s="58"/>
      <c r="BA339" s="112"/>
      <c r="BB339" s="112"/>
    </row>
    <row r="340" spans="1:60" ht="15" customHeight="1">
      <c r="A340" s="286" t="s">
        <v>176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465"/>
      <c r="N340" s="38"/>
      <c r="O340" s="38"/>
      <c r="P340" s="38"/>
      <c r="Q340" s="38"/>
      <c r="R340" s="38"/>
      <c r="S340" s="38"/>
      <c r="T340" s="459"/>
      <c r="AZ340" s="58"/>
      <c r="BB340" s="72"/>
    </row>
    <row r="341" spans="1:60">
      <c r="T341" s="463"/>
    </row>
    <row r="342" spans="1:60">
      <c r="F342" s="60"/>
      <c r="G342" s="60"/>
      <c r="N342" s="633"/>
    </row>
    <row r="345" spans="1:60">
      <c r="I345" s="60"/>
    </row>
    <row r="362" spans="13:48" s="58" customFormat="1" ht="15">
      <c r="M362" s="481"/>
      <c r="T362" s="72"/>
      <c r="V362" s="846"/>
      <c r="W362" s="846"/>
      <c r="AV362" s="68"/>
    </row>
  </sheetData>
  <sortState xmlns:xlrd2="http://schemas.microsoft.com/office/spreadsheetml/2017/richdata2" ref="X189:BC206">
    <sortCondition sortBy="icon" ref="AK189"/>
  </sortState>
  <mergeCells count="112">
    <mergeCell ref="U312:U313"/>
    <mergeCell ref="I313:J313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4:U205"/>
    <mergeCell ref="I205:J205"/>
    <mergeCell ref="M205:N205"/>
    <mergeCell ref="S288:S290"/>
    <mergeCell ref="M289:N289"/>
    <mergeCell ref="O197:O198"/>
    <mergeCell ref="T194:T198"/>
    <mergeCell ref="S280:S282"/>
    <mergeCell ref="S197:S198"/>
    <mergeCell ref="T204:T206"/>
    <mergeCell ref="A281:D281"/>
    <mergeCell ref="A277:D277"/>
    <mergeCell ref="A278:D278"/>
    <mergeCell ref="A198:D198"/>
    <mergeCell ref="C164:C166"/>
    <mergeCell ref="B164:B166"/>
    <mergeCell ref="B204:B206"/>
    <mergeCell ref="U288:U289"/>
    <mergeCell ref="I289:J289"/>
    <mergeCell ref="I204:L204"/>
    <mergeCell ref="T164:T166"/>
    <mergeCell ref="S164:S166"/>
    <mergeCell ref="R197:R198"/>
    <mergeCell ref="A280:D280"/>
    <mergeCell ref="A194:D194"/>
    <mergeCell ref="A196:D196"/>
    <mergeCell ref="D164:D166"/>
    <mergeCell ref="A197:D197"/>
    <mergeCell ref="A195:D195"/>
    <mergeCell ref="A164:A166"/>
    <mergeCell ref="A204:A206"/>
    <mergeCell ref="F164:H164"/>
    <mergeCell ref="D204:D206"/>
    <mergeCell ref="F204:H204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T333:T337"/>
    <mergeCell ref="S312:S314"/>
    <mergeCell ref="C312:C314"/>
    <mergeCell ref="R336:R337"/>
    <mergeCell ref="O336:O337"/>
    <mergeCell ref="T312:T314"/>
    <mergeCell ref="A332:D332"/>
    <mergeCell ref="I312:L312"/>
    <mergeCell ref="A312:A314"/>
    <mergeCell ref="B312:B314"/>
    <mergeCell ref="M312:N312"/>
    <mergeCell ref="M313:N313"/>
    <mergeCell ref="S336:S337"/>
    <mergeCell ref="A334:D334"/>
    <mergeCell ref="A337:D337"/>
    <mergeCell ref="A336:D336"/>
    <mergeCell ref="A333:D333"/>
    <mergeCell ref="D312:D314"/>
    <mergeCell ref="A335:D335"/>
    <mergeCell ref="F312:H312"/>
    <mergeCell ref="A303:D303"/>
    <mergeCell ref="A279:D279"/>
    <mergeCell ref="A301:D301"/>
    <mergeCell ref="C204:C206"/>
    <mergeCell ref="A304:D304"/>
    <mergeCell ref="A288:A290"/>
    <mergeCell ref="R304:R306"/>
    <mergeCell ref="T302:T306"/>
    <mergeCell ref="S304:S306"/>
    <mergeCell ref="C288:C290"/>
    <mergeCell ref="A306:D306"/>
    <mergeCell ref="A302:D302"/>
    <mergeCell ref="D288:D290"/>
    <mergeCell ref="B288:B290"/>
    <mergeCell ref="A305:D305"/>
    <mergeCell ref="M204:N204"/>
    <mergeCell ref="R280:R282"/>
    <mergeCell ref="I288:L288"/>
    <mergeCell ref="M288:N288"/>
    <mergeCell ref="T288:T290"/>
    <mergeCell ref="S204:S206"/>
    <mergeCell ref="F288:H288"/>
    <mergeCell ref="A282:D282"/>
    <mergeCell ref="T277:T282"/>
  </mergeCells>
  <phoneticPr fontId="6" type="noConversion"/>
  <conditionalFormatting sqref="S274:S276 S291:S300 S167:S193 S315:S331 S207:S266 S13:S150">
    <cfRule type="cellIs" dxfId="7" priority="15" stopIfTrue="1" operator="lessThan">
      <formula>1</formula>
    </cfRule>
  </conditionalFormatting>
  <conditionalFormatting sqref="S274:S277 S291:S300 S167:S193 S315:S331 S207:S266 S13:S150">
    <cfRule type="cellIs" dxfId="6" priority="13" stopIfTrue="1" operator="lessThan">
      <formula>2</formula>
    </cfRule>
  </conditionalFormatting>
  <conditionalFormatting sqref="S271:S273">
    <cfRule type="cellIs" dxfId="5" priority="4" stopIfTrue="1" operator="lessThan">
      <formula>1</formula>
    </cfRule>
  </conditionalFormatting>
  <conditionalFormatting sqref="S271:S273">
    <cfRule type="cellIs" dxfId="4" priority="3" stopIfTrue="1" operator="lessThan">
      <formula>2</formula>
    </cfRule>
  </conditionalFormatting>
  <conditionalFormatting sqref="S267:S270">
    <cfRule type="cellIs" dxfId="3" priority="2" stopIfTrue="1" operator="lessThan">
      <formula>1</formula>
    </cfRule>
  </conditionalFormatting>
  <conditionalFormatting sqref="S267:S270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I265" activePane="bottomRight" state="frozen"/>
      <selection pane="bottomRight" activeCell="AL10" sqref="AL10:AL102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898" t="s">
        <v>14</v>
      </c>
      <c r="B2" s="898"/>
      <c r="C2" s="898"/>
      <c r="D2" s="898"/>
      <c r="E2" s="898"/>
      <c r="F2" s="900" t="s">
        <v>251</v>
      </c>
      <c r="G2" s="900"/>
      <c r="H2" s="900"/>
      <c r="I2" s="900"/>
      <c r="J2" s="900"/>
      <c r="K2" s="900"/>
      <c r="L2" s="900"/>
      <c r="M2" s="900"/>
      <c r="N2" s="900"/>
      <c r="O2" s="900"/>
      <c r="P2" s="193"/>
      <c r="Q2" s="193"/>
      <c r="R2" s="194"/>
      <c r="S2" s="194"/>
      <c r="AF2" s="197"/>
    </row>
    <row r="3" spans="1:62" ht="15" customHeight="1">
      <c r="A3" s="898" t="s">
        <v>252</v>
      </c>
      <c r="B3" s="898"/>
      <c r="C3" s="898"/>
      <c r="D3" s="898"/>
      <c r="E3" s="898"/>
      <c r="F3" s="900"/>
      <c r="G3" s="900"/>
      <c r="H3" s="900"/>
      <c r="I3" s="900"/>
      <c r="J3" s="900"/>
      <c r="K3" s="900"/>
      <c r="L3" s="900"/>
      <c r="M3" s="900"/>
      <c r="N3" s="900"/>
      <c r="O3" s="900"/>
      <c r="P3" s="718" t="s">
        <v>15</v>
      </c>
      <c r="Q3" s="960">
        <f>BRAN!O3</f>
        <v>46154</v>
      </c>
      <c r="R3" s="960"/>
      <c r="S3" s="960"/>
      <c r="T3" s="960"/>
      <c r="U3" s="960"/>
      <c r="V3" s="960"/>
      <c r="W3" s="719"/>
    </row>
    <row r="4" spans="1:62" ht="15" customHeight="1">
      <c r="A4" s="38" t="s">
        <v>16</v>
      </c>
      <c r="B4" s="721"/>
      <c r="C4" s="721"/>
      <c r="D4" s="721"/>
      <c r="E4" s="721"/>
      <c r="F4" s="961" t="s">
        <v>253</v>
      </c>
      <c r="G4" s="961"/>
      <c r="H4" s="961"/>
      <c r="I4" s="961"/>
      <c r="J4" s="961"/>
      <c r="K4" s="961"/>
      <c r="L4" s="961"/>
      <c r="M4" s="961"/>
      <c r="N4" s="961"/>
      <c r="O4" s="961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961" t="s">
        <v>255</v>
      </c>
      <c r="G5" s="961"/>
      <c r="H5" s="961"/>
      <c r="I5" s="961"/>
      <c r="J5" s="961"/>
      <c r="K5" s="961"/>
      <c r="L5" s="961"/>
      <c r="M5" s="961"/>
      <c r="N5" s="961"/>
      <c r="O5" s="961"/>
      <c r="P5" s="899" t="s">
        <v>17</v>
      </c>
      <c r="Q5" s="899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10" t="s">
        <v>22</v>
      </c>
      <c r="B7" s="901" t="s">
        <v>23</v>
      </c>
      <c r="C7" s="901" t="s">
        <v>24</v>
      </c>
      <c r="D7" s="907" t="s">
        <v>256</v>
      </c>
      <c r="E7" s="61" t="s">
        <v>26</v>
      </c>
      <c r="F7" s="904" t="s">
        <v>27</v>
      </c>
      <c r="G7" s="905"/>
      <c r="H7" s="906"/>
      <c r="I7" s="904" t="s">
        <v>28</v>
      </c>
      <c r="J7" s="905"/>
      <c r="K7" s="905"/>
      <c r="L7" s="905"/>
      <c r="M7" s="905"/>
      <c r="N7" s="906"/>
      <c r="O7" s="904" t="s">
        <v>29</v>
      </c>
      <c r="P7" s="906"/>
      <c r="Q7" s="183" t="s">
        <v>30</v>
      </c>
      <c r="R7" s="305"/>
      <c r="S7" s="305"/>
      <c r="T7" s="183" t="s">
        <v>31</v>
      </c>
      <c r="U7" s="913" t="s">
        <v>257</v>
      </c>
      <c r="V7" s="914"/>
      <c r="W7" s="919" t="s">
        <v>33</v>
      </c>
      <c r="X7" s="1092" t="s">
        <v>34</v>
      </c>
      <c r="Y7" s="854"/>
      <c r="Z7" s="817"/>
    </row>
    <row r="8" spans="1:62" s="83" customFormat="1" ht="48.75" customHeight="1">
      <c r="A8" s="911"/>
      <c r="B8" s="902"/>
      <c r="C8" s="902"/>
      <c r="D8" s="908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04" t="s">
        <v>40</v>
      </c>
      <c r="J8" s="905"/>
      <c r="K8" s="905"/>
      <c r="L8" s="906"/>
      <c r="M8" s="512" t="s">
        <v>41</v>
      </c>
      <c r="N8" s="681" t="s">
        <v>42</v>
      </c>
      <c r="O8" s="922" t="s">
        <v>43</v>
      </c>
      <c r="P8" s="906"/>
      <c r="Q8" s="683" t="s">
        <v>44</v>
      </c>
      <c r="R8" s="682"/>
      <c r="S8" s="682"/>
      <c r="T8" s="683" t="s">
        <v>45</v>
      </c>
      <c r="U8" s="915"/>
      <c r="V8" s="916"/>
      <c r="W8" s="920"/>
      <c r="X8" s="1093"/>
      <c r="Y8" s="854"/>
      <c r="Z8" s="817"/>
    </row>
    <row r="9" spans="1:62" s="83" customFormat="1" ht="18.75" customHeight="1">
      <c r="A9" s="912"/>
      <c r="B9" s="903"/>
      <c r="C9" s="903"/>
      <c r="D9" s="909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17"/>
      <c r="V9" s="918"/>
      <c r="W9" s="92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69">
        <f>IF(T10=0,0,P10/T10)</f>
        <v>0</v>
      </c>
      <c r="V10" s="870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>
        <v>0</v>
      </c>
      <c r="AI10" s="314">
        <v>0</v>
      </c>
      <c r="AJ10" s="314"/>
      <c r="AK10" s="314">
        <v>0</v>
      </c>
      <c r="AL10" s="314">
        <v>0</v>
      </c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635000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69">
        <f>IF(T11=0,0,P11/T11)</f>
        <v>0</v>
      </c>
      <c r="V11" s="870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>
        <v>0</v>
      </c>
      <c r="AI11" s="314">
        <v>0</v>
      </c>
      <c r="AJ11" s="314"/>
      <c r="AK11" s="314">
        <v>0</v>
      </c>
      <c r="AL11" s="314">
        <v>0</v>
      </c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34900</v>
      </c>
      <c r="T12" s="1181">
        <f t="shared" si="3"/>
        <v>0</v>
      </c>
      <c r="U12" s="869">
        <f>IF(T12=0,0,P12/T12)</f>
        <v>0</v>
      </c>
      <c r="V12" s="870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>
        <v>0</v>
      </c>
      <c r="AI12" s="314">
        <v>0</v>
      </c>
      <c r="AJ12" s="314"/>
      <c r="AK12" s="314">
        <v>0</v>
      </c>
      <c r="AL12" s="314">
        <v>0</v>
      </c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27050</v>
      </c>
      <c r="S13" s="314">
        <f>SUM(Q57:Q60,Q70,Q75:Q78)</f>
        <v>34900</v>
      </c>
      <c r="T13" s="1181">
        <f t="shared" si="3"/>
        <v>0</v>
      </c>
      <c r="U13" s="869">
        <f>IF(T13=0,0,P13/T13)</f>
        <v>0</v>
      </c>
      <c r="V13" s="870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>
        <v>0</v>
      </c>
      <c r="AI13" s="314">
        <v>0</v>
      </c>
      <c r="AJ13" s="314"/>
      <c r="AK13" s="314">
        <v>0</v>
      </c>
      <c r="AL13" s="314">
        <v>0</v>
      </c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69">
        <f>IF(T14=0,0,P14/T14)</f>
        <v>0</v>
      </c>
      <c r="V14" s="870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>
        <v>0</v>
      </c>
      <c r="AI14" s="314">
        <v>0</v>
      </c>
      <c r="AJ14" s="314"/>
      <c r="AK14" s="314">
        <v>0</v>
      </c>
      <c r="AL14" s="314">
        <v>0</v>
      </c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69">
        <f t="shared" ref="U15:U24" si="14">IF(T15=0,0,P15/T15)</f>
        <v>0</v>
      </c>
      <c r="V15" s="870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>
        <v>0</v>
      </c>
      <c r="AI15" s="314">
        <v>0</v>
      </c>
      <c r="AJ15" s="314"/>
      <c r="AK15" s="314">
        <v>0</v>
      </c>
      <c r="AL15" s="314">
        <v>0</v>
      </c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119800</v>
      </c>
      <c r="S16" s="314">
        <f>+SUM(Q10:Q102)-S13-S19</f>
        <v>250900</v>
      </c>
      <c r="T16" s="1181">
        <f t="shared" si="3"/>
        <v>0</v>
      </c>
      <c r="U16" s="869">
        <f t="shared" si="14"/>
        <v>0</v>
      </c>
      <c r="V16" s="870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>
        <v>0</v>
      </c>
      <c r="AI16" s="314">
        <v>0</v>
      </c>
      <c r="AJ16" s="314"/>
      <c r="AK16" s="314">
        <v>0</v>
      </c>
      <c r="AL16" s="314">
        <v>0</v>
      </c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133600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69">
        <f t="shared" si="14"/>
        <v>0</v>
      </c>
      <c r="V17" s="870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>
        <v>0</v>
      </c>
      <c r="AI17" s="314">
        <v>0</v>
      </c>
      <c r="AJ17" s="314"/>
      <c r="AK17" s="314">
        <v>0</v>
      </c>
      <c r="AL17" s="314">
        <v>0</v>
      </c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69">
        <f t="shared" si="14"/>
        <v>0</v>
      </c>
      <c r="V18" s="870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>
        <v>0</v>
      </c>
      <c r="AI18" s="314">
        <v>0</v>
      </c>
      <c r="AJ18" s="314"/>
      <c r="AK18" s="314">
        <v>0</v>
      </c>
      <c r="AL18" s="314">
        <v>0</v>
      </c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248650</v>
      </c>
      <c r="S19" s="314">
        <f>+SUM(Q11:Q34,Q44:Q45,Q56,Q61:Q63,Q65:Q66,Q68:Q69,Q71:Q74,Q79,Q82:Q95,Q102)</f>
        <v>886550</v>
      </c>
      <c r="T19" s="1181">
        <f t="shared" si="3"/>
        <v>0</v>
      </c>
      <c r="U19" s="869">
        <f t="shared" si="14"/>
        <v>0</v>
      </c>
      <c r="V19" s="870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>
        <v>0</v>
      </c>
      <c r="AI19" s="314">
        <v>0</v>
      </c>
      <c r="AJ19" s="314"/>
      <c r="AK19" s="314">
        <v>0</v>
      </c>
      <c r="AL19" s="314">
        <v>0</v>
      </c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537350</v>
      </c>
      <c r="BJ19" s="207" t="s">
        <v>275</v>
      </c>
      <c r="BK19" s="367">
        <f>+BI17+BI23</f>
        <v>635000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69">
        <f t="shared" si="14"/>
        <v>0</v>
      </c>
      <c r="V20" s="870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>
        <v>0</v>
      </c>
      <c r="AI20" s="314">
        <v>0</v>
      </c>
      <c r="AJ20" s="314"/>
      <c r="AK20" s="314">
        <v>0</v>
      </c>
      <c r="AL20" s="314">
        <v>0</v>
      </c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537350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1320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212</v>
      </c>
      <c r="J21" s="314"/>
      <c r="K21" s="314"/>
      <c r="L21" s="314">
        <f>SUMIF(data!$D:$D,INTGRATE!$B21&amp;INTGRATE!$D21,data!$K:$K)</f>
        <v>10600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1108</v>
      </c>
      <c r="P21" s="314">
        <f t="shared" si="1"/>
        <v>55400</v>
      </c>
      <c r="Q21" s="314">
        <f t="shared" si="2"/>
        <v>104150</v>
      </c>
      <c r="R21" s="314"/>
      <c r="S21" s="314"/>
      <c r="T21" s="1181">
        <f t="shared" si="3"/>
        <v>9468.181818181818</v>
      </c>
      <c r="U21" s="869">
        <f t="shared" si="14"/>
        <v>5.8511761881901103</v>
      </c>
      <c r="V21" s="870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>
        <v>4150</v>
      </c>
      <c r="AI21" s="314">
        <v>6600</v>
      </c>
      <c r="AJ21" s="314"/>
      <c r="AK21" s="314">
        <v>24300</v>
      </c>
      <c r="AL21" s="314">
        <v>10600</v>
      </c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104150</v>
      </c>
      <c r="BG21" s="786">
        <f t="shared" si="6"/>
        <v>9</v>
      </c>
      <c r="BH21" s="786">
        <f t="shared" si="7"/>
        <v>11572.222222222223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69">
        <f t="shared" si="14"/>
        <v>0</v>
      </c>
      <c r="V22" s="870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>
        <v>0</v>
      </c>
      <c r="AI22" s="314">
        <v>0</v>
      </c>
      <c r="AJ22" s="314"/>
      <c r="AK22" s="314">
        <v>0</v>
      </c>
      <c r="AL22" s="314">
        <v>0</v>
      </c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69">
        <f t="shared" si="14"/>
        <v>0</v>
      </c>
      <c r="V23" s="870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>
        <v>0</v>
      </c>
      <c r="AI23" s="314">
        <v>0</v>
      </c>
      <c r="AJ23" s="314"/>
      <c r="AK23" s="314">
        <v>0</v>
      </c>
      <c r="AL23" s="314">
        <v>0</v>
      </c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635000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69">
        <f t="shared" si="14"/>
        <v>0</v>
      </c>
      <c r="V24" s="870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>
        <v>0</v>
      </c>
      <c r="AI24" s="314">
        <v>0</v>
      </c>
      <c r="AJ24" s="314"/>
      <c r="AK24" s="314">
        <v>0</v>
      </c>
      <c r="AL24" s="314">
        <v>0</v>
      </c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69">
        <f>IF(T25=0,0,P25/T25)</f>
        <v>0</v>
      </c>
      <c r="V25" s="870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>
        <v>0</v>
      </c>
      <c r="AI25" s="314">
        <v>0</v>
      </c>
      <c r="AJ25" s="314"/>
      <c r="AK25" s="314">
        <v>0</v>
      </c>
      <c r="AL25" s="314">
        <v>0</v>
      </c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69">
        <f t="shared" ref="U26:U35" si="16">IF(T26=0,0,P26/T26)</f>
        <v>0</v>
      </c>
      <c r="V26" s="870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>
        <v>0</v>
      </c>
      <c r="AI26" s="314">
        <v>0</v>
      </c>
      <c r="AJ26" s="314"/>
      <c r="AK26" s="314">
        <v>0</v>
      </c>
      <c r="AL26" s="314">
        <v>0</v>
      </c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403750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69">
        <f t="shared" si="16"/>
        <v>0</v>
      </c>
      <c r="V27" s="870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>
        <v>0</v>
      </c>
      <c r="AI27" s="314">
        <v>0</v>
      </c>
      <c r="AJ27" s="314"/>
      <c r="AK27" s="314">
        <v>0</v>
      </c>
      <c r="AL27" s="314">
        <v>0</v>
      </c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69">
        <f t="shared" si="16"/>
        <v>0</v>
      </c>
      <c r="V28" s="870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>
        <v>0</v>
      </c>
      <c r="AI28" s="314">
        <v>0</v>
      </c>
      <c r="AJ28" s="314"/>
      <c r="AK28" s="314">
        <v>0</v>
      </c>
      <c r="AL28" s="314">
        <v>0</v>
      </c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69">
        <f t="shared" si="16"/>
        <v>0</v>
      </c>
      <c r="V29" s="870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>
        <v>0</v>
      </c>
      <c r="AI29" s="314">
        <v>0</v>
      </c>
      <c r="AJ29" s="314"/>
      <c r="AK29" s="314">
        <v>0</v>
      </c>
      <c r="AL29" s="314">
        <v>0</v>
      </c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69">
        <f t="shared" si="16"/>
        <v>0</v>
      </c>
      <c r="V30" s="870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>
        <v>0</v>
      </c>
      <c r="AI30" s="314">
        <v>0</v>
      </c>
      <c r="AJ30" s="314"/>
      <c r="AK30" s="314">
        <v>0</v>
      </c>
      <c r="AL30" s="314">
        <v>0</v>
      </c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69">
        <f t="shared" si="16"/>
        <v>0</v>
      </c>
      <c r="V31" s="870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>
        <v>0</v>
      </c>
      <c r="AI31" s="314">
        <v>0</v>
      </c>
      <c r="AJ31" s="314"/>
      <c r="AK31" s="314">
        <v>0</v>
      </c>
      <c r="AL31" s="314">
        <v>0</v>
      </c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69">
        <f t="shared" si="16"/>
        <v>0</v>
      </c>
      <c r="V32" s="870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>
        <v>0</v>
      </c>
      <c r="AI32" s="314">
        <v>0</v>
      </c>
      <c r="AJ32" s="314"/>
      <c r="AK32" s="314">
        <v>0</v>
      </c>
      <c r="AL32" s="314">
        <v>0</v>
      </c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891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410</v>
      </c>
      <c r="J33" s="314"/>
      <c r="K33" s="314"/>
      <c r="L33" s="314">
        <f>SUMIF(data!$D:$D,INTGRATE!$B33&amp;INTGRATE!$D33,data!$K:$K)</f>
        <v>20500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481</v>
      </c>
      <c r="P33" s="314">
        <f t="shared" si="1"/>
        <v>24050</v>
      </c>
      <c r="Q33" s="314">
        <f>SUM(AA33:BE33)</f>
        <v>78400</v>
      </c>
      <c r="R33" s="314"/>
      <c r="S33" s="314"/>
      <c r="T33" s="1181">
        <f t="shared" si="3"/>
        <v>7127.272727272727</v>
      </c>
      <c r="U33" s="869">
        <f t="shared" si="16"/>
        <v>3.3743622448979593</v>
      </c>
      <c r="V33" s="870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>
        <v>14450</v>
      </c>
      <c r="AI33" s="314">
        <v>1400</v>
      </c>
      <c r="AJ33" s="314"/>
      <c r="AK33" s="314">
        <v>5150</v>
      </c>
      <c r="AL33" s="314">
        <v>20500</v>
      </c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78400</v>
      </c>
      <c r="BG33" s="786">
        <f t="shared" si="6"/>
        <v>8</v>
      </c>
      <c r="BH33" s="786">
        <f t="shared" si="7"/>
        <v>9800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69">
        <f t="shared" si="16"/>
        <v>0</v>
      </c>
      <c r="V34" s="870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>
        <v>0</v>
      </c>
      <c r="AI34" s="314">
        <v>0</v>
      </c>
      <c r="AJ34" s="314"/>
      <c r="AK34" s="314">
        <v>0</v>
      </c>
      <c r="AL34" s="314">
        <v>0</v>
      </c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69">
        <f t="shared" si="16"/>
        <v>0</v>
      </c>
      <c r="V35" s="870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>
        <v>0</v>
      </c>
      <c r="AI35" s="314">
        <v>0</v>
      </c>
      <c r="AJ35" s="314"/>
      <c r="AK35" s="314">
        <v>0</v>
      </c>
      <c r="AL35" s="314">
        <v>0</v>
      </c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1">
        <f t="shared" si="3"/>
        <v>8636.363636363636</v>
      </c>
      <c r="U36" s="869">
        <f t="shared" ref="U36:U61" si="19">IF(T36=0,0,P36/T36)</f>
        <v>0</v>
      </c>
      <c r="V36" s="870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>
        <v>0</v>
      </c>
      <c r="AI36" s="314">
        <v>0</v>
      </c>
      <c r="AJ36" s="314"/>
      <c r="AK36" s="314">
        <v>0</v>
      </c>
      <c r="AL36" s="314">
        <v>0</v>
      </c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69">
        <f>IF(T37=0,0,P37/T37)</f>
        <v>0</v>
      </c>
      <c r="V37" s="870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>
        <v>0</v>
      </c>
      <c r="AI37" s="314">
        <v>0</v>
      </c>
      <c r="AJ37" s="314"/>
      <c r="AK37" s="314">
        <v>0</v>
      </c>
      <c r="AL37" s="314">
        <v>0</v>
      </c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69">
        <f>IF(T38=0,0,P38/T38)</f>
        <v>0</v>
      </c>
      <c r="V38" s="870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>
        <v>0</v>
      </c>
      <c r="AI38" s="314">
        <v>0</v>
      </c>
      <c r="AJ38" s="314"/>
      <c r="AK38" s="314">
        <v>0</v>
      </c>
      <c r="AL38" s="314">
        <v>0</v>
      </c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69">
        <f>IF(T39=0,0,P39/T39)</f>
        <v>0</v>
      </c>
      <c r="V39" s="870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>
        <v>0</v>
      </c>
      <c r="AI39" s="314">
        <v>0</v>
      </c>
      <c r="AJ39" s="314"/>
      <c r="AK39" s="314">
        <v>0</v>
      </c>
      <c r="AL39" s="314">
        <v>0</v>
      </c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69">
        <f t="shared" si="19"/>
        <v>0</v>
      </c>
      <c r="V40" s="870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>
        <v>0</v>
      </c>
      <c r="AI40" s="314">
        <v>0</v>
      </c>
      <c r="AJ40" s="314"/>
      <c r="AK40" s="314">
        <v>0</v>
      </c>
      <c r="AL40" s="314">
        <v>0</v>
      </c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139</v>
      </c>
      <c r="F41" s="100">
        <f>SUMIF(pro!$A:$A,INTGRATE!$Y:$Y,pro!$N:$N)</f>
        <v>2432</v>
      </c>
      <c r="G41" s="314"/>
      <c r="H41" s="314">
        <f>SUMIF(CBIN!$A:$A,INTGRATE!$Y:$Y,CBIN!$G:$G)</f>
        <v>0</v>
      </c>
      <c r="I41" s="314">
        <f>SUMIF(data!$D:$D,INTGRATE!$B41&amp;INTGRATE!$D41,data!$J:$J)</f>
        <v>175</v>
      </c>
      <c r="J41" s="314"/>
      <c r="K41" s="314"/>
      <c r="L41" s="314">
        <f>SUMIF(data!$D:$D,INTGRATE!$B41&amp;INTGRATE!$D41,data!$K:$K)</f>
        <v>8750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2396</v>
      </c>
      <c r="P41" s="314">
        <f t="shared" si="1"/>
        <v>119800</v>
      </c>
      <c r="Q41" s="314">
        <f t="shared" si="18"/>
        <v>155900</v>
      </c>
      <c r="R41" s="314"/>
      <c r="S41" s="314"/>
      <c r="T41" s="1181">
        <f t="shared" si="3"/>
        <v>14172.727272727272</v>
      </c>
      <c r="U41" s="869">
        <f t="shared" si="19"/>
        <v>8.4528543938422072</v>
      </c>
      <c r="V41" s="870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>
        <v>14000</v>
      </c>
      <c r="AI41" s="314">
        <v>0</v>
      </c>
      <c r="AJ41" s="314"/>
      <c r="AK41" s="314">
        <v>40450</v>
      </c>
      <c r="AL41" s="314">
        <v>8750</v>
      </c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155900</v>
      </c>
      <c r="BG41" s="786">
        <f t="shared" si="6"/>
        <v>6</v>
      </c>
      <c r="BH41" s="786">
        <f t="shared" si="7"/>
        <v>25983.333333333332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69">
        <f t="shared" si="19"/>
        <v>0</v>
      </c>
      <c r="V42" s="870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>
        <v>0</v>
      </c>
      <c r="AI42" s="314">
        <v>0</v>
      </c>
      <c r="AJ42" s="314"/>
      <c r="AK42" s="314">
        <v>0</v>
      </c>
      <c r="AL42" s="314">
        <v>0</v>
      </c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69">
        <f>IF(T43=0,0,P43/T43)</f>
        <v>0</v>
      </c>
      <c r="V43" s="870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>
        <v>0</v>
      </c>
      <c r="AI43" s="314">
        <v>0</v>
      </c>
      <c r="AJ43" s="314"/>
      <c r="AK43" s="314">
        <v>0</v>
      </c>
      <c r="AL43" s="314">
        <v>0</v>
      </c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69">
        <f>IF(T44=0,0,P44/T44)</f>
        <v>0</v>
      </c>
      <c r="V44" s="870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>
        <v>0</v>
      </c>
      <c r="AI44" s="314">
        <v>0</v>
      </c>
      <c r="AJ44" s="314"/>
      <c r="AK44" s="314">
        <v>0</v>
      </c>
      <c r="AL44" s="314">
        <v>0</v>
      </c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2575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360</v>
      </c>
      <c r="J45" s="314"/>
      <c r="K45" s="314"/>
      <c r="L45" s="314">
        <f>SUMIF(data!$D:$D,INTGRATE!$B45&amp;INTGRATE!$D45,data!$K:$K)</f>
        <v>18000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2215</v>
      </c>
      <c r="P45" s="314">
        <f t="shared" si="1"/>
        <v>110750</v>
      </c>
      <c r="Q45" s="314">
        <f t="shared" si="18"/>
        <v>137150</v>
      </c>
      <c r="R45" s="314"/>
      <c r="S45" s="314"/>
      <c r="T45" s="1181">
        <f t="shared" si="21"/>
        <v>12468.181818181818</v>
      </c>
      <c r="U45" s="869">
        <f t="shared" si="19"/>
        <v>8.8826102807145464</v>
      </c>
      <c r="V45" s="870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>
        <v>41000</v>
      </c>
      <c r="AI45" s="314">
        <v>21450</v>
      </c>
      <c r="AJ45" s="314"/>
      <c r="AK45" s="314">
        <v>15900</v>
      </c>
      <c r="AL45" s="314">
        <v>18000</v>
      </c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137150</v>
      </c>
      <c r="BG45" s="786">
        <f t="shared" si="6"/>
        <v>6</v>
      </c>
      <c r="BH45" s="786">
        <f t="shared" si="7"/>
        <v>22858.333333333332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69">
        <f t="shared" si="19"/>
        <v>0</v>
      </c>
      <c r="V46" s="870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>
        <v>0</v>
      </c>
      <c r="AI46" s="314">
        <v>0</v>
      </c>
      <c r="AJ46" s="314"/>
      <c r="AK46" s="314">
        <v>0</v>
      </c>
      <c r="AL46" s="314">
        <v>0</v>
      </c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69">
        <f t="shared" si="19"/>
        <v>0</v>
      </c>
      <c r="V47" s="870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>
        <v>0</v>
      </c>
      <c r="AI47" s="314">
        <v>0</v>
      </c>
      <c r="AJ47" s="314"/>
      <c r="AK47" s="314">
        <v>0</v>
      </c>
      <c r="AL47" s="314">
        <v>0</v>
      </c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69">
        <f t="shared" si="19"/>
        <v>0</v>
      </c>
      <c r="V48" s="870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>
        <v>0</v>
      </c>
      <c r="AI48" s="314">
        <v>0</v>
      </c>
      <c r="AJ48" s="314"/>
      <c r="AK48" s="314">
        <v>0</v>
      </c>
      <c r="AL48" s="314">
        <v>0</v>
      </c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69">
        <f t="shared" si="19"/>
        <v>0</v>
      </c>
      <c r="V49" s="870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>
        <v>0</v>
      </c>
      <c r="AI49" s="314">
        <v>0</v>
      </c>
      <c r="AJ49" s="314"/>
      <c r="AK49" s="314">
        <v>0</v>
      </c>
      <c r="AL49" s="314">
        <v>0</v>
      </c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69">
        <f t="shared" si="19"/>
        <v>0</v>
      </c>
      <c r="V50" s="870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>
        <v>0</v>
      </c>
      <c r="AI50" s="314">
        <v>0</v>
      </c>
      <c r="AJ50" s="314"/>
      <c r="AK50" s="314">
        <v>0</v>
      </c>
      <c r="AL50" s="314">
        <v>0</v>
      </c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69">
        <f t="shared" si="19"/>
        <v>0</v>
      </c>
      <c r="V51" s="870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>
        <v>0</v>
      </c>
      <c r="AI51" s="314">
        <v>0</v>
      </c>
      <c r="AJ51" s="314"/>
      <c r="AK51" s="314">
        <v>0</v>
      </c>
      <c r="AL51" s="314">
        <v>0</v>
      </c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69">
        <f>IF(T52=0,0,P52/T52)</f>
        <v>0</v>
      </c>
      <c r="V52" s="870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>
        <v>0</v>
      </c>
      <c r="AI52" s="314">
        <v>0</v>
      </c>
      <c r="AJ52" s="314"/>
      <c r="AK52" s="314">
        <v>0</v>
      </c>
      <c r="AL52" s="314">
        <v>0</v>
      </c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69">
        <f t="shared" si="19"/>
        <v>0</v>
      </c>
      <c r="V53" s="870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>
        <v>0</v>
      </c>
      <c r="AI53" s="314">
        <v>0</v>
      </c>
      <c r="AJ53" s="314"/>
      <c r="AK53" s="314">
        <v>0</v>
      </c>
      <c r="AL53" s="314">
        <v>0</v>
      </c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69">
        <f t="shared" si="19"/>
        <v>0</v>
      </c>
      <c r="V54" s="870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>
        <v>0</v>
      </c>
      <c r="AI54" s="314">
        <v>0</v>
      </c>
      <c r="AJ54" s="314"/>
      <c r="AK54" s="314">
        <v>0</v>
      </c>
      <c r="AL54" s="314">
        <v>0</v>
      </c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69">
        <f t="shared" si="19"/>
        <v>0</v>
      </c>
      <c r="V55" s="870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>
        <v>0</v>
      </c>
      <c r="AI55" s="314">
        <v>0</v>
      </c>
      <c r="AJ55" s="314"/>
      <c r="AK55" s="314">
        <v>0</v>
      </c>
      <c r="AL55" s="314">
        <v>0</v>
      </c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1106</v>
      </c>
      <c r="F56" s="100">
        <f>SUMIF(pro!$A:$A,INTGRATE!$Y:$Y,pro!$N:$N)</f>
        <v>0</v>
      </c>
      <c r="G56" s="314"/>
      <c r="H56" s="314">
        <f>SUMIF(CBIN!$A:$A,INTGRATE!$Y:$Y,CBIN!$G:$G)</f>
        <v>0</v>
      </c>
      <c r="I56" s="314">
        <f>SUMIF(data!$D:$D,INTGRATE!$B56&amp;INTGRATE!$D56,data!$J:$J)</f>
        <v>640</v>
      </c>
      <c r="J56" s="314"/>
      <c r="K56" s="314"/>
      <c r="L56" s="314">
        <f>SUMIF(data!$D:$D,INTGRATE!$B56&amp;INTGRATE!$D56,data!$K:$K)</f>
        <v>32000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466</v>
      </c>
      <c r="P56" s="314">
        <f t="shared" ref="P56:P67" si="24">O56*D56</f>
        <v>23300</v>
      </c>
      <c r="Q56" s="314">
        <f t="shared" ref="Q56:Q79" si="25">SUM(AA56:BE56)</f>
        <v>252250</v>
      </c>
      <c r="R56" s="314"/>
      <c r="S56" s="314"/>
      <c r="T56" s="1181">
        <f t="shared" si="21"/>
        <v>22931.81818181818</v>
      </c>
      <c r="U56" s="869">
        <f t="shared" si="19"/>
        <v>1.0160555004955403</v>
      </c>
      <c r="V56" s="870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>
        <v>52950</v>
      </c>
      <c r="AI56" s="314">
        <v>27000</v>
      </c>
      <c r="AJ56" s="314"/>
      <c r="AK56" s="314">
        <v>19900</v>
      </c>
      <c r="AL56" s="314">
        <v>32000</v>
      </c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252250</v>
      </c>
      <c r="BG56" s="786">
        <f t="shared" si="6"/>
        <v>7</v>
      </c>
      <c r="BH56" s="786">
        <f t="shared" si="7"/>
        <v>36035.714285714283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621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80</v>
      </c>
      <c r="J57" s="314"/>
      <c r="K57" s="314"/>
      <c r="L57" s="314">
        <f>SUMIF(data!$D:$D,INTGRATE!$B57&amp;INTGRATE!$D57,data!$K:$K)</f>
        <v>4000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541</v>
      </c>
      <c r="P57" s="314">
        <f t="shared" si="24"/>
        <v>27050</v>
      </c>
      <c r="Q57" s="314">
        <f t="shared" si="25"/>
        <v>34900</v>
      </c>
      <c r="R57" s="314"/>
      <c r="S57" s="314"/>
      <c r="T57" s="1181">
        <f t="shared" si="21"/>
        <v>3172.7272727272725</v>
      </c>
      <c r="U57" s="869">
        <f t="shared" si="19"/>
        <v>8.5257879656160469</v>
      </c>
      <c r="V57" s="870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>
        <v>2000</v>
      </c>
      <c r="AI57" s="314">
        <v>4000</v>
      </c>
      <c r="AJ57" s="314"/>
      <c r="AK57" s="314">
        <v>0</v>
      </c>
      <c r="AL57" s="314">
        <v>4000</v>
      </c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34900</v>
      </c>
      <c r="BG57" s="786">
        <f t="shared" si="6"/>
        <v>7</v>
      </c>
      <c r="BH57" s="786">
        <f t="shared" si="7"/>
        <v>4985.7142857142853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69">
        <f t="shared" si="19"/>
        <v>0</v>
      </c>
      <c r="V58" s="870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>
        <v>0</v>
      </c>
      <c r="AI58" s="314">
        <v>0</v>
      </c>
      <c r="AJ58" s="314"/>
      <c r="AK58" s="314">
        <v>0</v>
      </c>
      <c r="AL58" s="314">
        <v>0</v>
      </c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69">
        <f t="shared" si="19"/>
        <v>0</v>
      </c>
      <c r="V59" s="870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>
        <v>0</v>
      </c>
      <c r="AI59" s="314">
        <v>0</v>
      </c>
      <c r="AJ59" s="314"/>
      <c r="AK59" s="314">
        <v>0</v>
      </c>
      <c r="AL59" s="314">
        <v>0</v>
      </c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>
        <v>0</v>
      </c>
      <c r="AI60" s="314">
        <v>0</v>
      </c>
      <c r="AJ60" s="314"/>
      <c r="AK60" s="314">
        <v>0</v>
      </c>
      <c r="AL60" s="314">
        <v>0</v>
      </c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863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160</v>
      </c>
      <c r="J61" s="314"/>
      <c r="K61" s="314"/>
      <c r="L61" s="314">
        <f>SUMIF(data!$D:$D,INTGRATE!$B61&amp;INTGRATE!$D61,data!$K:$K)</f>
        <v>8000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703</v>
      </c>
      <c r="P61" s="314">
        <f t="shared" si="24"/>
        <v>35150</v>
      </c>
      <c r="Q61" s="314">
        <f t="shared" si="25"/>
        <v>116600</v>
      </c>
      <c r="R61" s="314"/>
      <c r="S61" s="314"/>
      <c r="T61" s="1181">
        <f t="shared" si="21"/>
        <v>10600</v>
      </c>
      <c r="U61" s="869">
        <f t="shared" si="19"/>
        <v>3.3160377358490565</v>
      </c>
      <c r="V61" s="870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>
        <v>6000</v>
      </c>
      <c r="AI61" s="314">
        <v>5850</v>
      </c>
      <c r="AJ61" s="314"/>
      <c r="AK61" s="314">
        <v>24000</v>
      </c>
      <c r="AL61" s="314">
        <v>8000</v>
      </c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116600</v>
      </c>
      <c r="BG61" s="786">
        <f t="shared" si="6"/>
        <v>9</v>
      </c>
      <c r="BH61" s="786">
        <f t="shared" si="7"/>
        <v>12955.555555555555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5854.545454545455</v>
      </c>
      <c r="U62" s="869">
        <f t="shared" ref="U62:U80" si="26">IF(T62=0,0,P62/T62)</f>
        <v>0</v>
      </c>
      <c r="V62" s="870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>
        <v>0</v>
      </c>
      <c r="AI62" s="314">
        <v>0</v>
      </c>
      <c r="AJ62" s="314"/>
      <c r="AK62" s="314">
        <v>0</v>
      </c>
      <c r="AL62" s="314">
        <v>0</v>
      </c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69">
        <f t="shared" si="26"/>
        <v>0</v>
      </c>
      <c r="V63" s="870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>
        <v>0</v>
      </c>
      <c r="AI63" s="314">
        <v>0</v>
      </c>
      <c r="AJ63" s="314"/>
      <c r="AK63" s="314">
        <v>0</v>
      </c>
      <c r="AL63" s="314">
        <v>0</v>
      </c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69">
        <f t="shared" si="26"/>
        <v>0</v>
      </c>
      <c r="V64" s="870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>
        <v>0</v>
      </c>
      <c r="AI64" s="314">
        <v>0</v>
      </c>
      <c r="AJ64" s="314"/>
      <c r="AK64" s="314">
        <v>0</v>
      </c>
      <c r="AL64" s="314">
        <v>0</v>
      </c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69">
        <f t="shared" si="26"/>
        <v>0</v>
      </c>
      <c r="V65" s="870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>
        <v>0</v>
      </c>
      <c r="AI65" s="314">
        <v>0</v>
      </c>
      <c r="AJ65" s="314"/>
      <c r="AK65" s="314">
        <v>0</v>
      </c>
      <c r="AL65" s="314">
        <v>0</v>
      </c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69">
        <f>IF(T66=0,0,P66/T66)</f>
        <v>0</v>
      </c>
      <c r="V66" s="870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>
        <v>0</v>
      </c>
      <c r="AI66" s="314">
        <v>0</v>
      </c>
      <c r="AJ66" s="314"/>
      <c r="AK66" s="314">
        <v>0</v>
      </c>
      <c r="AL66" s="314">
        <v>0</v>
      </c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69">
        <f t="shared" si="26"/>
        <v>0</v>
      </c>
      <c r="V67" s="870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>
        <v>0</v>
      </c>
      <c r="AI67" s="314">
        <v>0</v>
      </c>
      <c r="AJ67" s="314"/>
      <c r="AK67" s="314">
        <v>0</v>
      </c>
      <c r="AL67" s="314">
        <v>0</v>
      </c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69">
        <f t="shared" si="26"/>
        <v>0</v>
      </c>
      <c r="V68" s="870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>
        <v>0</v>
      </c>
      <c r="AI68" s="314">
        <v>0</v>
      </c>
      <c r="AJ68" s="314"/>
      <c r="AK68" s="314">
        <v>0</v>
      </c>
      <c r="AL68" s="314">
        <v>0</v>
      </c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69">
        <f t="shared" si="26"/>
        <v>0</v>
      </c>
      <c r="V69" s="870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>
        <v>0</v>
      </c>
      <c r="AI69" s="314">
        <v>0</v>
      </c>
      <c r="AJ69" s="314"/>
      <c r="AK69" s="314">
        <v>0</v>
      </c>
      <c r="AL69" s="314">
        <v>0</v>
      </c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69">
        <f t="shared" si="26"/>
        <v>0</v>
      </c>
      <c r="V70" s="870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>
        <v>0</v>
      </c>
      <c r="AI70" s="314">
        <v>0</v>
      </c>
      <c r="AJ70" s="314"/>
      <c r="AK70" s="314">
        <v>0</v>
      </c>
      <c r="AL70" s="314">
        <v>0</v>
      </c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69">
        <f t="shared" si="26"/>
        <v>0</v>
      </c>
      <c r="V71" s="870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>
        <v>0</v>
      </c>
      <c r="AI71" s="314">
        <v>0</v>
      </c>
      <c r="AJ71" s="314"/>
      <c r="AK71" s="314">
        <v>0</v>
      </c>
      <c r="AL71" s="314">
        <v>0</v>
      </c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69">
        <f>IF(T72=0,0,P72/T72)</f>
        <v>0</v>
      </c>
      <c r="V72" s="870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>
        <v>0</v>
      </c>
      <c r="AI72" s="314">
        <v>0</v>
      </c>
      <c r="AJ72" s="314"/>
      <c r="AK72" s="314">
        <v>0</v>
      </c>
      <c r="AL72" s="314">
        <v>0</v>
      </c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69">
        <f>IF(T73=0,0,P73/T73)</f>
        <v>0</v>
      </c>
      <c r="V73" s="870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>
        <v>0</v>
      </c>
      <c r="AI73" s="314">
        <v>0</v>
      </c>
      <c r="AJ73" s="314"/>
      <c r="AK73" s="314">
        <v>0</v>
      </c>
      <c r="AL73" s="314">
        <v>0</v>
      </c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103760</v>
      </c>
      <c r="R74" s="314"/>
      <c r="S74" s="314"/>
      <c r="T74" s="1184">
        <f t="shared" ref="T74:T102" si="29">Q74/$N$293</f>
        <v>9432.7272727272721</v>
      </c>
      <c r="U74" s="869">
        <f t="shared" si="26"/>
        <v>0</v>
      </c>
      <c r="V74" s="870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>
        <v>44080</v>
      </c>
      <c r="AI74" s="314">
        <v>14970</v>
      </c>
      <c r="AJ74" s="314"/>
      <c r="AK74" s="314">
        <v>0</v>
      </c>
      <c r="AL74" s="314">
        <v>0</v>
      </c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103760</v>
      </c>
      <c r="BG74" s="786">
        <f t="shared" si="6"/>
        <v>5</v>
      </c>
      <c r="BH74" s="786">
        <f t="shared" si="7"/>
        <v>20752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69">
        <f t="shared" si="26"/>
        <v>0</v>
      </c>
      <c r="V75" s="870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>
        <v>0</v>
      </c>
      <c r="AI75" s="314">
        <v>0</v>
      </c>
      <c r="AJ75" s="314"/>
      <c r="AK75" s="314">
        <v>0</v>
      </c>
      <c r="AL75" s="314">
        <v>0</v>
      </c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69">
        <f>IF(T76=0,0,P76/T76)</f>
        <v>0</v>
      </c>
      <c r="V76" s="870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>
        <v>0</v>
      </c>
      <c r="AI76" s="314">
        <v>0</v>
      </c>
      <c r="AJ76" s="314"/>
      <c r="AK76" s="314">
        <v>0</v>
      </c>
      <c r="AL76" s="314">
        <v>0</v>
      </c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69">
        <f t="shared" si="26"/>
        <v>0</v>
      </c>
      <c r="V77" s="870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>
        <v>0</v>
      </c>
      <c r="AI77" s="314">
        <v>0</v>
      </c>
      <c r="AJ77" s="314"/>
      <c r="AK77" s="314">
        <v>0</v>
      </c>
      <c r="AL77" s="314">
        <v>0</v>
      </c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69">
        <f t="shared" si="26"/>
        <v>0</v>
      </c>
      <c r="V78" s="870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>
        <v>0</v>
      </c>
      <c r="AI78" s="314">
        <v>0</v>
      </c>
      <c r="AJ78" s="314"/>
      <c r="AK78" s="314">
        <v>0</v>
      </c>
      <c r="AL78" s="314">
        <v>0</v>
      </c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2712.7272727272725</v>
      </c>
      <c r="U79" s="869">
        <f t="shared" si="26"/>
        <v>0</v>
      </c>
      <c r="V79" s="870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>
        <v>0</v>
      </c>
      <c r="AI79" s="314">
        <v>0</v>
      </c>
      <c r="AJ79" s="314"/>
      <c r="AK79" s="314">
        <v>0</v>
      </c>
      <c r="AL79" s="314">
        <v>0</v>
      </c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69">
        <f t="shared" si="26"/>
        <v>0</v>
      </c>
      <c r="V80" s="870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>
        <v>0</v>
      </c>
      <c r="AI80" s="314">
        <v>0</v>
      </c>
      <c r="AJ80" s="314"/>
      <c r="AK80" s="314">
        <v>0</v>
      </c>
      <c r="AL80" s="314">
        <v>0</v>
      </c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69">
        <f t="shared" ref="U81:U86" si="35">IF(T81=0,0,P81/T81)</f>
        <v>0</v>
      </c>
      <c r="V81" s="870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>
        <v>0</v>
      </c>
      <c r="AI81" s="314">
        <v>0</v>
      </c>
      <c r="AJ81" s="314"/>
      <c r="AK81" s="314">
        <v>0</v>
      </c>
      <c r="AL81" s="314">
        <v>0</v>
      </c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69">
        <f t="shared" si="35"/>
        <v>0</v>
      </c>
      <c r="V82" s="870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>
        <v>0</v>
      </c>
      <c r="AI82" s="314">
        <v>0</v>
      </c>
      <c r="AJ82" s="314"/>
      <c r="AK82" s="314">
        <v>0</v>
      </c>
      <c r="AL82" s="314">
        <v>0</v>
      </c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69">
        <f t="shared" si="35"/>
        <v>0</v>
      </c>
      <c r="V83" s="870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>
        <v>0</v>
      </c>
      <c r="AI83" s="314">
        <v>0</v>
      </c>
      <c r="AJ83" s="314"/>
      <c r="AK83" s="314">
        <v>0</v>
      </c>
      <c r="AL83" s="314">
        <v>0</v>
      </c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69">
        <f t="shared" si="35"/>
        <v>0</v>
      </c>
      <c r="V84" s="870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>
        <v>0</v>
      </c>
      <c r="AI84" s="314">
        <v>0</v>
      </c>
      <c r="AJ84" s="314"/>
      <c r="AK84" s="314">
        <v>0</v>
      </c>
      <c r="AL84" s="314">
        <v>0</v>
      </c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69">
        <f t="shared" si="35"/>
        <v>0</v>
      </c>
      <c r="V85" s="870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>
        <v>0</v>
      </c>
      <c r="AI85" s="314">
        <v>0</v>
      </c>
      <c r="AJ85" s="314"/>
      <c r="AK85" s="314">
        <v>0</v>
      </c>
      <c r="AL85" s="314">
        <v>0</v>
      </c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69">
        <f t="shared" si="35"/>
        <v>0</v>
      </c>
      <c r="V86" s="870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>
        <v>0</v>
      </c>
      <c r="AI86" s="314">
        <v>0</v>
      </c>
      <c r="AJ86" s="314"/>
      <c r="AK86" s="314">
        <v>0</v>
      </c>
      <c r="AL86" s="314">
        <v>0</v>
      </c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69">
        <f>IF(T87=0,0,P87/T87)</f>
        <v>0</v>
      </c>
      <c r="V87" s="870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>
        <v>0</v>
      </c>
      <c r="AI87" s="314">
        <v>0</v>
      </c>
      <c r="AJ87" s="314"/>
      <c r="AK87" s="314">
        <v>0</v>
      </c>
      <c r="AL87" s="314">
        <v>0</v>
      </c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69">
        <f t="shared" ref="U88:U102" si="36">IF(T88=0,0,P88/T88)</f>
        <v>0</v>
      </c>
      <c r="V88" s="870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>
        <v>0</v>
      </c>
      <c r="AI88" s="314">
        <v>0</v>
      </c>
      <c r="AJ88" s="314"/>
      <c r="AK88" s="314">
        <v>0</v>
      </c>
      <c r="AL88" s="314">
        <v>0</v>
      </c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69">
        <f t="shared" si="36"/>
        <v>0</v>
      </c>
      <c r="V89" s="870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>
        <v>0</v>
      </c>
      <c r="AI89" s="314">
        <v>0</v>
      </c>
      <c r="AJ89" s="314"/>
      <c r="AK89" s="314">
        <v>0</v>
      </c>
      <c r="AL89" s="314">
        <v>0</v>
      </c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69">
        <f>IF(T90=0,0,P90/T90)</f>
        <v>0</v>
      </c>
      <c r="V90" s="870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>
        <v>0</v>
      </c>
      <c r="AI90" s="314">
        <v>0</v>
      </c>
      <c r="AJ90" s="314"/>
      <c r="AK90" s="314">
        <v>0</v>
      </c>
      <c r="AL90" s="314">
        <v>0</v>
      </c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69">
        <f>IF(T91=0,0,P91/T91)</f>
        <v>0</v>
      </c>
      <c r="V91" s="870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>
        <v>0</v>
      </c>
      <c r="AI91" s="314">
        <v>0</v>
      </c>
      <c r="AJ91" s="314"/>
      <c r="AK91" s="314">
        <v>0</v>
      </c>
      <c r="AL91" s="314">
        <v>0</v>
      </c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69">
        <f t="shared" si="36"/>
        <v>0</v>
      </c>
      <c r="V92" s="870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>
        <v>0</v>
      </c>
      <c r="AI92" s="314">
        <v>0</v>
      </c>
      <c r="AJ92" s="314"/>
      <c r="AK92" s="314">
        <v>0</v>
      </c>
      <c r="AL92" s="314">
        <v>0</v>
      </c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69">
        <f>IF(T93=0,0,P93/T93)</f>
        <v>0</v>
      </c>
      <c r="V93" s="870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>
        <v>0</v>
      </c>
      <c r="AI93" s="314">
        <v>0</v>
      </c>
      <c r="AJ93" s="314"/>
      <c r="AK93" s="314">
        <v>0</v>
      </c>
      <c r="AL93" s="314">
        <v>0</v>
      </c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69">
        <f>IF(T94=0,0,P94/T94)</f>
        <v>0</v>
      </c>
      <c r="V94" s="870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>
        <v>0</v>
      </c>
      <c r="AI94" s="314">
        <v>0</v>
      </c>
      <c r="AJ94" s="314"/>
      <c r="AK94" s="314">
        <v>0</v>
      </c>
      <c r="AL94" s="314">
        <v>0</v>
      </c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69">
        <f>IF(T95=0,0,P95/T95)</f>
        <v>0</v>
      </c>
      <c r="V95" s="870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>
        <v>0</v>
      </c>
      <c r="AI95" s="314">
        <v>0</v>
      </c>
      <c r="AJ95" s="314"/>
      <c r="AK95" s="314">
        <v>0</v>
      </c>
      <c r="AL95" s="314">
        <v>0</v>
      </c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69">
        <f t="shared" si="36"/>
        <v>0</v>
      </c>
      <c r="V96" s="870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>
        <v>0</v>
      </c>
      <c r="AI96" s="314">
        <v>0</v>
      </c>
      <c r="AJ96" s="314"/>
      <c r="AK96" s="314">
        <v>0</v>
      </c>
      <c r="AL96" s="314">
        <v>0</v>
      </c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69">
        <f t="shared" si="36"/>
        <v>0</v>
      </c>
      <c r="V97" s="870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>
        <v>0</v>
      </c>
      <c r="AI97" s="314">
        <v>0</v>
      </c>
      <c r="AJ97" s="314"/>
      <c r="AK97" s="314">
        <v>0</v>
      </c>
      <c r="AL97" s="314">
        <v>0</v>
      </c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69">
        <f>IF(T98=0,0,P98/T98)</f>
        <v>0</v>
      </c>
      <c r="V98" s="870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>
        <v>0</v>
      </c>
      <c r="AI98" s="314">
        <v>0</v>
      </c>
      <c r="AJ98" s="314"/>
      <c r="AK98" s="314">
        <v>0</v>
      </c>
      <c r="AL98" s="314">
        <v>0</v>
      </c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69">
        <f t="shared" si="36"/>
        <v>0</v>
      </c>
      <c r="V99" s="870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>
        <v>0</v>
      </c>
      <c r="AI99" s="314">
        <v>0</v>
      </c>
      <c r="AJ99" s="314"/>
      <c r="AK99" s="314">
        <v>0</v>
      </c>
      <c r="AL99" s="314">
        <v>0</v>
      </c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69">
        <f>IF(T100=0,0,P100/T100)</f>
        <v>0</v>
      </c>
      <c r="V100" s="870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>
        <v>0</v>
      </c>
      <c r="AI100" s="314">
        <v>0</v>
      </c>
      <c r="AJ100" s="314"/>
      <c r="AK100" s="314">
        <v>0</v>
      </c>
      <c r="AL100" s="314">
        <v>0</v>
      </c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69">
        <f>IF(T101=0,0,P101/T101)</f>
        <v>0</v>
      </c>
      <c r="V101" s="870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>
        <v>0</v>
      </c>
      <c r="AI101" s="314">
        <v>0</v>
      </c>
      <c r="AJ101" s="314"/>
      <c r="AK101" s="314">
        <v>0</v>
      </c>
      <c r="AL101" s="314">
        <v>0</v>
      </c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69">
        <f t="shared" si="36"/>
        <v>0</v>
      </c>
      <c r="V102" s="870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>
        <v>0</v>
      </c>
      <c r="AI102" s="314">
        <v>0</v>
      </c>
      <c r="AJ102" s="314"/>
      <c r="AK102" s="314">
        <v>0</v>
      </c>
      <c r="AL102" s="314">
        <v>0</v>
      </c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1042" t="s">
        <v>72</v>
      </c>
      <c r="B103" s="1043"/>
      <c r="C103" s="1043"/>
      <c r="D103" s="104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395500</v>
      </c>
      <c r="S103" s="220">
        <f>SUM(S13,S16,S19)</f>
        <v>1172350</v>
      </c>
      <c r="T103" s="220">
        <f>SUM(T53,T62:T69,T48)</f>
        <v>5854.545454545455</v>
      </c>
      <c r="U103" s="926">
        <f>IF(T103=0,0,P103/T103)</f>
        <v>0</v>
      </c>
      <c r="V103" s="927"/>
      <c r="W103" s="923">
        <f>P108/T107</f>
        <v>3.7109225060775368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178630</v>
      </c>
      <c r="AI103" s="216">
        <f t="shared" si="41"/>
        <v>81270</v>
      </c>
      <c r="AJ103" s="216">
        <f t="shared" si="41"/>
        <v>0</v>
      </c>
      <c r="AK103" s="216">
        <f t="shared" si="41"/>
        <v>129700</v>
      </c>
      <c r="AL103" s="216">
        <f t="shared" si="41"/>
        <v>101850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1172350</v>
      </c>
      <c r="BG103" s="202"/>
      <c r="BH103" s="202"/>
      <c r="BJ103" s="192"/>
    </row>
    <row r="104" spans="1:62" s="217" customFormat="1" ht="15" customHeight="1">
      <c r="A104" s="1042" t="s">
        <v>73</v>
      </c>
      <c r="B104" s="1043"/>
      <c r="C104" s="1043"/>
      <c r="D104" s="104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24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1042" t="s">
        <v>337</v>
      </c>
      <c r="B105" s="1043"/>
      <c r="C105" s="1043"/>
      <c r="D105" s="1044"/>
      <c r="E105" s="429">
        <f t="shared" ref="E105:N105" si="43">SUM(E10:E47,E49:E51,E54:E61)</f>
        <v>7515</v>
      </c>
      <c r="F105" s="429">
        <f>SUM(F10:F47,F49:F51,F54:F61)</f>
        <v>2432</v>
      </c>
      <c r="G105" s="429">
        <f t="shared" si="43"/>
        <v>0</v>
      </c>
      <c r="H105" s="429">
        <f t="shared" si="43"/>
        <v>0</v>
      </c>
      <c r="I105" s="429">
        <f t="shared" si="43"/>
        <v>2037</v>
      </c>
      <c r="J105" s="429">
        <f t="shared" si="43"/>
        <v>0</v>
      </c>
      <c r="K105" s="429">
        <f t="shared" si="43"/>
        <v>0</v>
      </c>
      <c r="L105" s="429">
        <f t="shared" si="43"/>
        <v>101850</v>
      </c>
      <c r="M105" s="429">
        <f t="shared" si="43"/>
        <v>0</v>
      </c>
      <c r="N105" s="429">
        <f t="shared" si="43"/>
        <v>0</v>
      </c>
      <c r="O105" s="429">
        <f>SUM(O10:O47,O49:O51,O54:O61)</f>
        <v>7910</v>
      </c>
      <c r="P105" s="429">
        <f>SUM(P10:P47,P49:P51,P54:P61)</f>
        <v>395500</v>
      </c>
      <c r="Q105" s="429">
        <f>SUM(Q10:Q71)-Q103</f>
        <v>974350</v>
      </c>
      <c r="R105" s="429">
        <f>SUM(R11:R47,R49:R51,R54:R61)</f>
        <v>395500</v>
      </c>
      <c r="S105" s="429">
        <f>SUM(S11:S47,S49:S51,S54:S61)</f>
        <v>1207250</v>
      </c>
      <c r="T105" s="429">
        <f>SUM(T10:T47,T49:T51,T54:T61)</f>
        <v>88577.272727272735</v>
      </c>
      <c r="U105" s="880">
        <f>IF(T105=0,0,P105/T105)</f>
        <v>4.4650279673628566</v>
      </c>
      <c r="V105" s="881"/>
      <c r="W105" s="924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0</v>
      </c>
      <c r="G106" s="214">
        <f>SUM(G74:G102)</f>
        <v>0</v>
      </c>
      <c r="H106" s="214">
        <f>SUM(H74:H102)</f>
        <v>0</v>
      </c>
      <c r="I106" s="214">
        <f>SUM(L74:L102)</f>
        <v>0</v>
      </c>
      <c r="J106" s="214"/>
      <c r="K106" s="214"/>
      <c r="L106" s="214">
        <f t="shared" ref="L106:Q106" si="44">SUM(L74:L102)</f>
        <v>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133600</v>
      </c>
      <c r="R106" s="218"/>
      <c r="S106" s="218"/>
      <c r="T106" s="219">
        <f>Q106/$N$293</f>
        <v>12145.454545454546</v>
      </c>
      <c r="U106" s="880"/>
      <c r="V106" s="881"/>
      <c r="W106" s="924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066" t="s">
        <v>75</v>
      </c>
      <c r="B107" s="1067"/>
      <c r="C107" s="1067"/>
      <c r="D107" s="1068"/>
      <c r="E107" s="220">
        <f>SUM(E103:E105)</f>
        <v>7515</v>
      </c>
      <c r="F107" s="220">
        <f>SUM(F103:F105)</f>
        <v>2432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2037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7910</v>
      </c>
      <c r="P107" s="220">
        <f t="shared" si="45"/>
        <v>395500</v>
      </c>
      <c r="Q107" s="784">
        <f>+Q108</f>
        <v>1172350</v>
      </c>
      <c r="R107" s="218">
        <f>SUM(R11:R102)</f>
        <v>395500</v>
      </c>
      <c r="S107" s="218"/>
      <c r="T107" s="893">
        <f>Q107/$N$293</f>
        <v>106577.27272727272</v>
      </c>
      <c r="U107" s="928" t="s">
        <v>338</v>
      </c>
      <c r="V107" s="929"/>
      <c r="W107" s="924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1042" t="s">
        <v>77</v>
      </c>
      <c r="B108" s="1043"/>
      <c r="C108" s="1043"/>
      <c r="D108" s="1044"/>
      <c r="E108" s="214">
        <f>E103*25+E105*50+E106+E104*40</f>
        <v>375750</v>
      </c>
      <c r="F108" s="214">
        <f>F103*25+F105*50+F106+F104*40</f>
        <v>121600</v>
      </c>
      <c r="G108" s="214">
        <f>G103*25+G105*50+G106</f>
        <v>0</v>
      </c>
      <c r="H108" s="214">
        <f>H103*25+H105*50+H106</f>
        <v>0</v>
      </c>
      <c r="I108" s="214">
        <f>I103*25+I105*50+I106</f>
        <v>101850</v>
      </c>
      <c r="J108" s="214"/>
      <c r="K108" s="214"/>
      <c r="L108" s="214">
        <f>L103+L105+L106+L104</f>
        <v>101850</v>
      </c>
      <c r="M108" s="214">
        <f>+M105*50+M103*25</f>
        <v>0</v>
      </c>
      <c r="N108" s="214">
        <f>+N103*25+N104*40+N105*50</f>
        <v>0</v>
      </c>
      <c r="O108" s="485">
        <f>O103*25+O105*50+O106</f>
        <v>395500</v>
      </c>
      <c r="P108" s="214">
        <f>P103+P105+P106</f>
        <v>395500</v>
      </c>
      <c r="Q108" s="359">
        <f>+SUM(Q10:Q102)</f>
        <v>1172350</v>
      </c>
      <c r="R108" s="224"/>
      <c r="S108" s="224"/>
      <c r="T108" s="894"/>
      <c r="U108" s="928"/>
      <c r="V108" s="929"/>
      <c r="W108" s="925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00" t="s">
        <v>251</v>
      </c>
      <c r="D112" s="900"/>
      <c r="E112" s="900"/>
      <c r="F112" s="900"/>
      <c r="G112" s="900"/>
      <c r="H112" s="900"/>
      <c r="I112" s="900"/>
      <c r="J112" s="900"/>
      <c r="K112" s="900"/>
      <c r="L112" s="900"/>
      <c r="M112" s="900"/>
      <c r="N112" s="900"/>
      <c r="O112" s="900"/>
      <c r="P112" s="900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961" t="s">
        <v>340</v>
      </c>
      <c r="D113" s="961"/>
      <c r="E113" s="961"/>
      <c r="F113" s="961"/>
      <c r="G113" s="961"/>
      <c r="H113" s="961"/>
      <c r="I113" s="961"/>
      <c r="J113" s="961"/>
      <c r="K113" s="961"/>
      <c r="L113" s="961"/>
      <c r="M113" s="961"/>
      <c r="N113" s="961"/>
      <c r="O113" s="961"/>
      <c r="P113" s="961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962" t="s">
        <v>341</v>
      </c>
      <c r="D114" s="962"/>
      <c r="E114" s="962"/>
      <c r="F114" s="962"/>
      <c r="G114" s="962"/>
      <c r="H114" s="962"/>
      <c r="I114" s="962"/>
      <c r="J114" s="962"/>
      <c r="K114" s="962"/>
      <c r="L114" s="962"/>
      <c r="M114" s="962"/>
      <c r="N114" s="962"/>
      <c r="O114" s="962"/>
      <c r="P114" s="962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10" t="s">
        <v>342</v>
      </c>
      <c r="B115" s="901" t="s">
        <v>23</v>
      </c>
      <c r="C115" s="901" t="s">
        <v>24</v>
      </c>
      <c r="D115" s="907" t="s">
        <v>178</v>
      </c>
      <c r="E115" s="61" t="s">
        <v>26</v>
      </c>
      <c r="F115" s="904" t="s">
        <v>27</v>
      </c>
      <c r="G115" s="905"/>
      <c r="H115" s="906"/>
      <c r="I115" s="904" t="s">
        <v>28</v>
      </c>
      <c r="J115" s="905"/>
      <c r="K115" s="905"/>
      <c r="L115" s="905"/>
      <c r="M115" s="905"/>
      <c r="N115" s="906"/>
      <c r="O115" s="904" t="s">
        <v>29</v>
      </c>
      <c r="P115" s="906"/>
      <c r="Q115" s="183" t="s">
        <v>30</v>
      </c>
      <c r="R115" s="305"/>
      <c r="S115" s="305"/>
      <c r="T115" s="183" t="s">
        <v>31</v>
      </c>
      <c r="U115" s="913" t="s">
        <v>257</v>
      </c>
      <c r="V115" s="914"/>
      <c r="W115" s="919" t="s">
        <v>33</v>
      </c>
      <c r="X115" s="1092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11"/>
      <c r="B116" s="902"/>
      <c r="C116" s="902"/>
      <c r="D116" s="908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04" t="s">
        <v>40</v>
      </c>
      <c r="J116" s="905"/>
      <c r="K116" s="905"/>
      <c r="L116" s="906"/>
      <c r="M116" s="512" t="s">
        <v>41</v>
      </c>
      <c r="N116" s="681" t="s">
        <v>42</v>
      </c>
      <c r="O116" s="904" t="s">
        <v>43</v>
      </c>
      <c r="P116" s="906"/>
      <c r="Q116" s="683" t="s">
        <v>44</v>
      </c>
      <c r="R116" s="682"/>
      <c r="S116" s="682"/>
      <c r="T116" s="683" t="s">
        <v>45</v>
      </c>
      <c r="U116" s="915"/>
      <c r="V116" s="916"/>
      <c r="W116" s="920"/>
      <c r="X116" s="1093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12"/>
      <c r="B117" s="903"/>
      <c r="C117" s="903"/>
      <c r="D117" s="909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17"/>
      <c r="V117" s="918"/>
      <c r="W117" s="92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5329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800</v>
      </c>
      <c r="J118" s="281"/>
      <c r="K118" s="281"/>
      <c r="L118" s="230">
        <f>SUMIF(data!$D:$D,INTGRATE!$B118&amp;INTGRATE!$D118,data!$K:$K)</f>
        <v>8000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4529</v>
      </c>
      <c r="P118" s="281">
        <f t="shared" ref="P118:P161" si="46">O118*D118</f>
        <v>45290</v>
      </c>
      <c r="Q118" s="230">
        <f t="shared" ref="Q118:Q149" si="47">SUM(AA118:BE118)</f>
        <v>132100</v>
      </c>
      <c r="R118" s="205"/>
      <c r="S118" s="205"/>
      <c r="T118" s="230">
        <f t="shared" ref="T118:T149" si="48">Q118/$N$293</f>
        <v>12009.09090909091</v>
      </c>
      <c r="U118" s="869">
        <f t="shared" ref="U118:U148" si="49">IF(T118=0,0,P118/T118)</f>
        <v>3.7713096139288416</v>
      </c>
      <c r="V118" s="870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>
        <v>4000</v>
      </c>
      <c r="AI118" s="314">
        <v>11000</v>
      </c>
      <c r="AJ118" s="314"/>
      <c r="AK118" s="314">
        <v>35200</v>
      </c>
      <c r="AL118" s="314">
        <v>8000</v>
      </c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132100</v>
      </c>
      <c r="BG118" s="786">
        <f>COUNTIF(AA118:BE118,"&gt;0")</f>
        <v>10</v>
      </c>
      <c r="BH118" s="786">
        <f>IFERROR(BF118/BG118,0)</f>
        <v>13210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2446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465</v>
      </c>
      <c r="J119" s="230"/>
      <c r="K119" s="230"/>
      <c r="L119" s="230">
        <f>SUMIF(data!$D:$D,INTGRATE!$B119&amp;INTGRATE!$D119,data!$K:$K)</f>
        <v>23250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1981</v>
      </c>
      <c r="P119" s="230">
        <f t="shared" si="46"/>
        <v>99050</v>
      </c>
      <c r="Q119" s="230">
        <f t="shared" si="47"/>
        <v>227850</v>
      </c>
      <c r="R119" s="314"/>
      <c r="S119" s="205"/>
      <c r="T119" s="230">
        <f t="shared" si="48"/>
        <v>20713.636363636364</v>
      </c>
      <c r="U119" s="869">
        <f t="shared" si="49"/>
        <v>4.7818740399385558</v>
      </c>
      <c r="V119" s="870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>
        <v>12250</v>
      </c>
      <c r="AI119" s="314">
        <v>28500</v>
      </c>
      <c r="AJ119" s="314"/>
      <c r="AK119" s="314">
        <v>17500</v>
      </c>
      <c r="AL119" s="314">
        <v>23250</v>
      </c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227850</v>
      </c>
      <c r="BG119" s="786">
        <f t="shared" ref="BG119:BG184" si="53">COUNTIF(AA119:BE119,"&gt;0")</f>
        <v>9</v>
      </c>
      <c r="BH119" s="786">
        <f t="shared" ref="BH119:BH184" si="54">IFERROR(BF119/BG119,0)</f>
        <v>25316.666666666668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69">
        <f t="shared" si="49"/>
        <v>0</v>
      </c>
      <c r="V120" s="870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>
        <v>0</v>
      </c>
      <c r="AI120" s="314">
        <v>0</v>
      </c>
      <c r="AJ120" s="314"/>
      <c r="AK120" s="314">
        <v>0</v>
      </c>
      <c r="AL120" s="314">
        <v>0</v>
      </c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69">
        <f t="shared" si="49"/>
        <v>0</v>
      </c>
      <c r="V121" s="870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>
        <v>0</v>
      </c>
      <c r="AI121" s="314">
        <v>0</v>
      </c>
      <c r="AJ121" s="314"/>
      <c r="AK121" s="314">
        <v>0</v>
      </c>
      <c r="AL121" s="314">
        <v>0</v>
      </c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3552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1834</v>
      </c>
      <c r="J122" s="230"/>
      <c r="K122" s="230"/>
      <c r="L122" s="230">
        <f>SUMIF(data!$D:$D,INTGRATE!$B122&amp;INTGRATE!$D122,data!$K:$K)</f>
        <v>91700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1718</v>
      </c>
      <c r="P122" s="230">
        <f>O122*D122</f>
        <v>85900</v>
      </c>
      <c r="Q122" s="230">
        <f>SUM(AA122:BE122)</f>
        <v>823400</v>
      </c>
      <c r="R122" s="314"/>
      <c r="S122" s="205"/>
      <c r="T122" s="230">
        <f t="shared" si="48"/>
        <v>74854.545454545456</v>
      </c>
      <c r="U122" s="869">
        <f>IF(T122=0,0,P122/T122)</f>
        <v>1.1475589021131891</v>
      </c>
      <c r="V122" s="870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>
        <v>49650</v>
      </c>
      <c r="AI122" s="314">
        <v>93450</v>
      </c>
      <c r="AJ122" s="314"/>
      <c r="AK122" s="314">
        <v>79000</v>
      </c>
      <c r="AL122" s="314">
        <v>91700</v>
      </c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823400</v>
      </c>
      <c r="BG122" s="786">
        <f t="shared" si="53"/>
        <v>10</v>
      </c>
      <c r="BH122" s="786">
        <f t="shared" si="54"/>
        <v>82340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218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218</v>
      </c>
      <c r="J123" s="230"/>
      <c r="K123" s="230"/>
      <c r="L123" s="230">
        <f>SUMIF(data!$D:$D,INTGRATE!$B123&amp;INTGRATE!$D123,data!$K:$K)</f>
        <v>10900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0</v>
      </c>
      <c r="P123" s="230">
        <f>O123*D123</f>
        <v>0</v>
      </c>
      <c r="Q123" s="230">
        <f>SUM(AA123:BE123)</f>
        <v>249750</v>
      </c>
      <c r="R123" s="314"/>
      <c r="S123" s="205"/>
      <c r="T123" s="230">
        <f t="shared" si="48"/>
        <v>22704.545454545456</v>
      </c>
      <c r="U123" s="869">
        <f>IF(T123=0,0,P123/T123)</f>
        <v>0</v>
      </c>
      <c r="V123" s="870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>
        <v>7850</v>
      </c>
      <c r="AI123" s="314">
        <v>19500</v>
      </c>
      <c r="AJ123" s="314"/>
      <c r="AK123" s="314">
        <v>59150</v>
      </c>
      <c r="AL123" s="314">
        <v>10900</v>
      </c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249750</v>
      </c>
      <c r="BG123" s="786">
        <f t="shared" si="53"/>
        <v>9</v>
      </c>
      <c r="BH123" s="786">
        <f t="shared" si="54"/>
        <v>27750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69">
        <f t="shared" si="49"/>
        <v>0</v>
      </c>
      <c r="V124" s="870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>
        <v>0</v>
      </c>
      <c r="AI124" s="314">
        <v>0</v>
      </c>
      <c r="AJ124" s="314"/>
      <c r="AK124" s="314">
        <v>0</v>
      </c>
      <c r="AL124" s="314">
        <v>0</v>
      </c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69">
        <f t="shared" si="49"/>
        <v>0</v>
      </c>
      <c r="V125" s="870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>
        <v>0</v>
      </c>
      <c r="AI125" s="314">
        <v>0</v>
      </c>
      <c r="AJ125" s="314"/>
      <c r="AK125" s="314">
        <v>0</v>
      </c>
      <c r="AL125" s="314">
        <v>0</v>
      </c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69">
        <f>IF(T126=0,0,P126/T126)</f>
        <v>0</v>
      </c>
      <c r="V126" s="870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>
        <v>0</v>
      </c>
      <c r="AI126" s="314">
        <v>0</v>
      </c>
      <c r="AJ126" s="314"/>
      <c r="AK126" s="314">
        <v>0</v>
      </c>
      <c r="AL126" s="314">
        <v>0</v>
      </c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69">
        <f t="shared" si="49"/>
        <v>0</v>
      </c>
      <c r="V127" s="870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>
        <v>0</v>
      </c>
      <c r="AI127" s="314">
        <v>0</v>
      </c>
      <c r="AJ127" s="314"/>
      <c r="AK127" s="314">
        <v>0</v>
      </c>
      <c r="AL127" s="314">
        <v>0</v>
      </c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45290</v>
      </c>
      <c r="S128" s="314">
        <f>SUM(Q118,Q125:Q127)</f>
        <v>132100</v>
      </c>
      <c r="T128" s="230">
        <f t="shared" si="48"/>
        <v>0</v>
      </c>
      <c r="U128" s="869">
        <f t="shared" si="49"/>
        <v>0</v>
      </c>
      <c r="V128" s="870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>
        <v>0</v>
      </c>
      <c r="AI128" s="314">
        <v>0</v>
      </c>
      <c r="AJ128" s="314"/>
      <c r="AK128" s="314">
        <v>0</v>
      </c>
      <c r="AL128" s="314">
        <v>0</v>
      </c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784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682</v>
      </c>
      <c r="J129" s="230"/>
      <c r="K129" s="230"/>
      <c r="L129" s="230">
        <f>SUMIF(data!$D:$D,INTGRATE!$B129&amp;INTGRATE!$D129,data!$K:$K)</f>
        <v>34100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102</v>
      </c>
      <c r="P129" s="230">
        <f t="shared" si="46"/>
        <v>5100</v>
      </c>
      <c r="Q129" s="230">
        <f t="shared" si="47"/>
        <v>196100</v>
      </c>
      <c r="R129" s="314"/>
      <c r="S129" s="314"/>
      <c r="T129" s="230">
        <f t="shared" si="48"/>
        <v>17827.272727272728</v>
      </c>
      <c r="U129" s="869">
        <f t="shared" si="49"/>
        <v>0.2860785313615502</v>
      </c>
      <c r="V129" s="870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>
        <v>19400</v>
      </c>
      <c r="AI129" s="314">
        <v>16850</v>
      </c>
      <c r="AJ129" s="314"/>
      <c r="AK129" s="314">
        <v>5000</v>
      </c>
      <c r="AL129" s="314">
        <v>34100</v>
      </c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196100</v>
      </c>
      <c r="BG129" s="786">
        <f t="shared" si="53"/>
        <v>8</v>
      </c>
      <c r="BH129" s="786">
        <f t="shared" si="54"/>
        <v>24512.5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0</v>
      </c>
      <c r="F130" s="100">
        <f>SUMIF(pro!$A:$A,INTGRATE!$Y:$Y,pro!$N:$N)</f>
        <v>469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469</v>
      </c>
      <c r="P130" s="230">
        <f t="shared" si="46"/>
        <v>23450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2963.6363636363635</v>
      </c>
      <c r="U130" s="869">
        <f t="shared" si="49"/>
        <v>7.912576687116565</v>
      </c>
      <c r="V130" s="870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>
        <v>0</v>
      </c>
      <c r="AI130" s="314">
        <v>0</v>
      </c>
      <c r="AJ130" s="314"/>
      <c r="AK130" s="314">
        <v>0</v>
      </c>
      <c r="AL130" s="314">
        <v>0</v>
      </c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184950</v>
      </c>
      <c r="S131" s="314">
        <f>SUM(Q119:Q124,Q159,Q196:Q206)</f>
        <v>1336690</v>
      </c>
      <c r="T131" s="230">
        <f t="shared" si="48"/>
        <v>0</v>
      </c>
      <c r="U131" s="869">
        <f t="shared" si="49"/>
        <v>0</v>
      </c>
      <c r="V131" s="870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>
        <v>0</v>
      </c>
      <c r="AI131" s="314">
        <v>0</v>
      </c>
      <c r="AJ131" s="314"/>
      <c r="AK131" s="314">
        <v>0</v>
      </c>
      <c r="AL131" s="314">
        <v>0</v>
      </c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69">
        <f t="shared" si="49"/>
        <v>0</v>
      </c>
      <c r="V132" s="870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>
        <v>0</v>
      </c>
      <c r="AI132" s="314">
        <v>0</v>
      </c>
      <c r="AJ132" s="314"/>
      <c r="AK132" s="314">
        <v>0</v>
      </c>
      <c r="AL132" s="314">
        <v>0</v>
      </c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3724</v>
      </c>
      <c r="F133" s="100">
        <f>SUMIF(pro!$A:$A,INTGRATE!$Y:$Y,pro!$N:$N)</f>
        <v>778</v>
      </c>
      <c r="G133" s="230"/>
      <c r="H133" s="314">
        <f>SUMIF(CBIN!$A:$A,INTGRATE!$Y:$Y,CBIN!$G:$G)</f>
        <v>0</v>
      </c>
      <c r="I133" s="230">
        <f>SUMIF(data!$D:$D,INTGRATE!$B133&amp;INTGRATE!$D133,data!$J:$J)</f>
        <v>1259</v>
      </c>
      <c r="J133" s="230"/>
      <c r="K133" s="230"/>
      <c r="L133" s="230">
        <f>SUMIF(data!$D:$D,INTGRATE!$B133&amp;INTGRATE!$D133,data!$K:$K)</f>
        <v>62950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3243</v>
      </c>
      <c r="P133" s="230">
        <f t="shared" si="46"/>
        <v>162150</v>
      </c>
      <c r="Q133" s="230">
        <f t="shared" si="47"/>
        <v>515350</v>
      </c>
      <c r="R133" s="314"/>
      <c r="S133" s="314"/>
      <c r="T133" s="230">
        <f t="shared" si="48"/>
        <v>46850</v>
      </c>
      <c r="U133" s="869">
        <f t="shared" si="49"/>
        <v>3.4610458911419424</v>
      </c>
      <c r="V133" s="870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>
        <v>21100</v>
      </c>
      <c r="AI133" s="314">
        <v>78650</v>
      </c>
      <c r="AJ133" s="314"/>
      <c r="AK133" s="314">
        <v>45550</v>
      </c>
      <c r="AL133" s="314">
        <v>62950</v>
      </c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515350</v>
      </c>
      <c r="BG133" s="786">
        <f t="shared" si="53"/>
        <v>10</v>
      </c>
      <c r="BH133" s="786">
        <f t="shared" si="54"/>
        <v>51535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69">
        <f t="shared" si="49"/>
        <v>0</v>
      </c>
      <c r="V134" s="870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>
        <v>0</v>
      </c>
      <c r="AI134" s="314">
        <v>0</v>
      </c>
      <c r="AJ134" s="314"/>
      <c r="AK134" s="314">
        <v>0</v>
      </c>
      <c r="AL134" s="314">
        <v>0</v>
      </c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69">
        <f t="shared" si="49"/>
        <v>0</v>
      </c>
      <c r="V135" s="870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>
        <v>0</v>
      </c>
      <c r="AI135" s="314">
        <v>0</v>
      </c>
      <c r="AJ135" s="314"/>
      <c r="AK135" s="314">
        <v>0</v>
      </c>
      <c r="AL135" s="314">
        <v>0</v>
      </c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3170770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69">
        <f t="shared" si="49"/>
        <v>0</v>
      </c>
      <c r="V136" s="870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>
        <v>0</v>
      </c>
      <c r="AI136" s="314">
        <v>0</v>
      </c>
      <c r="AJ136" s="314"/>
      <c r="AK136" s="314">
        <v>0</v>
      </c>
      <c r="AL136" s="314">
        <v>0</v>
      </c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11821940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69">
        <f t="shared" si="49"/>
        <v>0</v>
      </c>
      <c r="V137" s="870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>
        <v>0</v>
      </c>
      <c r="AI137" s="314">
        <v>0</v>
      </c>
      <c r="AJ137" s="314"/>
      <c r="AK137" s="314">
        <v>0</v>
      </c>
      <c r="AL137" s="314">
        <v>0</v>
      </c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69">
        <f t="shared" si="49"/>
        <v>0</v>
      </c>
      <c r="V138" s="870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>
        <v>0</v>
      </c>
      <c r="AI138" s="314">
        <v>0</v>
      </c>
      <c r="AJ138" s="314"/>
      <c r="AK138" s="314">
        <v>0</v>
      </c>
      <c r="AL138" s="314">
        <v>0</v>
      </c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69">
        <f t="shared" si="49"/>
        <v>0</v>
      </c>
      <c r="V139" s="870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>
        <v>0</v>
      </c>
      <c r="AI139" s="314">
        <v>0</v>
      </c>
      <c r="AJ139" s="314"/>
      <c r="AK139" s="314">
        <v>0</v>
      </c>
      <c r="AL139" s="314">
        <v>0</v>
      </c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69">
        <f t="shared" si="49"/>
        <v>0</v>
      </c>
      <c r="V140" s="870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>
        <v>0</v>
      </c>
      <c r="AI140" s="314">
        <v>0</v>
      </c>
      <c r="AJ140" s="314"/>
      <c r="AK140" s="314">
        <v>0</v>
      </c>
      <c r="AL140" s="314">
        <v>0</v>
      </c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1083</v>
      </c>
      <c r="F141" s="100">
        <f>SUMIF(pro!$A:$A,INTGRATE!$Y:$Y,pro!$N:$N)</f>
        <v>79</v>
      </c>
      <c r="G141" s="314"/>
      <c r="H141" s="314">
        <f>SUMIF(CBIN!$A:$A,INTGRATE!$Y:$Y,CBIN!$G:$G)</f>
        <v>0</v>
      </c>
      <c r="I141" s="230">
        <f>SUMIF(data!$D:$D,INTGRATE!$B141&amp;INTGRATE!$D141,data!$J:$J)</f>
        <v>572</v>
      </c>
      <c r="J141" s="230"/>
      <c r="K141" s="230"/>
      <c r="L141" s="230">
        <f>SUMIF(data!$D:$D,INTGRATE!$B141&amp;INTGRATE!$D141,data!$K:$K)</f>
        <v>28600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590</v>
      </c>
      <c r="P141" s="230">
        <f t="shared" si="46"/>
        <v>29500</v>
      </c>
      <c r="Q141" s="230">
        <f t="shared" si="47"/>
        <v>207800</v>
      </c>
      <c r="R141" s="543"/>
      <c r="S141" s="543"/>
      <c r="T141" s="230">
        <f t="shared" si="48"/>
        <v>18890.909090909092</v>
      </c>
      <c r="U141" s="869">
        <f t="shared" si="49"/>
        <v>1.5615976900866217</v>
      </c>
      <c r="V141" s="870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>
        <v>16000</v>
      </c>
      <c r="AI141" s="314">
        <v>20500</v>
      </c>
      <c r="AJ141" s="314"/>
      <c r="AK141" s="314">
        <v>31400</v>
      </c>
      <c r="AL141" s="314">
        <v>28600</v>
      </c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207800</v>
      </c>
      <c r="BG141" s="786">
        <f t="shared" si="53"/>
        <v>9</v>
      </c>
      <c r="BH141" s="786">
        <f t="shared" si="54"/>
        <v>23088.888888888891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69">
        <f t="shared" si="49"/>
        <v>0</v>
      </c>
      <c r="V142" s="870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>
        <v>0</v>
      </c>
      <c r="AI142" s="314">
        <v>0</v>
      </c>
      <c r="AJ142" s="314"/>
      <c r="AK142" s="314">
        <v>0</v>
      </c>
      <c r="AL142" s="314">
        <v>0</v>
      </c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1187</v>
      </c>
      <c r="F143" s="100">
        <f>SUMIF(pro!$A:$A,INTGRATE!$Y:$Y,pro!$N:$N)</f>
        <v>2844</v>
      </c>
      <c r="G143" s="314"/>
      <c r="H143" s="314">
        <f>SUMIF(CBIN!$A:$A,INTGRATE!$Y:$Y,CBIN!$G:$G)</f>
        <v>0</v>
      </c>
      <c r="I143" s="230">
        <f>SUMIF(data!$D:$D,INTGRATE!$B143&amp;INTGRATE!$D143,data!$J:$J)</f>
        <v>2086</v>
      </c>
      <c r="J143" s="230"/>
      <c r="K143" s="230"/>
      <c r="L143" s="230">
        <f>SUMIF(data!$D:$D,INTGRATE!$B143&amp;INTGRATE!$D143,data!$K:$K)</f>
        <v>104300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1945</v>
      </c>
      <c r="P143" s="230">
        <f>O143*D143</f>
        <v>97250</v>
      </c>
      <c r="Q143" s="230">
        <f>SUM(AA143:BE143)</f>
        <v>514750</v>
      </c>
      <c r="R143" s="543" t="s">
        <v>378</v>
      </c>
      <c r="S143" s="543" t="s">
        <v>379</v>
      </c>
      <c r="T143" s="230">
        <f t="shared" si="48"/>
        <v>46795.454545454544</v>
      </c>
      <c r="U143" s="869">
        <f>IF(T143=0,0,P143/T143)</f>
        <v>2.0781932977173385</v>
      </c>
      <c r="V143" s="870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>
        <v>64400</v>
      </c>
      <c r="AI143" s="314">
        <v>40400</v>
      </c>
      <c r="AJ143" s="314"/>
      <c r="AK143" s="314">
        <v>38500</v>
      </c>
      <c r="AL143" s="314">
        <v>104300</v>
      </c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514750</v>
      </c>
      <c r="BG143" s="786">
        <f t="shared" si="53"/>
        <v>10</v>
      </c>
      <c r="BH143" s="786">
        <f t="shared" si="54"/>
        <v>51475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1089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70</v>
      </c>
      <c r="J144" s="230"/>
      <c r="K144" s="230"/>
      <c r="L144" s="230">
        <f>SUMIF(data!$D:$D,INTGRATE!$B144&amp;INTGRATE!$D144,data!$K:$K)</f>
        <v>3500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1019</v>
      </c>
      <c r="P144" s="230">
        <f t="shared" si="46"/>
        <v>50950</v>
      </c>
      <c r="Q144" s="230">
        <f t="shared" si="47"/>
        <v>100800</v>
      </c>
      <c r="R144" s="601">
        <f>SUM(P118:P260)-R137-R131-R128</f>
        <v>1369850</v>
      </c>
      <c r="S144" s="601">
        <f>SUM(Q118:Q260)-S137-S131-S128</f>
        <v>15555280</v>
      </c>
      <c r="T144" s="230">
        <f t="shared" si="48"/>
        <v>9163.636363636364</v>
      </c>
      <c r="U144" s="869">
        <f t="shared" si="49"/>
        <v>5.5600198412698409</v>
      </c>
      <c r="V144" s="870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>
        <v>12000</v>
      </c>
      <c r="AI144" s="314">
        <v>0</v>
      </c>
      <c r="AJ144" s="314"/>
      <c r="AK144" s="314">
        <v>28750</v>
      </c>
      <c r="AL144" s="314">
        <v>3500</v>
      </c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100800</v>
      </c>
      <c r="BG144" s="786">
        <f t="shared" si="53"/>
        <v>6</v>
      </c>
      <c r="BH144" s="786">
        <f t="shared" si="54"/>
        <v>16800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1950</v>
      </c>
      <c r="U145" s="869">
        <f t="shared" si="49"/>
        <v>0</v>
      </c>
      <c r="V145" s="870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>
        <v>0</v>
      </c>
      <c r="AI145" s="314">
        <v>0</v>
      </c>
      <c r="AJ145" s="314"/>
      <c r="AK145" s="314">
        <v>0</v>
      </c>
      <c r="AL145" s="314">
        <v>0</v>
      </c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2031360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3884</v>
      </c>
      <c r="F146" s="100">
        <f>SUMIF(pro!$A:$A,INTGRATE!$Y:$Y,pro!$N:$N)</f>
        <v>0</v>
      </c>
      <c r="G146" s="314"/>
      <c r="H146" s="314">
        <f>SUMIF(CBIN!$A:$A,INTGRATE!$Y:$Y,CBIN!$G:$G)</f>
        <v>0</v>
      </c>
      <c r="I146" s="230">
        <f>SUMIF(data!$D:$D,INTGRATE!$B146&amp;INTGRATE!$D146,data!$J:$J)</f>
        <v>1704</v>
      </c>
      <c r="J146" s="230"/>
      <c r="K146" s="230"/>
      <c r="L146" s="230">
        <f>SUMIF(data!$D:$D,INTGRATE!$B146&amp;INTGRATE!$D146,data!$K:$K)</f>
        <v>85200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2180</v>
      </c>
      <c r="P146" s="230">
        <f t="shared" si="46"/>
        <v>109000</v>
      </c>
      <c r="Q146" s="230">
        <f t="shared" si="47"/>
        <v>2658350</v>
      </c>
      <c r="R146" s="543"/>
      <c r="S146" s="543"/>
      <c r="T146" s="230">
        <f t="shared" si="48"/>
        <v>241668.18181818182</v>
      </c>
      <c r="U146" s="869">
        <f t="shared" si="49"/>
        <v>0.45103165497394998</v>
      </c>
      <c r="V146" s="870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>
        <v>371450</v>
      </c>
      <c r="AI146" s="314">
        <v>410200</v>
      </c>
      <c r="AJ146" s="314"/>
      <c r="AK146" s="314">
        <v>124350</v>
      </c>
      <c r="AL146" s="314">
        <v>85200</v>
      </c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2658350</v>
      </c>
      <c r="BG146" s="786">
        <f t="shared" si="53"/>
        <v>10</v>
      </c>
      <c r="BH146" s="786">
        <f t="shared" si="54"/>
        <v>265835</v>
      </c>
      <c r="BI146" s="197">
        <f>SUM(BF196:BF261)</f>
        <v>4693970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69">
        <f t="shared" si="49"/>
        <v>0</v>
      </c>
      <c r="V147" s="870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>
        <v>0</v>
      </c>
      <c r="AI147" s="314">
        <v>0</v>
      </c>
      <c r="AJ147" s="314"/>
      <c r="AK147" s="314">
        <v>0</v>
      </c>
      <c r="AL147" s="314">
        <v>0</v>
      </c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12330100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69">
        <f t="shared" si="49"/>
        <v>0</v>
      </c>
      <c r="V148" s="870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>
        <v>0</v>
      </c>
      <c r="AI148" s="314">
        <v>0</v>
      </c>
      <c r="AJ148" s="314"/>
      <c r="AK148" s="314">
        <v>0</v>
      </c>
      <c r="AL148" s="314">
        <v>0</v>
      </c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69">
        <f t="shared" ref="U149:U196" si="55">IF(T149=0,0,P149/T149)</f>
        <v>0</v>
      </c>
      <c r="V149" s="870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>
        <v>0</v>
      </c>
      <c r="AI149" s="314">
        <v>0</v>
      </c>
      <c r="AJ149" s="314"/>
      <c r="AK149" s="314">
        <v>0</v>
      </c>
      <c r="AL149" s="314">
        <v>0</v>
      </c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3051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340</v>
      </c>
      <c r="J150" s="230"/>
      <c r="K150" s="230"/>
      <c r="L150" s="230">
        <f>SUMIF(data!$D:$D,INTGRATE!$B150&amp;INTGRATE!$D150,data!$K:$K)</f>
        <v>17000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2711</v>
      </c>
      <c r="P150" s="230">
        <f>O150*D150</f>
        <v>135550</v>
      </c>
      <c r="Q150" s="230">
        <f>SUM(AA150:BE150)</f>
        <v>76350</v>
      </c>
      <c r="R150" s="314"/>
      <c r="S150" s="205"/>
      <c r="T150" s="230">
        <f t="shared" ref="T150:T183" si="56">Q150/$N$293</f>
        <v>6940.909090909091</v>
      </c>
      <c r="U150" s="869">
        <f>IF(T150=0,0,P150/T150)</f>
        <v>19.529142108709888</v>
      </c>
      <c r="V150" s="870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>
        <v>0</v>
      </c>
      <c r="AI150" s="314">
        <v>0</v>
      </c>
      <c r="AJ150" s="314"/>
      <c r="AK150" s="314">
        <v>16500</v>
      </c>
      <c r="AL150" s="314">
        <v>17000</v>
      </c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76350</v>
      </c>
      <c r="BG150" s="786">
        <f t="shared" si="53"/>
        <v>3</v>
      </c>
      <c r="BH150" s="786">
        <f t="shared" si="54"/>
        <v>25450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69">
        <f>IF(T151=0,0,P151/T151)</f>
        <v>0</v>
      </c>
      <c r="V151" s="870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>
        <v>0</v>
      </c>
      <c r="AI151" s="314">
        <v>0</v>
      </c>
      <c r="AJ151" s="314"/>
      <c r="AK151" s="314">
        <v>0</v>
      </c>
      <c r="AL151" s="314">
        <v>0</v>
      </c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69">
        <f t="shared" si="55"/>
        <v>0</v>
      </c>
      <c r="V152" s="870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>
        <v>0</v>
      </c>
      <c r="AI152" s="314">
        <v>0</v>
      </c>
      <c r="AJ152" s="314"/>
      <c r="AK152" s="314">
        <v>0</v>
      </c>
      <c r="AL152" s="314">
        <v>0</v>
      </c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69">
        <f>IF(T153=0,0,P153/T153)</f>
        <v>0</v>
      </c>
      <c r="V153" s="870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>
        <v>0</v>
      </c>
      <c r="AI153" s="314">
        <v>0</v>
      </c>
      <c r="AJ153" s="314"/>
      <c r="AK153" s="314">
        <v>0</v>
      </c>
      <c r="AL153" s="314">
        <v>0</v>
      </c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69">
        <f>IF(T154=0,0,P154/T154)</f>
        <v>0</v>
      </c>
      <c r="V154" s="870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>
        <v>0</v>
      </c>
      <c r="AI154" s="314">
        <v>0</v>
      </c>
      <c r="AJ154" s="314"/>
      <c r="AK154" s="314">
        <v>0</v>
      </c>
      <c r="AL154" s="314">
        <v>0</v>
      </c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10014</v>
      </c>
      <c r="F155" s="100">
        <f>SUMIF(pro!$A:$A,INTGRATE!$Y:$Y,pro!$N:$N)</f>
        <v>2004</v>
      </c>
      <c r="G155" s="314"/>
      <c r="H155" s="314">
        <f>SUMIF(CBIN!$A:$A,INTGRATE!$Y:$Y,CBIN!$G:$G)</f>
        <v>0</v>
      </c>
      <c r="I155" s="230">
        <f>SUMIF(data!$D:$D,INTGRATE!$B155&amp;INTGRATE!$D155,data!$J:$J)</f>
        <v>6590</v>
      </c>
      <c r="J155" s="230"/>
      <c r="K155" s="230"/>
      <c r="L155" s="230">
        <f>SUMIF(data!$D:$D,INTGRATE!$B155&amp;INTGRATE!$D155,data!$K:$K)</f>
        <v>329500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5428</v>
      </c>
      <c r="P155" s="230">
        <f t="shared" si="46"/>
        <v>271400</v>
      </c>
      <c r="Q155" s="230">
        <f>SUM(AA155:BE155)</f>
        <v>1084650</v>
      </c>
      <c r="R155" s="205"/>
      <c r="S155" s="205"/>
      <c r="T155" s="230">
        <f t="shared" si="56"/>
        <v>98604.545454545456</v>
      </c>
      <c r="U155" s="869">
        <f t="shared" si="55"/>
        <v>2.7524086110726964</v>
      </c>
      <c r="V155" s="870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>
        <v>0</v>
      </c>
      <c r="AI155" s="314">
        <v>0</v>
      </c>
      <c r="AJ155" s="314"/>
      <c r="AK155" s="314">
        <v>234650</v>
      </c>
      <c r="AL155" s="314">
        <v>329500</v>
      </c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1084650</v>
      </c>
      <c r="BG155" s="786">
        <f t="shared" si="53"/>
        <v>5</v>
      </c>
      <c r="BH155" s="786">
        <f t="shared" si="54"/>
        <v>216930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69">
        <f t="shared" ref="U156" si="60">IF(T156=0,0,P156/T156)</f>
        <v>0</v>
      </c>
      <c r="V156" s="870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>
        <v>0</v>
      </c>
      <c r="AI156" s="314">
        <v>0</v>
      </c>
      <c r="AJ156" s="314"/>
      <c r="AK156" s="314">
        <v>0</v>
      </c>
      <c r="AL156" s="314">
        <v>0</v>
      </c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3298</v>
      </c>
      <c r="F157" s="100">
        <f>SUMIF(pro!$A:$A,INTGRATE!$Y:$Y,pro!$N:$N)</f>
        <v>0</v>
      </c>
      <c r="G157" s="230"/>
      <c r="H157" s="314">
        <f>SUMIF(CBIN!$A:$A,INTGRATE!$Y:$Y,CBIN!$G:$G)</f>
        <v>0</v>
      </c>
      <c r="I157" s="230">
        <f>SUMIF(data!$D:$D,INTGRATE!$B157&amp;INTGRATE!$D157,data!$J:$J)</f>
        <v>0</v>
      </c>
      <c r="J157" s="230"/>
      <c r="K157" s="230"/>
      <c r="L157" s="230">
        <f>SUMIF(data!$D:$D,INTGRATE!$B157&amp;INTGRATE!$D157,data!$K:$K)</f>
        <v>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3298</v>
      </c>
      <c r="P157" s="230">
        <f t="shared" si="46"/>
        <v>164900</v>
      </c>
      <c r="Q157" s="230">
        <f t="shared" si="57"/>
        <v>2176200</v>
      </c>
      <c r="R157" s="205"/>
      <c r="S157" s="205"/>
      <c r="T157" s="230">
        <f t="shared" si="56"/>
        <v>197836.36363636365</v>
      </c>
      <c r="U157" s="869">
        <f t="shared" si="55"/>
        <v>0.83351713996875287</v>
      </c>
      <c r="V157" s="870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>
        <v>406800</v>
      </c>
      <c r="AI157" s="314">
        <v>282000</v>
      </c>
      <c r="AJ157" s="314"/>
      <c r="AK157" s="314">
        <v>60500</v>
      </c>
      <c r="AL157" s="314">
        <v>0</v>
      </c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2176200</v>
      </c>
      <c r="BG157" s="786">
        <f t="shared" si="53"/>
        <v>8</v>
      </c>
      <c r="BH157" s="786">
        <f t="shared" si="54"/>
        <v>272025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69">
        <f t="shared" si="55"/>
        <v>0</v>
      </c>
      <c r="V158" s="870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>
        <v>0</v>
      </c>
      <c r="AI158" s="314">
        <v>0</v>
      </c>
      <c r="AJ158" s="314"/>
      <c r="AK158" s="314">
        <v>0</v>
      </c>
      <c r="AL158" s="314">
        <v>0</v>
      </c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69">
        <f t="shared" si="55"/>
        <v>0</v>
      </c>
      <c r="V159" s="870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>
        <v>0</v>
      </c>
      <c r="AI159" s="314">
        <v>0</v>
      </c>
      <c r="AJ159" s="314"/>
      <c r="AK159" s="314">
        <v>0</v>
      </c>
      <c r="AL159" s="314">
        <v>0</v>
      </c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69">
        <f>IF(T160=0,0,P160/T160)</f>
        <v>0</v>
      </c>
      <c r="V160" s="870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>
        <v>0</v>
      </c>
      <c r="AI160" s="314">
        <v>0</v>
      </c>
      <c r="AJ160" s="314"/>
      <c r="AK160" s="314">
        <v>0</v>
      </c>
      <c r="AL160" s="314">
        <v>0</v>
      </c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69">
        <f t="shared" si="55"/>
        <v>0</v>
      </c>
      <c r="V161" s="870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>
        <v>0</v>
      </c>
      <c r="AI161" s="314">
        <v>0</v>
      </c>
      <c r="AJ161" s="314"/>
      <c r="AK161" s="314">
        <v>0</v>
      </c>
      <c r="AL161" s="314">
        <v>0</v>
      </c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69">
        <f>IF(T162=0,0,P162/T162)</f>
        <v>0</v>
      </c>
      <c r="V162" s="870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>
        <v>0</v>
      </c>
      <c r="AI162" s="314">
        <v>0</v>
      </c>
      <c r="AJ162" s="314"/>
      <c r="AK162" s="314">
        <v>0</v>
      </c>
      <c r="AL162" s="314">
        <v>0</v>
      </c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69">
        <f>IF(T163=0,0,P163/T163)</f>
        <v>0</v>
      </c>
      <c r="V163" s="870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>
        <v>0</v>
      </c>
      <c r="AI163" s="314">
        <v>0</v>
      </c>
      <c r="AJ163" s="314"/>
      <c r="AK163" s="314">
        <v>0</v>
      </c>
      <c r="AL163" s="314">
        <v>0</v>
      </c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9030</v>
      </c>
      <c r="F164" s="100">
        <f>SUMIF(pro!$A:$A,INTGRATE!$Y:$Y,pro!$N:$N)</f>
        <v>1863</v>
      </c>
      <c r="G164" s="230"/>
      <c r="H164" s="314">
        <f>SUMIF(CBIN!$A:$A,INTGRATE!$Y:$Y,CBIN!$G:$G)</f>
        <v>0</v>
      </c>
      <c r="I164" s="230">
        <f>SUMIF(data!$D:$D,INTGRATE!$B164&amp;INTGRATE!$D164,data!$J:$J)</f>
        <v>9266</v>
      </c>
      <c r="J164" s="230"/>
      <c r="K164" s="230"/>
      <c r="L164" s="230">
        <f>SUMIF(data!$D:$D,INTGRATE!$B164&amp;INTGRATE!$D164,data!$K:$K)</f>
        <v>463300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1627</v>
      </c>
      <c r="P164" s="230">
        <f t="shared" si="65"/>
        <v>81350</v>
      </c>
      <c r="Q164" s="230">
        <f t="shared" si="66"/>
        <v>1458700</v>
      </c>
      <c r="R164" s="205"/>
      <c r="S164" s="205"/>
      <c r="T164" s="230">
        <f t="shared" si="56"/>
        <v>132609.09090909091</v>
      </c>
      <c r="U164" s="869">
        <f t="shared" si="55"/>
        <v>0.61345718790704051</v>
      </c>
      <c r="V164" s="870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>
        <v>0</v>
      </c>
      <c r="AI164" s="314">
        <v>0</v>
      </c>
      <c r="AJ164" s="314"/>
      <c r="AK164" s="314">
        <v>402100</v>
      </c>
      <c r="AL164" s="314">
        <v>463300</v>
      </c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1458700</v>
      </c>
      <c r="BG164" s="786">
        <f t="shared" si="53"/>
        <v>4</v>
      </c>
      <c r="BH164" s="786">
        <f t="shared" si="54"/>
        <v>364675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69">
        <f t="shared" si="55"/>
        <v>0</v>
      </c>
      <c r="V165" s="870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>
        <v>0</v>
      </c>
      <c r="AI165" s="314">
        <v>0</v>
      </c>
      <c r="AJ165" s="314"/>
      <c r="AK165" s="314">
        <v>0</v>
      </c>
      <c r="AL165" s="314">
        <v>0</v>
      </c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1052</v>
      </c>
      <c r="F166" s="100">
        <f>SUMIF(pro!$A:$A,INTGRATE!$Y:$Y,pro!$N:$N)</f>
        <v>163</v>
      </c>
      <c r="G166" s="230"/>
      <c r="H166" s="314">
        <f>SUMIF(CBIN!$A:$A,INTGRATE!$Y:$Y,CBIN!$G:$G)</f>
        <v>0</v>
      </c>
      <c r="I166" s="230">
        <f>SUMIF(data!$D:$D,INTGRATE!$B166&amp;INTGRATE!$D166,data!$J:$J)</f>
        <v>1215</v>
      </c>
      <c r="J166" s="230"/>
      <c r="K166" s="230"/>
      <c r="L166" s="230">
        <f>SUMIF(data!$D:$D,INTGRATE!$B166&amp;INTGRATE!$D166,data!$K:$K)</f>
        <v>60750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0</v>
      </c>
      <c r="P166" s="230">
        <f t="shared" si="65"/>
        <v>0</v>
      </c>
      <c r="Q166" s="230">
        <f t="shared" si="66"/>
        <v>1191050</v>
      </c>
      <c r="R166" s="205"/>
      <c r="S166" s="205"/>
      <c r="T166" s="230">
        <f t="shared" si="56"/>
        <v>108277.27272727272</v>
      </c>
      <c r="U166" s="869">
        <f t="shared" si="55"/>
        <v>0</v>
      </c>
      <c r="V166" s="870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>
        <v>76500</v>
      </c>
      <c r="AI166" s="314">
        <v>217050</v>
      </c>
      <c r="AJ166" s="314"/>
      <c r="AK166" s="314">
        <v>166300</v>
      </c>
      <c r="AL166" s="314">
        <v>60750</v>
      </c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1191050</v>
      </c>
      <c r="BG166" s="786">
        <f t="shared" si="53"/>
        <v>10</v>
      </c>
      <c r="BH166" s="786">
        <f t="shared" si="54"/>
        <v>119105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69">
        <f t="shared" si="55"/>
        <v>0</v>
      </c>
      <c r="V167" s="870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>
        <v>0</v>
      </c>
      <c r="AI167" s="314">
        <v>0</v>
      </c>
      <c r="AJ167" s="314"/>
      <c r="AK167" s="314">
        <v>0</v>
      </c>
      <c r="AL167" s="314">
        <v>0</v>
      </c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69">
        <f t="shared" si="55"/>
        <v>0</v>
      </c>
      <c r="V168" s="870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>
        <v>0</v>
      </c>
      <c r="AI168" s="314">
        <v>0</v>
      </c>
      <c r="AJ168" s="314"/>
      <c r="AK168" s="314">
        <v>0</v>
      </c>
      <c r="AL168" s="314">
        <v>0</v>
      </c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69">
        <f t="shared" si="55"/>
        <v>0</v>
      </c>
      <c r="V169" s="870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>
        <v>0</v>
      </c>
      <c r="AI169" s="314">
        <v>0</v>
      </c>
      <c r="AJ169" s="314"/>
      <c r="AK169" s="314">
        <v>0</v>
      </c>
      <c r="AL169" s="314">
        <v>0</v>
      </c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69">
        <f>IF(T170=0,0,P170/T170)</f>
        <v>0</v>
      </c>
      <c r="V170" s="870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>
        <v>0</v>
      </c>
      <c r="AI170" s="314">
        <v>0</v>
      </c>
      <c r="AJ170" s="314"/>
      <c r="AK170" s="314">
        <v>0</v>
      </c>
      <c r="AL170" s="314">
        <v>0</v>
      </c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69">
        <f t="shared" si="55"/>
        <v>0</v>
      </c>
      <c r="V171" s="870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>
        <v>0</v>
      </c>
      <c r="AI171" s="314">
        <v>0</v>
      </c>
      <c r="AJ171" s="314"/>
      <c r="AK171" s="314">
        <v>0</v>
      </c>
      <c r="AL171" s="314">
        <v>0</v>
      </c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69">
        <f>IF(T172=0,0,P172/T172)</f>
        <v>0</v>
      </c>
      <c r="V172" s="870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>
        <v>0</v>
      </c>
      <c r="AI172" s="314">
        <v>0</v>
      </c>
      <c r="AJ172" s="314"/>
      <c r="AK172" s="314">
        <v>0</v>
      </c>
      <c r="AL172" s="314">
        <v>0</v>
      </c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69">
        <f t="shared" si="55"/>
        <v>0</v>
      </c>
      <c r="V173" s="870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>
        <v>0</v>
      </c>
      <c r="AI173" s="314">
        <v>0</v>
      </c>
      <c r="AJ173" s="314"/>
      <c r="AK173" s="314">
        <v>0</v>
      </c>
      <c r="AL173" s="314">
        <v>0</v>
      </c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69">
        <f t="shared" si="55"/>
        <v>0</v>
      </c>
      <c r="V174" s="870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>
        <v>0</v>
      </c>
      <c r="AI174" s="314">
        <v>0</v>
      </c>
      <c r="AJ174" s="314"/>
      <c r="AK174" s="314">
        <v>0</v>
      </c>
      <c r="AL174" s="314">
        <v>0</v>
      </c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69">
        <f t="shared" ref="U175" si="71">IF(T175=0,0,P175/T175)</f>
        <v>0</v>
      </c>
      <c r="V175" s="870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>
        <v>0</v>
      </c>
      <c r="AI175" s="314">
        <v>0</v>
      </c>
      <c r="AJ175" s="314"/>
      <c r="AK175" s="314">
        <v>0</v>
      </c>
      <c r="AL175" s="314">
        <v>0</v>
      </c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96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0</v>
      </c>
      <c r="J176" s="230"/>
      <c r="K176" s="230"/>
      <c r="L176" s="230">
        <f>SUMIF(data!$D:$D,INTGRATE!$B176&amp;INTGRATE!$D176,data!$K:$K)</f>
        <v>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96</v>
      </c>
      <c r="P176" s="230">
        <f t="shared" si="65"/>
        <v>4800</v>
      </c>
      <c r="Q176" s="230">
        <f t="shared" si="66"/>
        <v>207450</v>
      </c>
      <c r="R176" s="205"/>
      <c r="S176" s="205"/>
      <c r="T176" s="230">
        <f t="shared" si="56"/>
        <v>18859.090909090908</v>
      </c>
      <c r="U176" s="869">
        <f t="shared" si="55"/>
        <v>0.25451916124367319</v>
      </c>
      <c r="V176" s="870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>
        <v>0</v>
      </c>
      <c r="AI176" s="314">
        <v>8500</v>
      </c>
      <c r="AJ176" s="314"/>
      <c r="AK176" s="314">
        <v>0</v>
      </c>
      <c r="AL176" s="314">
        <v>0</v>
      </c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207450</v>
      </c>
      <c r="BG176" s="786">
        <f t="shared" si="53"/>
        <v>6</v>
      </c>
      <c r="BH176" s="786">
        <f t="shared" si="54"/>
        <v>34575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69">
        <f t="shared" si="55"/>
        <v>0</v>
      </c>
      <c r="V177" s="870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>
        <v>0</v>
      </c>
      <c r="AI177" s="314">
        <v>0</v>
      </c>
      <c r="AJ177" s="314"/>
      <c r="AK177" s="314">
        <v>0</v>
      </c>
      <c r="AL177" s="314">
        <v>0</v>
      </c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69">
        <f>IF(T178=0,0,P178/T178)</f>
        <v>0</v>
      </c>
      <c r="V178" s="870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>
        <v>0</v>
      </c>
      <c r="AI178" s="314">
        <v>0</v>
      </c>
      <c r="AJ178" s="314"/>
      <c r="AK178" s="314">
        <v>0</v>
      </c>
      <c r="AL178" s="314">
        <v>0</v>
      </c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69">
        <f>IF(T179=0,0,P179/T179)</f>
        <v>0</v>
      </c>
      <c r="V179" s="870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>
        <v>0</v>
      </c>
      <c r="AI179" s="314">
        <v>0</v>
      </c>
      <c r="AJ179" s="314"/>
      <c r="AK179" s="314">
        <v>0</v>
      </c>
      <c r="AL179" s="314">
        <v>0</v>
      </c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2642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860</v>
      </c>
      <c r="J180" s="230"/>
      <c r="K180" s="230"/>
      <c r="L180" s="230">
        <f>SUMIF(data!$D:$D,INTGRATE!$B180&amp;INTGRATE!$D180,data!$K:$K)</f>
        <v>43000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1782</v>
      </c>
      <c r="P180" s="230">
        <f>O180*D180</f>
        <v>89100</v>
      </c>
      <c r="Q180" s="230">
        <f t="shared" si="66"/>
        <v>173350</v>
      </c>
      <c r="R180" s="205"/>
      <c r="S180" s="205"/>
      <c r="T180" s="230">
        <f t="shared" si="56"/>
        <v>15759.09090909091</v>
      </c>
      <c r="U180" s="869">
        <f>IF(T180=0,0,P180/T180)</f>
        <v>5.6538794346697427</v>
      </c>
      <c r="V180" s="870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>
        <v>0</v>
      </c>
      <c r="AI180" s="314">
        <v>0</v>
      </c>
      <c r="AJ180" s="314"/>
      <c r="AK180" s="314">
        <v>68000</v>
      </c>
      <c r="AL180" s="314">
        <v>43000</v>
      </c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173350</v>
      </c>
      <c r="BG180" s="786">
        <f t="shared" si="53"/>
        <v>6</v>
      </c>
      <c r="BH180" s="786">
        <f t="shared" si="54"/>
        <v>28891.666666666668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62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62</v>
      </c>
      <c r="P181" s="230">
        <f t="shared" si="65"/>
        <v>3100</v>
      </c>
      <c r="Q181" s="230">
        <f t="shared" si="66"/>
        <v>38050</v>
      </c>
      <c r="R181" s="205"/>
      <c r="S181" s="205"/>
      <c r="T181" s="230">
        <f t="shared" si="56"/>
        <v>3459.090909090909</v>
      </c>
      <c r="U181" s="869">
        <f t="shared" si="55"/>
        <v>0.89618922470433637</v>
      </c>
      <c r="V181" s="870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>
        <v>0</v>
      </c>
      <c r="AI181" s="314">
        <v>0</v>
      </c>
      <c r="AJ181" s="314"/>
      <c r="AK181" s="314">
        <v>0</v>
      </c>
      <c r="AL181" s="314">
        <v>0</v>
      </c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69">
        <f>IF(T182=0,0,P182/T182)</f>
        <v>0</v>
      </c>
      <c r="V182" s="870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>
        <v>0</v>
      </c>
      <c r="AI182" s="314">
        <v>0</v>
      </c>
      <c r="AJ182" s="314"/>
      <c r="AK182" s="314">
        <v>0</v>
      </c>
      <c r="AL182" s="314">
        <v>0</v>
      </c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514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190</v>
      </c>
      <c r="J183" s="230"/>
      <c r="K183" s="230"/>
      <c r="L183" s="230">
        <f>SUMIF(data!$D:$D,INTGRATE!$B183&amp;INTGRATE!$D183,data!$K:$K)</f>
        <v>9500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324</v>
      </c>
      <c r="P183" s="230">
        <f t="shared" si="65"/>
        <v>16200</v>
      </c>
      <c r="Q183" s="230">
        <f t="shared" si="66"/>
        <v>27600</v>
      </c>
      <c r="R183" s="205"/>
      <c r="S183" s="205"/>
      <c r="T183" s="230">
        <f t="shared" si="56"/>
        <v>2509.090909090909</v>
      </c>
      <c r="U183" s="869">
        <f t="shared" si="55"/>
        <v>6.4565217391304346</v>
      </c>
      <c r="V183" s="870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>
        <v>0</v>
      </c>
      <c r="AI183" s="314">
        <v>0</v>
      </c>
      <c r="AJ183" s="314"/>
      <c r="AK183" s="314">
        <v>2000</v>
      </c>
      <c r="AL183" s="314">
        <v>9500</v>
      </c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27600</v>
      </c>
      <c r="BG183" s="786">
        <f t="shared" si="53"/>
        <v>4</v>
      </c>
      <c r="BH183" s="786">
        <f t="shared" si="54"/>
        <v>6900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69">
        <f t="shared" si="55"/>
        <v>0</v>
      </c>
      <c r="V184" s="870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>
        <v>0</v>
      </c>
      <c r="AI184" s="314">
        <v>0</v>
      </c>
      <c r="AJ184" s="314"/>
      <c r="AK184" s="314">
        <v>0</v>
      </c>
      <c r="AL184" s="314">
        <v>0</v>
      </c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69">
        <f>IF(T185=0,0,P185/T185)</f>
        <v>0</v>
      </c>
      <c r="V185" s="870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>
        <v>0</v>
      </c>
      <c r="AI185" s="314">
        <v>0</v>
      </c>
      <c r="AJ185" s="314"/>
      <c r="AK185" s="314">
        <v>0</v>
      </c>
      <c r="AL185" s="314">
        <v>0</v>
      </c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69">
        <f t="shared" ref="U186:U193" si="78">IF(T186=0,0,P186/T186)</f>
        <v>0</v>
      </c>
      <c r="V186" s="870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>
        <v>0</v>
      </c>
      <c r="AI186" s="314">
        <v>0</v>
      </c>
      <c r="AJ186" s="314"/>
      <c r="AK186" s="314">
        <v>0</v>
      </c>
      <c r="AL186" s="314">
        <v>0</v>
      </c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368</v>
      </c>
      <c r="F187" s="100">
        <f>SUMIF(pro!$A:$A,INTGRATE!$Y:$Y,pro!$N:$N)</f>
        <v>81</v>
      </c>
      <c r="G187" s="230"/>
      <c r="H187" s="314">
        <f>SUMIF(CBIN!$A:$A,INTGRATE!$Y:$Y,CBIN!$G:$G)</f>
        <v>0</v>
      </c>
      <c r="I187" s="230">
        <f>SUMIF(data!$D:$D,INTGRATE!$B187&amp;INTGRATE!$D187,data!$J:$J)</f>
        <v>0</v>
      </c>
      <c r="J187" s="230"/>
      <c r="K187" s="230"/>
      <c r="L187" s="230">
        <f>SUMIF(data!$D:$D,INTGRATE!$B187&amp;INTGRATE!$D187,data!$K:$K)</f>
        <v>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449</v>
      </c>
      <c r="P187" s="230">
        <f t="shared" si="65"/>
        <v>22450</v>
      </c>
      <c r="Q187" s="230">
        <f t="shared" si="74"/>
        <v>119950</v>
      </c>
      <c r="R187" s="205"/>
      <c r="S187" s="205"/>
      <c r="T187" s="230">
        <f t="shared" si="75"/>
        <v>10904.545454545454</v>
      </c>
      <c r="U187" s="869">
        <f t="shared" si="78"/>
        <v>2.0587744893705713</v>
      </c>
      <c r="V187" s="870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>
        <v>15500</v>
      </c>
      <c r="AI187" s="314">
        <v>0</v>
      </c>
      <c r="AJ187" s="314"/>
      <c r="AK187" s="314">
        <v>9000</v>
      </c>
      <c r="AL187" s="314">
        <v>0</v>
      </c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119950</v>
      </c>
      <c r="BG187" s="786">
        <f t="shared" si="76"/>
        <v>6</v>
      </c>
      <c r="BH187" s="786">
        <f t="shared" si="77"/>
        <v>19991.666666666668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2285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460</v>
      </c>
      <c r="J188" s="230"/>
      <c r="K188" s="230"/>
      <c r="L188" s="230">
        <f>SUMIF(data!$D:$D,INTGRATE!$B188&amp;INTGRATE!$D188,data!$K:$K)</f>
        <v>23000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1825</v>
      </c>
      <c r="P188" s="230">
        <f>O188*D188</f>
        <v>91250</v>
      </c>
      <c r="Q188" s="230">
        <f t="shared" si="74"/>
        <v>85100</v>
      </c>
      <c r="R188" s="205"/>
      <c r="S188" s="205"/>
      <c r="T188" s="230">
        <f t="shared" si="75"/>
        <v>7736.363636363636</v>
      </c>
      <c r="U188" s="869">
        <f>IF(T188=0,0,P188/T188)</f>
        <v>11.794947121034077</v>
      </c>
      <c r="V188" s="870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>
        <v>0</v>
      </c>
      <c r="AI188" s="314">
        <v>16800</v>
      </c>
      <c r="AJ188" s="314"/>
      <c r="AK188" s="314">
        <v>3650</v>
      </c>
      <c r="AL188" s="314">
        <v>23000</v>
      </c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85100</v>
      </c>
      <c r="BG188" s="786">
        <f t="shared" si="76"/>
        <v>7</v>
      </c>
      <c r="BH188" s="786">
        <f t="shared" si="77"/>
        <v>12157.142857142857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21</v>
      </c>
      <c r="F189" s="100">
        <f>SUMIF(pro!$A:$A,INTGRATE!$Y:$Y,pro!$N:$N)</f>
        <v>226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247</v>
      </c>
      <c r="P189" s="230">
        <f>O189*D189</f>
        <v>12350</v>
      </c>
      <c r="Q189" s="230">
        <f>SUM(AA189:BE189)</f>
        <v>11350</v>
      </c>
      <c r="R189" s="205"/>
      <c r="S189" s="205"/>
      <c r="T189" s="230">
        <f t="shared" si="75"/>
        <v>1031.8181818181818</v>
      </c>
      <c r="U189" s="869">
        <f>IF(T189=0,0,P189/T189)</f>
        <v>11.969162995594715</v>
      </c>
      <c r="V189" s="870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>
        <v>0</v>
      </c>
      <c r="AI189" s="314">
        <v>0</v>
      </c>
      <c r="AJ189" s="314"/>
      <c r="AK189" s="314">
        <v>5000</v>
      </c>
      <c r="AL189" s="314">
        <v>0</v>
      </c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11350</v>
      </c>
      <c r="BG189" s="786">
        <f t="shared" si="76"/>
        <v>2</v>
      </c>
      <c r="BH189" s="786">
        <f t="shared" si="77"/>
        <v>5675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69">
        <f t="shared" si="78"/>
        <v>0</v>
      </c>
      <c r="V190" s="870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>
        <v>0</v>
      </c>
      <c r="AI190" s="314">
        <v>0</v>
      </c>
      <c r="AJ190" s="314"/>
      <c r="AK190" s="314">
        <v>0</v>
      </c>
      <c r="AL190" s="314">
        <v>0</v>
      </c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69">
        <f t="shared" si="78"/>
        <v>0</v>
      </c>
      <c r="V191" s="870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>
        <v>0</v>
      </c>
      <c r="AI191" s="314">
        <v>0</v>
      </c>
      <c r="AJ191" s="314"/>
      <c r="AK191" s="314">
        <v>0</v>
      </c>
      <c r="AL191" s="314">
        <v>0</v>
      </c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69">
        <f t="shared" si="78"/>
        <v>0</v>
      </c>
      <c r="V192" s="870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>
        <v>0</v>
      </c>
      <c r="AI192" s="314">
        <v>0</v>
      </c>
      <c r="AJ192" s="314"/>
      <c r="AK192" s="314">
        <v>0</v>
      </c>
      <c r="AL192" s="314">
        <v>0</v>
      </c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69">
        <f t="shared" si="78"/>
        <v>0</v>
      </c>
      <c r="V193" s="870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>
        <v>0</v>
      </c>
      <c r="AI193" s="314">
        <v>0</v>
      </c>
      <c r="AJ193" s="314"/>
      <c r="AK193" s="314">
        <v>0</v>
      </c>
      <c r="AL193" s="314">
        <v>0</v>
      </c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69">
        <f>IF(T194=0,0,P194/T194)</f>
        <v>0</v>
      </c>
      <c r="V194" s="870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>
        <v>0</v>
      </c>
      <c r="AI194" s="314">
        <v>0</v>
      </c>
      <c r="AJ194" s="314"/>
      <c r="AK194" s="314">
        <v>0</v>
      </c>
      <c r="AL194" s="314">
        <v>0</v>
      </c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69">
        <f t="shared" si="55"/>
        <v>0</v>
      </c>
      <c r="V195" s="870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>
        <v>0</v>
      </c>
      <c r="AI195" s="314">
        <v>0</v>
      </c>
      <c r="AJ195" s="314"/>
      <c r="AK195" s="314">
        <v>0</v>
      </c>
      <c r="AL195" s="314">
        <v>0</v>
      </c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69">
        <f t="shared" si="55"/>
        <v>0</v>
      </c>
      <c r="V196" s="870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>
        <v>0</v>
      </c>
      <c r="AI196" s="314">
        <v>0</v>
      </c>
      <c r="AJ196" s="314"/>
      <c r="AK196" s="314">
        <v>0</v>
      </c>
      <c r="AL196" s="314">
        <v>0</v>
      </c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69">
        <f t="shared" ref="U197:U260" si="80">IF(T197=0,0,P197/T197)</f>
        <v>0</v>
      </c>
      <c r="V197" s="870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>
        <v>0</v>
      </c>
      <c r="AI197" s="314">
        <v>0</v>
      </c>
      <c r="AJ197" s="314"/>
      <c r="AK197" s="314">
        <v>0</v>
      </c>
      <c r="AL197" s="314">
        <v>0</v>
      </c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69">
        <f t="shared" si="80"/>
        <v>0</v>
      </c>
      <c r="V198" s="870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>
        <v>0</v>
      </c>
      <c r="AI198" s="314">
        <v>0</v>
      </c>
      <c r="AJ198" s="314"/>
      <c r="AK198" s="314">
        <v>0</v>
      </c>
      <c r="AL198" s="314">
        <v>0</v>
      </c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69">
        <f t="shared" si="80"/>
        <v>0</v>
      </c>
      <c r="V199" s="870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>
        <v>0</v>
      </c>
      <c r="AI199" s="314">
        <v>0</v>
      </c>
      <c r="AJ199" s="314"/>
      <c r="AK199" s="314">
        <v>0</v>
      </c>
      <c r="AL199" s="314">
        <v>0</v>
      </c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69">
        <f t="shared" si="80"/>
        <v>0</v>
      </c>
      <c r="V200" s="870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>
        <v>0</v>
      </c>
      <c r="AI200" s="314">
        <v>0</v>
      </c>
      <c r="AJ200" s="314"/>
      <c r="AK200" s="314">
        <v>0</v>
      </c>
      <c r="AL200" s="314">
        <v>0</v>
      </c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69">
        <f t="shared" si="80"/>
        <v>0</v>
      </c>
      <c r="V201" s="870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>
        <v>0</v>
      </c>
      <c r="AI201" s="314">
        <v>0</v>
      </c>
      <c r="AJ201" s="314"/>
      <c r="AK201" s="314">
        <v>0</v>
      </c>
      <c r="AL201" s="314">
        <v>0</v>
      </c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1320</v>
      </c>
      <c r="U202" s="869">
        <f t="shared" si="80"/>
        <v>0</v>
      </c>
      <c r="V202" s="870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>
        <v>0</v>
      </c>
      <c r="AI202" s="314">
        <v>0</v>
      </c>
      <c r="AJ202" s="314"/>
      <c r="AK202" s="314">
        <v>0</v>
      </c>
      <c r="AL202" s="314">
        <v>0</v>
      </c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1924.5454545454545</v>
      </c>
      <c r="U203" s="869">
        <f t="shared" si="80"/>
        <v>0</v>
      </c>
      <c r="V203" s="870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>
        <v>0</v>
      </c>
      <c r="AI203" s="314">
        <v>0</v>
      </c>
      <c r="AJ203" s="314"/>
      <c r="AK203" s="314">
        <v>0</v>
      </c>
      <c r="AL203" s="314">
        <v>0</v>
      </c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69">
        <f t="shared" si="80"/>
        <v>0</v>
      </c>
      <c r="V204" s="870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>
        <v>0</v>
      </c>
      <c r="AI204" s="314">
        <v>0</v>
      </c>
      <c r="AJ204" s="314"/>
      <c r="AK204" s="314">
        <v>0</v>
      </c>
      <c r="AL204" s="314">
        <v>0</v>
      </c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69">
        <f t="shared" si="80"/>
        <v>0</v>
      </c>
      <c r="V205" s="870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>
        <v>0</v>
      </c>
      <c r="AI205" s="314">
        <v>0</v>
      </c>
      <c r="AJ205" s="314"/>
      <c r="AK205" s="314">
        <v>0</v>
      </c>
      <c r="AL205" s="314">
        <v>0</v>
      </c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69">
        <f t="shared" si="80"/>
        <v>0</v>
      </c>
      <c r="V206" s="870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>
        <v>0</v>
      </c>
      <c r="AI206" s="314">
        <v>0</v>
      </c>
      <c r="AJ206" s="314"/>
      <c r="AK206" s="314">
        <v>0</v>
      </c>
      <c r="AL206" s="314">
        <v>0</v>
      </c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69">
        <f t="shared" si="80"/>
        <v>0</v>
      </c>
      <c r="V207" s="870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>
        <v>0</v>
      </c>
      <c r="AI207" s="314">
        <v>0</v>
      </c>
      <c r="AJ207" s="314"/>
      <c r="AK207" s="314">
        <v>0</v>
      </c>
      <c r="AL207" s="314">
        <v>0</v>
      </c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69">
        <f t="shared" si="80"/>
        <v>0</v>
      </c>
      <c r="V208" s="870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>
        <v>0</v>
      </c>
      <c r="AI208" s="314">
        <v>0</v>
      </c>
      <c r="AJ208" s="314"/>
      <c r="AK208" s="314">
        <v>0</v>
      </c>
      <c r="AL208" s="314">
        <v>0</v>
      </c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69">
        <f t="shared" si="80"/>
        <v>0</v>
      </c>
      <c r="V209" s="870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>
        <v>0</v>
      </c>
      <c r="AI209" s="314">
        <v>0</v>
      </c>
      <c r="AJ209" s="314"/>
      <c r="AK209" s="314">
        <v>0</v>
      </c>
      <c r="AL209" s="314">
        <v>0</v>
      </c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69">
        <f t="shared" si="80"/>
        <v>0</v>
      </c>
      <c r="V210" s="870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>
        <v>0</v>
      </c>
      <c r="AI210" s="314">
        <v>0</v>
      </c>
      <c r="AJ210" s="314"/>
      <c r="AK210" s="314">
        <v>0</v>
      </c>
      <c r="AL210" s="314">
        <v>0</v>
      </c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14920</v>
      </c>
      <c r="G211" s="1185"/>
      <c r="H211" s="314"/>
      <c r="I211" s="230"/>
      <c r="J211" s="230"/>
      <c r="K211" s="230"/>
      <c r="L211" s="230">
        <f>SUMIF(data!$D:$D,INTGRATE!$B211&amp;INTGRATE!$D211,data!$K:$K)</f>
        <v>14920</v>
      </c>
      <c r="M211" s="314"/>
      <c r="N211" s="100"/>
      <c r="O211" s="482"/>
      <c r="P211" s="230"/>
      <c r="Q211" s="350">
        <f t="shared" si="74"/>
        <v>44540</v>
      </c>
      <c r="R211" s="205"/>
      <c r="S211" s="205"/>
      <c r="T211" s="345">
        <f t="shared" si="75"/>
        <v>4049.090909090909</v>
      </c>
      <c r="U211" s="869">
        <f t="shared" si="80"/>
        <v>0</v>
      </c>
      <c r="V211" s="870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>
        <v>0</v>
      </c>
      <c r="AI211" s="314">
        <v>29620</v>
      </c>
      <c r="AJ211" s="314"/>
      <c r="AK211" s="314">
        <v>0</v>
      </c>
      <c r="AL211" s="314">
        <v>14920</v>
      </c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44540</v>
      </c>
      <c r="BG211" s="786">
        <f t="shared" si="76"/>
        <v>2</v>
      </c>
      <c r="BH211" s="786">
        <f t="shared" si="77"/>
        <v>22270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2290.909090909091</v>
      </c>
      <c r="U212" s="869">
        <f t="shared" si="80"/>
        <v>0</v>
      </c>
      <c r="V212" s="870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>
        <v>0</v>
      </c>
      <c r="AI212" s="314">
        <v>0</v>
      </c>
      <c r="AJ212" s="314"/>
      <c r="AK212" s="314">
        <v>0</v>
      </c>
      <c r="AL212" s="314">
        <v>0</v>
      </c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69">
        <f t="shared" si="80"/>
        <v>0</v>
      </c>
      <c r="V213" s="870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>
        <v>0</v>
      </c>
      <c r="AI213" s="314">
        <v>0</v>
      </c>
      <c r="AJ213" s="314"/>
      <c r="AK213" s="314">
        <v>0</v>
      </c>
      <c r="AL213" s="314">
        <v>0</v>
      </c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69">
        <f t="shared" si="80"/>
        <v>0</v>
      </c>
      <c r="V214" s="870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>
        <v>0</v>
      </c>
      <c r="AI214" s="314">
        <v>0</v>
      </c>
      <c r="AJ214" s="314"/>
      <c r="AK214" s="314">
        <v>0</v>
      </c>
      <c r="AL214" s="314">
        <v>0</v>
      </c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69">
        <f t="shared" si="80"/>
        <v>0</v>
      </c>
      <c r="V215" s="870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>
        <v>0</v>
      </c>
      <c r="AI215" s="314">
        <v>0</v>
      </c>
      <c r="AJ215" s="314"/>
      <c r="AK215" s="314">
        <v>0</v>
      </c>
      <c r="AL215" s="314">
        <v>0</v>
      </c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14430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14430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43390</v>
      </c>
      <c r="R216" s="205"/>
      <c r="S216" s="205"/>
      <c r="T216" s="345">
        <f t="shared" ref="T216:T247" si="83">Q216/$N$293</f>
        <v>3944.5454545454545</v>
      </c>
      <c r="U216" s="869">
        <f t="shared" si="80"/>
        <v>0</v>
      </c>
      <c r="V216" s="870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>
        <v>0</v>
      </c>
      <c r="AI216" s="314">
        <v>0</v>
      </c>
      <c r="AJ216" s="314"/>
      <c r="AK216" s="314">
        <v>0</v>
      </c>
      <c r="AL216" s="314">
        <v>14430</v>
      </c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43390</v>
      </c>
      <c r="BG216" s="786">
        <f t="shared" si="76"/>
        <v>3</v>
      </c>
      <c r="BH216" s="786">
        <f t="shared" si="77"/>
        <v>14463.333333333334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1220240</v>
      </c>
      <c r="R217" s="205"/>
      <c r="S217" s="205"/>
      <c r="T217" s="345">
        <f t="shared" si="83"/>
        <v>110930.90909090909</v>
      </c>
      <c r="U217" s="869">
        <f t="shared" si="80"/>
        <v>0</v>
      </c>
      <c r="V217" s="870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>
        <v>250190</v>
      </c>
      <c r="AI217" s="314">
        <v>161170</v>
      </c>
      <c r="AJ217" s="314"/>
      <c r="AK217" s="314">
        <v>15290</v>
      </c>
      <c r="AL217" s="314">
        <v>0</v>
      </c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1220240</v>
      </c>
      <c r="BG217" s="786">
        <f t="shared" si="76"/>
        <v>8</v>
      </c>
      <c r="BH217" s="786">
        <f t="shared" si="77"/>
        <v>152530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69">
        <f t="shared" si="80"/>
        <v>0</v>
      </c>
      <c r="V218" s="870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>
        <v>0</v>
      </c>
      <c r="AI218" s="314">
        <v>0</v>
      </c>
      <c r="AJ218" s="314"/>
      <c r="AK218" s="314">
        <v>0</v>
      </c>
      <c r="AL218" s="314">
        <v>0</v>
      </c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69">
        <f t="shared" si="80"/>
        <v>0</v>
      </c>
      <c r="V219" s="870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>
        <v>0</v>
      </c>
      <c r="AI219" s="314">
        <v>0</v>
      </c>
      <c r="AJ219" s="314"/>
      <c r="AK219" s="314">
        <v>0</v>
      </c>
      <c r="AL219" s="314">
        <v>0</v>
      </c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69">
        <f t="shared" si="80"/>
        <v>0</v>
      </c>
      <c r="V220" s="870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>
        <v>0</v>
      </c>
      <c r="AI220" s="314">
        <v>0</v>
      </c>
      <c r="AJ220" s="314"/>
      <c r="AK220" s="314">
        <v>0</v>
      </c>
      <c r="AL220" s="314">
        <v>0</v>
      </c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69">
        <f>IF(T221=0,0,P221/T221)</f>
        <v>0</v>
      </c>
      <c r="V221" s="870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>
        <v>0</v>
      </c>
      <c r="AI221" s="314">
        <v>0</v>
      </c>
      <c r="AJ221" s="314"/>
      <c r="AK221" s="314">
        <v>0</v>
      </c>
      <c r="AL221" s="314">
        <v>0</v>
      </c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279530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279530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945200</v>
      </c>
      <c r="R222" s="205"/>
      <c r="S222" s="205"/>
      <c r="T222" s="345">
        <f t="shared" si="83"/>
        <v>85927.272727272721</v>
      </c>
      <c r="U222" s="869">
        <f t="shared" si="80"/>
        <v>0</v>
      </c>
      <c r="V222" s="870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>
        <v>0</v>
      </c>
      <c r="AI222" s="314">
        <v>0</v>
      </c>
      <c r="AJ222" s="314"/>
      <c r="AK222" s="314">
        <v>256930</v>
      </c>
      <c r="AL222" s="314">
        <v>279530</v>
      </c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945200</v>
      </c>
      <c r="BG222" s="786">
        <f t="shared" si="76"/>
        <v>4</v>
      </c>
      <c r="BH222" s="786">
        <f t="shared" si="77"/>
        <v>236300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567400</v>
      </c>
      <c r="R223" s="205"/>
      <c r="S223" s="205"/>
      <c r="T223" s="345">
        <f t="shared" si="83"/>
        <v>51581.818181818184</v>
      </c>
      <c r="U223" s="869">
        <f t="shared" si="80"/>
        <v>0</v>
      </c>
      <c r="V223" s="870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>
        <v>102660</v>
      </c>
      <c r="AI223" s="314">
        <v>90090</v>
      </c>
      <c r="AJ223" s="314"/>
      <c r="AK223" s="314">
        <v>0</v>
      </c>
      <c r="AL223" s="314">
        <v>0</v>
      </c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567400</v>
      </c>
      <c r="BG223" s="786">
        <f t="shared" si="76"/>
        <v>7</v>
      </c>
      <c r="BH223" s="786">
        <f t="shared" si="77"/>
        <v>81057.142857142855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69">
        <f t="shared" si="80"/>
        <v>0</v>
      </c>
      <c r="V224" s="870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>
        <v>0</v>
      </c>
      <c r="AI224" s="314">
        <v>0</v>
      </c>
      <c r="AJ224" s="314"/>
      <c r="AK224" s="314">
        <v>0</v>
      </c>
      <c r="AL224" s="314">
        <v>0</v>
      </c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69">
        <f t="shared" si="80"/>
        <v>0</v>
      </c>
      <c r="V225" s="870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>
        <v>0</v>
      </c>
      <c r="AI225" s="314">
        <v>0</v>
      </c>
      <c r="AJ225" s="314"/>
      <c r="AK225" s="314">
        <v>0</v>
      </c>
      <c r="AL225" s="314">
        <v>0</v>
      </c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69">
        <f t="shared" si="80"/>
        <v>0</v>
      </c>
      <c r="V226" s="870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>
        <v>0</v>
      </c>
      <c r="AI226" s="314">
        <v>0</v>
      </c>
      <c r="AJ226" s="314"/>
      <c r="AK226" s="314">
        <v>0</v>
      </c>
      <c r="AL226" s="314">
        <v>0</v>
      </c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69">
        <f t="shared" si="80"/>
        <v>0</v>
      </c>
      <c r="V227" s="870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>
        <v>0</v>
      </c>
      <c r="AI227" s="314">
        <v>0</v>
      </c>
      <c r="AJ227" s="314"/>
      <c r="AK227" s="314">
        <v>0</v>
      </c>
      <c r="AL227" s="314">
        <v>0</v>
      </c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69">
        <f t="shared" si="80"/>
        <v>0</v>
      </c>
      <c r="V228" s="870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>
        <v>0</v>
      </c>
      <c r="AI228" s="314">
        <v>0</v>
      </c>
      <c r="AJ228" s="314"/>
      <c r="AK228" s="314">
        <v>0</v>
      </c>
      <c r="AL228" s="314">
        <v>0</v>
      </c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69">
        <f t="shared" si="80"/>
        <v>0</v>
      </c>
      <c r="V229" s="870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>
        <v>0</v>
      </c>
      <c r="AI229" s="314">
        <v>0</v>
      </c>
      <c r="AJ229" s="314"/>
      <c r="AK229" s="314">
        <v>0</v>
      </c>
      <c r="AL229" s="314">
        <v>0</v>
      </c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69">
        <f t="shared" si="80"/>
        <v>0</v>
      </c>
      <c r="V230" s="870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>
        <v>0</v>
      </c>
      <c r="AI230" s="314">
        <v>0</v>
      </c>
      <c r="AJ230" s="314"/>
      <c r="AK230" s="314">
        <v>0</v>
      </c>
      <c r="AL230" s="314">
        <v>0</v>
      </c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69">
        <f t="shared" si="80"/>
        <v>0</v>
      </c>
      <c r="V231" s="870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>
        <v>0</v>
      </c>
      <c r="AI231" s="314">
        <v>0</v>
      </c>
      <c r="AJ231" s="314"/>
      <c r="AK231" s="314">
        <v>0</v>
      </c>
      <c r="AL231" s="314">
        <v>0</v>
      </c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69">
        <f>IF(T232=0,0,P232/T232)</f>
        <v>0</v>
      </c>
      <c r="V232" s="870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>
        <v>0</v>
      </c>
      <c r="AI232" s="314">
        <v>0</v>
      </c>
      <c r="AJ232" s="314"/>
      <c r="AK232" s="314">
        <v>0</v>
      </c>
      <c r="AL232" s="314">
        <v>0</v>
      </c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45230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45230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344010</v>
      </c>
      <c r="R233" s="205"/>
      <c r="S233" s="205"/>
      <c r="T233" s="345">
        <f t="shared" si="83"/>
        <v>31273.636363636364</v>
      </c>
      <c r="U233" s="869">
        <f t="shared" si="80"/>
        <v>0</v>
      </c>
      <c r="V233" s="870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>
        <v>0</v>
      </c>
      <c r="AI233" s="314">
        <v>0</v>
      </c>
      <c r="AJ233" s="314"/>
      <c r="AK233" s="314">
        <v>58910</v>
      </c>
      <c r="AL233" s="314">
        <v>45230</v>
      </c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344010</v>
      </c>
      <c r="BG233" s="786">
        <f t="shared" si="76"/>
        <v>4</v>
      </c>
      <c r="BH233" s="786">
        <f t="shared" si="77"/>
        <v>86002.5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69">
        <f t="shared" si="80"/>
        <v>0</v>
      </c>
      <c r="V234" s="870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>
        <v>0</v>
      </c>
      <c r="AI234" s="314">
        <v>0</v>
      </c>
      <c r="AJ234" s="314"/>
      <c r="AK234" s="314">
        <v>0</v>
      </c>
      <c r="AL234" s="314">
        <v>0</v>
      </c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69">
        <f t="shared" si="80"/>
        <v>0</v>
      </c>
      <c r="V235" s="870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>
        <v>0</v>
      </c>
      <c r="AI235" s="314">
        <v>0</v>
      </c>
      <c r="AJ235" s="314"/>
      <c r="AK235" s="314">
        <v>0</v>
      </c>
      <c r="AL235" s="314">
        <v>0</v>
      </c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31090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31090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99790</v>
      </c>
      <c r="R236" s="205"/>
      <c r="S236" s="205"/>
      <c r="T236" s="345">
        <f t="shared" si="83"/>
        <v>9071.818181818182</v>
      </c>
      <c r="U236" s="869">
        <f t="shared" si="80"/>
        <v>0</v>
      </c>
      <c r="V236" s="870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>
        <v>0</v>
      </c>
      <c r="AI236" s="314">
        <v>0</v>
      </c>
      <c r="AJ236" s="314"/>
      <c r="AK236" s="314">
        <v>14690</v>
      </c>
      <c r="AL236" s="314">
        <v>31090</v>
      </c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99790</v>
      </c>
      <c r="BG236" s="786">
        <f t="shared" si="76"/>
        <v>6</v>
      </c>
      <c r="BH236" s="786">
        <f t="shared" si="77"/>
        <v>16631.666666666668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69">
        <f t="shared" si="80"/>
        <v>0</v>
      </c>
      <c r="V237" s="870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>
        <v>0</v>
      </c>
      <c r="AI237" s="314">
        <v>0</v>
      </c>
      <c r="AJ237" s="314"/>
      <c r="AK237" s="314">
        <v>0</v>
      </c>
      <c r="AL237" s="314">
        <v>0</v>
      </c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69">
        <f t="shared" si="80"/>
        <v>0</v>
      </c>
      <c r="V238" s="870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>
        <v>0</v>
      </c>
      <c r="AI238" s="314">
        <v>0</v>
      </c>
      <c r="AJ238" s="314"/>
      <c r="AK238" s="314">
        <v>0</v>
      </c>
      <c r="AL238" s="314">
        <v>0</v>
      </c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69">
        <f t="shared" si="80"/>
        <v>0</v>
      </c>
      <c r="V239" s="870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>
        <v>0</v>
      </c>
      <c r="AI239" s="314">
        <v>0</v>
      </c>
      <c r="AJ239" s="314"/>
      <c r="AK239" s="314">
        <v>0</v>
      </c>
      <c r="AL239" s="314">
        <v>0</v>
      </c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69">
        <f t="shared" si="80"/>
        <v>0</v>
      </c>
      <c r="V240" s="870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>
        <v>0</v>
      </c>
      <c r="AI240" s="314">
        <v>0</v>
      </c>
      <c r="AJ240" s="314"/>
      <c r="AK240" s="314">
        <v>0</v>
      </c>
      <c r="AL240" s="314">
        <v>0</v>
      </c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69">
        <f t="shared" si="80"/>
        <v>0</v>
      </c>
      <c r="V241" s="870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>
        <v>0</v>
      </c>
      <c r="AI241" s="314">
        <v>0</v>
      </c>
      <c r="AJ241" s="314"/>
      <c r="AK241" s="314">
        <v>0</v>
      </c>
      <c r="AL241" s="314">
        <v>0</v>
      </c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69">
        <f t="shared" si="80"/>
        <v>0</v>
      </c>
      <c r="V242" s="870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>
        <v>0</v>
      </c>
      <c r="AI242" s="314">
        <v>0</v>
      </c>
      <c r="AJ242" s="314"/>
      <c r="AK242" s="314">
        <v>0</v>
      </c>
      <c r="AL242" s="314">
        <v>0</v>
      </c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69">
        <f t="shared" si="80"/>
        <v>0</v>
      </c>
      <c r="V243" s="870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>
        <v>0</v>
      </c>
      <c r="AI243" s="314">
        <v>0</v>
      </c>
      <c r="AJ243" s="314"/>
      <c r="AK243" s="314">
        <v>0</v>
      </c>
      <c r="AL243" s="314">
        <v>0</v>
      </c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403130</v>
      </c>
      <c r="R244" s="205"/>
      <c r="S244" s="205"/>
      <c r="T244" s="345">
        <f t="shared" si="83"/>
        <v>36648.181818181816</v>
      </c>
      <c r="U244" s="869">
        <f t="shared" si="80"/>
        <v>0</v>
      </c>
      <c r="V244" s="870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>
        <v>46080</v>
      </c>
      <c r="AI244" s="314">
        <v>14740</v>
      </c>
      <c r="AJ244" s="314"/>
      <c r="AK244" s="314">
        <v>14090</v>
      </c>
      <c r="AL244" s="314">
        <v>0</v>
      </c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403130</v>
      </c>
      <c r="BG244" s="786">
        <f t="shared" si="76"/>
        <v>7</v>
      </c>
      <c r="BH244" s="786">
        <f t="shared" si="77"/>
        <v>57590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69">
        <f t="shared" si="80"/>
        <v>0</v>
      </c>
      <c r="V245" s="870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>
        <v>0</v>
      </c>
      <c r="AI245" s="314">
        <v>0</v>
      </c>
      <c r="AJ245" s="314"/>
      <c r="AK245" s="314">
        <v>0</v>
      </c>
      <c r="AL245" s="314">
        <v>0</v>
      </c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69">
        <f t="shared" si="80"/>
        <v>0</v>
      </c>
      <c r="V246" s="870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>
        <v>0</v>
      </c>
      <c r="AI246" s="314">
        <v>0</v>
      </c>
      <c r="AJ246" s="314"/>
      <c r="AK246" s="314">
        <v>0</v>
      </c>
      <c r="AL246" s="314">
        <v>0</v>
      </c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69">
        <f t="shared" si="80"/>
        <v>0</v>
      </c>
      <c r="V247" s="870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>
        <v>0</v>
      </c>
      <c r="AI247" s="314">
        <v>0</v>
      </c>
      <c r="AJ247" s="314"/>
      <c r="AK247" s="314">
        <v>0</v>
      </c>
      <c r="AL247" s="314">
        <v>0</v>
      </c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57910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57910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201930</v>
      </c>
      <c r="R248" s="205"/>
      <c r="S248" s="205"/>
      <c r="T248" s="345">
        <f t="shared" ref="T248:T260" si="87">Q248/$N$293</f>
        <v>18357.272727272728</v>
      </c>
      <c r="U248" s="869">
        <f t="shared" si="80"/>
        <v>0</v>
      </c>
      <c r="V248" s="870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>
        <v>0</v>
      </c>
      <c r="AI248" s="314">
        <v>0</v>
      </c>
      <c r="AJ248" s="314"/>
      <c r="AK248" s="314">
        <v>86680</v>
      </c>
      <c r="AL248" s="314">
        <v>57910</v>
      </c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201930</v>
      </c>
      <c r="BG248" s="786">
        <f t="shared" si="76"/>
        <v>3</v>
      </c>
      <c r="BH248" s="786">
        <f t="shared" si="77"/>
        <v>67310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69">
        <f t="shared" si="80"/>
        <v>0</v>
      </c>
      <c r="V249" s="870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>
        <v>0</v>
      </c>
      <c r="AI249" s="314">
        <v>0</v>
      </c>
      <c r="AJ249" s="314"/>
      <c r="AK249" s="314">
        <v>0</v>
      </c>
      <c r="AL249" s="314">
        <v>0</v>
      </c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69">
        <f t="shared" si="80"/>
        <v>0</v>
      </c>
      <c r="V250" s="870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>
        <v>0</v>
      </c>
      <c r="AI250" s="314">
        <v>0</v>
      </c>
      <c r="AJ250" s="314"/>
      <c r="AK250" s="314">
        <v>0</v>
      </c>
      <c r="AL250" s="314">
        <v>0</v>
      </c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475000</v>
      </c>
      <c r="R251" s="205"/>
      <c r="S251" s="205"/>
      <c r="T251" s="345">
        <f t="shared" si="87"/>
        <v>43181.818181818184</v>
      </c>
      <c r="U251" s="869">
        <f t="shared" si="80"/>
        <v>0</v>
      </c>
      <c r="V251" s="870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>
        <v>50630</v>
      </c>
      <c r="AI251" s="314">
        <v>57480</v>
      </c>
      <c r="AJ251" s="314"/>
      <c r="AK251" s="314">
        <v>0</v>
      </c>
      <c r="AL251" s="314">
        <v>0</v>
      </c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475000</v>
      </c>
      <c r="BG251" s="786">
        <f t="shared" si="88"/>
        <v>6</v>
      </c>
      <c r="BH251" s="786">
        <f t="shared" si="89"/>
        <v>79166.666666666672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69">
        <f t="shared" si="80"/>
        <v>0</v>
      </c>
      <c r="V252" s="870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>
        <v>0</v>
      </c>
      <c r="AI252" s="314">
        <v>0</v>
      </c>
      <c r="AJ252" s="314"/>
      <c r="AK252" s="314">
        <v>0</v>
      </c>
      <c r="AL252" s="314">
        <v>0</v>
      </c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31770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31770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217710</v>
      </c>
      <c r="R253" s="205"/>
      <c r="S253" s="205"/>
      <c r="T253" s="345">
        <f t="shared" si="87"/>
        <v>19791.81818181818</v>
      </c>
      <c r="U253" s="869">
        <f t="shared" si="80"/>
        <v>0</v>
      </c>
      <c r="V253" s="870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>
        <v>0</v>
      </c>
      <c r="AI253" s="314">
        <v>0</v>
      </c>
      <c r="AJ253" s="314"/>
      <c r="AK253" s="314">
        <v>70930</v>
      </c>
      <c r="AL253" s="314">
        <v>31770</v>
      </c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217710</v>
      </c>
      <c r="BG253" s="786">
        <f t="shared" si="88"/>
        <v>4</v>
      </c>
      <c r="BH253" s="786">
        <f t="shared" si="89"/>
        <v>54427.5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29720</v>
      </c>
      <c r="G254" s="1185"/>
      <c r="H254" s="314"/>
      <c r="I254" s="230"/>
      <c r="J254" s="230"/>
      <c r="K254" s="230"/>
      <c r="L254" s="230">
        <f>SUMIF(data!$D:$D,INTGRATE!$B254&amp;INTGRATE!$D254,data!$K:$K)</f>
        <v>29720</v>
      </c>
      <c r="M254" s="314"/>
      <c r="N254" s="100"/>
      <c r="O254" s="482"/>
      <c r="P254" s="230"/>
      <c r="Q254" s="350">
        <f t="shared" si="86"/>
        <v>70740</v>
      </c>
      <c r="R254" s="205"/>
      <c r="S254" s="205"/>
      <c r="T254" s="345">
        <f t="shared" si="87"/>
        <v>6430.909090909091</v>
      </c>
      <c r="U254" s="869">
        <f t="shared" si="80"/>
        <v>0</v>
      </c>
      <c r="V254" s="870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>
        <v>0</v>
      </c>
      <c r="AI254" s="314">
        <v>0</v>
      </c>
      <c r="AJ254" s="314"/>
      <c r="AK254" s="314">
        <v>0</v>
      </c>
      <c r="AL254" s="314">
        <v>29720</v>
      </c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70740</v>
      </c>
      <c r="BG254" s="786">
        <f t="shared" si="88"/>
        <v>3</v>
      </c>
      <c r="BH254" s="786">
        <f t="shared" si="89"/>
        <v>23580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69">
        <f t="shared" si="80"/>
        <v>0</v>
      </c>
      <c r="V255" s="870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>
        <v>0</v>
      </c>
      <c r="AI255" s="314">
        <v>0</v>
      </c>
      <c r="AJ255" s="314"/>
      <c r="AK255" s="314">
        <v>0</v>
      </c>
      <c r="AL255" s="314">
        <v>0</v>
      </c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69">
        <f t="shared" si="80"/>
        <v>0</v>
      </c>
      <c r="V256" s="870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>
        <v>0</v>
      </c>
      <c r="AI256" s="314">
        <v>0</v>
      </c>
      <c r="AJ256" s="314"/>
      <c r="AK256" s="314">
        <v>0</v>
      </c>
      <c r="AL256" s="314">
        <v>0</v>
      </c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69">
        <f t="shared" si="80"/>
        <v>0</v>
      </c>
      <c r="V257" s="870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>
        <v>0</v>
      </c>
      <c r="AI257" s="314">
        <v>0</v>
      </c>
      <c r="AJ257" s="314"/>
      <c r="AK257" s="314">
        <v>0</v>
      </c>
      <c r="AL257" s="314">
        <v>0</v>
      </c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69">
        <f t="shared" si="80"/>
        <v>0</v>
      </c>
      <c r="V258" s="870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>
        <v>0</v>
      </c>
      <c r="AI258" s="314">
        <v>0</v>
      </c>
      <c r="AJ258" s="314"/>
      <c r="AK258" s="314">
        <v>0</v>
      </c>
      <c r="AL258" s="314">
        <v>0</v>
      </c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69">
        <f t="shared" si="80"/>
        <v>0</v>
      </c>
      <c r="V259" s="870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>
        <v>0</v>
      </c>
      <c r="AI259" s="314">
        <v>0</v>
      </c>
      <c r="AJ259" s="314"/>
      <c r="AK259" s="314">
        <v>0</v>
      </c>
      <c r="AL259" s="314">
        <v>0</v>
      </c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69">
        <f t="shared" si="80"/>
        <v>0</v>
      </c>
      <c r="V260" s="870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>
        <v>0</v>
      </c>
      <c r="AI260" s="314">
        <v>0</v>
      </c>
      <c r="AJ260" s="314"/>
      <c r="AK260" s="314">
        <v>0</v>
      </c>
      <c r="AL260" s="314">
        <v>0</v>
      </c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1042" t="s">
        <v>70</v>
      </c>
      <c r="B261" s="1043"/>
      <c r="C261" s="1043"/>
      <c r="D261" s="1044"/>
      <c r="E261" s="214">
        <f>E118+E125+E127+E126</f>
        <v>5329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800</v>
      </c>
      <c r="J261" s="214">
        <f t="shared" si="90"/>
        <v>0</v>
      </c>
      <c r="K261" s="214">
        <f t="shared" si="90"/>
        <v>0</v>
      </c>
      <c r="L261" s="214">
        <f t="shared" si="90"/>
        <v>8000</v>
      </c>
      <c r="M261" s="214">
        <f t="shared" si="90"/>
        <v>0</v>
      </c>
      <c r="N261" s="214">
        <f t="shared" si="90"/>
        <v>0</v>
      </c>
      <c r="O261" s="214">
        <f t="shared" si="90"/>
        <v>4529</v>
      </c>
      <c r="P261" s="214">
        <f t="shared" si="90"/>
        <v>45290</v>
      </c>
      <c r="Q261" s="214">
        <f t="shared" ref="Q261" si="91">Q118+Q125+Q127+Q126</f>
        <v>132100</v>
      </c>
      <c r="R261" s="214"/>
      <c r="S261" s="214"/>
      <c r="T261" s="214">
        <f>T118+T125+T127</f>
        <v>12009.09090909091</v>
      </c>
      <c r="U261" s="880">
        <f>IF(T261=0,0,P261/T261)</f>
        <v>3.7713096139288416</v>
      </c>
      <c r="V261" s="881"/>
      <c r="W261" s="1187"/>
      <c r="X261" s="868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1042" t="s">
        <v>72</v>
      </c>
      <c r="B262" s="1043"/>
      <c r="C262" s="1043"/>
      <c r="D262" s="104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1019500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92681.818181818177</v>
      </c>
      <c r="U262" s="880">
        <f>IF(T262=0,0,P262/T262)</f>
        <v>0</v>
      </c>
      <c r="V262" s="881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1526460</v>
      </c>
      <c r="AI262" s="216">
        <f t="shared" si="93"/>
        <v>1596500</v>
      </c>
      <c r="AJ262" s="216">
        <f t="shared" si="93"/>
        <v>0</v>
      </c>
      <c r="AK262" s="216">
        <f t="shared" si="93"/>
        <v>1949620</v>
      </c>
      <c r="AL262" s="216">
        <f t="shared" si="93"/>
        <v>1903150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17024070</v>
      </c>
      <c r="BG262" s="222"/>
      <c r="BH262" s="222"/>
      <c r="BI262" s="449"/>
    </row>
    <row r="263" spans="1:108" s="217" customFormat="1" ht="15.75" customHeight="1">
      <c r="A263" s="1042" t="s">
        <v>337</v>
      </c>
      <c r="B263" s="1043"/>
      <c r="C263" s="1043"/>
      <c r="D263" s="1044"/>
      <c r="E263" s="214">
        <f>SUM(E128:E195,E121:E123,E119)-E135-E147-E158-E159-E170-E172</f>
        <v>50400</v>
      </c>
      <c r="F263" s="214">
        <f>SUM(F128:F195,F121:F123,F119)-F135-F147-F158-F159-F170-F172</f>
        <v>8507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27811</v>
      </c>
      <c r="J263" s="214">
        <f t="shared" si="94"/>
        <v>0</v>
      </c>
      <c r="K263" s="214">
        <f t="shared" si="94"/>
        <v>0</v>
      </c>
      <c r="L263" s="214">
        <f t="shared" si="94"/>
        <v>1390550</v>
      </c>
      <c r="M263" s="214">
        <f t="shared" si="94"/>
        <v>0</v>
      </c>
      <c r="N263" s="214">
        <f t="shared" si="94"/>
        <v>0</v>
      </c>
      <c r="O263" s="214">
        <f t="shared" si="94"/>
        <v>31096</v>
      </c>
      <c r="P263" s="214">
        <f t="shared" si="94"/>
        <v>1554800</v>
      </c>
      <c r="Q263" s="214">
        <f>+SUM(Q128:Q195)-Q135-Q129-Q158-Q147-Q170+Q123+Q119</f>
        <v>11178500</v>
      </c>
      <c r="R263" s="214">
        <f>+SUM(R128:R195)-R135-R129-R158-R147-R170+R123+R119</f>
        <v>1600090</v>
      </c>
      <c r="S263" s="214">
        <f>+SUM(S128:S195)-S135-S129-S158-S147-S170+S123+S119</f>
        <v>17024070</v>
      </c>
      <c r="T263" s="214">
        <f>+SUM(T128:T195)-T135-T129-T158-T147-T170+T123+T119</f>
        <v>1016227.2727272729</v>
      </c>
      <c r="U263" s="880">
        <f>IF(T263=0,0,P263/T263)</f>
        <v>1.5299727154806098</v>
      </c>
      <c r="V263" s="881"/>
      <c r="W263" s="1189"/>
      <c r="X263" s="214">
        <f>+SUM(X128:X195)*50</f>
        <v>0</v>
      </c>
      <c r="Y263" s="857"/>
      <c r="Z263" s="819"/>
      <c r="AA263" s="197">
        <f>+AA262+AA103+BRAN!X151+BRAN!X194+BRAN!X277+BRAN!X301+BRAN!X332</f>
        <v>0</v>
      </c>
      <c r="AB263" s="197">
        <f>+AB262+AB103+BRAN!Y151+BRAN!Y194+BRAN!Y277+BRAN!Y301+BRAN!Y332</f>
        <v>2455620</v>
      </c>
      <c r="AC263" s="197">
        <f>+AC262+AC103+BRAN!Z151+BRAN!Z194+BRAN!Z277+BRAN!Z301+BRAN!Z332</f>
        <v>2025450</v>
      </c>
      <c r="AD263" s="197">
        <f>+AD262+AD103+BRAN!AA151+BRAN!AA194+BRAN!AA277+BRAN!AA301+BRAN!AA332</f>
        <v>2123320</v>
      </c>
      <c r="AE263" s="197">
        <f>+AE262+AE103+BRAN!AB151+BRAN!AB194+BRAN!AB277+BRAN!AB301+BRAN!AB332</f>
        <v>2200995</v>
      </c>
      <c r="AF263" s="197">
        <f>+AF262+AF103+BRAN!AC151+BRAN!AC194+BRAN!AC277+BRAN!AC301+BRAN!AC332</f>
        <v>2452255</v>
      </c>
      <c r="AG263" s="197">
        <f>+AG262+AG103+BRAN!AD151+BRAN!AD194+BRAN!AD277+BRAN!AD301+BRAN!AD332</f>
        <v>2269305</v>
      </c>
      <c r="AH263" s="197">
        <f>+AH262+AH103+BRAN!AE151+BRAN!AE194+BRAN!AE277+BRAN!AE301+BRAN!AE332</f>
        <v>2199000</v>
      </c>
      <c r="AI263" s="197">
        <f>+AI262+AI103+BRAN!AF151+BRAN!AF194+BRAN!AF277+BRAN!AF301+BRAN!AF332</f>
        <v>2007895</v>
      </c>
      <c r="AJ263" s="197">
        <f>+AJ262+AJ103+BRAN!AG151+BRAN!AG194+BRAN!AG277+BRAN!AG301+BRAN!AG332</f>
        <v>0</v>
      </c>
      <c r="AK263" s="197">
        <f>+AK262+AK103+BRAN!AH151+BRAN!AH194+BRAN!AH277+BRAN!AH301+BRAN!AH332</f>
        <v>2781895</v>
      </c>
      <c r="AL263" s="197">
        <f>+AL262+AL103+BRAN!AI151+BRAN!AI194+BRAN!AI277+BRAN!AI301+BRAN!AI332</f>
        <v>2648035</v>
      </c>
      <c r="AM263" s="197">
        <f>+AM262+AM103+BRAN!AJ151+BRAN!AJ194+BRAN!AJ277+BRAN!AJ301+BRAN!AJ332</f>
        <v>0</v>
      </c>
      <c r="AN263" s="197">
        <f>+AN262+AN103+BRAN!AK151+BRAN!AK194+BRAN!AK277+BRAN!AK301+BRAN!AK332</f>
        <v>0</v>
      </c>
      <c r="AO263" s="197">
        <f>+AO262+AO103+BRAN!AL151+BRAN!AL194+BRAN!AL277+BRAN!AL301+BRAN!AL332</f>
        <v>0</v>
      </c>
      <c r="AP263" s="197">
        <f>+AP262+AP103+BRAN!AM151+BRAN!AM194+BRAN!AM277+BRAN!AM301+BRAN!AM332</f>
        <v>0</v>
      </c>
      <c r="AQ263" s="197">
        <f>+AQ262+AQ103+BRAN!AN151+BRAN!AN194+BRAN!AN277+BRAN!AN301+BRAN!AN332</f>
        <v>0</v>
      </c>
      <c r="AR263" s="197">
        <f>+AR262+AR103+BRAN!AO151+BRAN!AO194+BRAN!AO277+BRAN!AO301+BRAN!AO332</f>
        <v>0</v>
      </c>
      <c r="AS263" s="197">
        <f>+AS262+AS103+BRAN!AP151+BRAN!AP194+BRAN!AP277+BRAN!AP301+BRAN!AP332</f>
        <v>0</v>
      </c>
      <c r="AT263" s="197">
        <f>+AT262+AT103+BRAN!AQ151+BRAN!AQ194+BRAN!AQ277+BRAN!AQ301+BRAN!AQ332</f>
        <v>0</v>
      </c>
      <c r="AU263" s="197">
        <f>+AU262+AU103+BRAN!AR151+BRAN!AR194+BRAN!AR277+BRAN!AR301+BRAN!AR332</f>
        <v>0</v>
      </c>
      <c r="AV263" s="197">
        <f>+AV262+AV103+BRAN!AS151+BRAN!AS194+BRAN!AS277+BRAN!AS301+BRAN!AS332</f>
        <v>0</v>
      </c>
      <c r="AW263" s="197">
        <f>+AW262+AW103+BRAN!AT151+BRAN!AT194+BRAN!AT277+BRAN!AT301+BRAN!AT332</f>
        <v>0</v>
      </c>
      <c r="AX263" s="197">
        <f>+AX262+AX103+BRAN!AU151+BRAN!AU194+BRAN!AU277+BRAN!AU301+BRAN!AU332</f>
        <v>0</v>
      </c>
      <c r="AY263" s="197">
        <f>+AY262+AY103+BRAN!AV151+BRAN!AV194+BRAN!AV277+BRAN!AV301+BRAN!AV332</f>
        <v>0</v>
      </c>
      <c r="AZ263" s="197">
        <f>+AZ262+AZ103+BRAN!AW151+BRAN!AW194+BRAN!AW277+BRAN!AW301+BRAN!AW332</f>
        <v>0</v>
      </c>
      <c r="BA263" s="197">
        <f>+BA262+BA103+BRAN!AX151+BRAN!AX194+BRAN!AX277+BRAN!AX301+BRAN!AX332</f>
        <v>0</v>
      </c>
      <c r="BB263" s="197">
        <f>+BB262+BB103+BRAN!AY151+BRAN!AY194+BRAN!AY277+BRAN!AY301+BRAN!AY332</f>
        <v>0</v>
      </c>
      <c r="BC263" s="197">
        <f>+BC262+BC103+BRAN!AZ151+BRAN!AZ194+BRAN!AZ277+BRAN!AZ301+BRAN!AZ332</f>
        <v>0</v>
      </c>
      <c r="BD263" s="197">
        <f>+BD262+BD103+BRAN!BA151+BRAN!BA194+BRAN!BA277+BRAN!BA301+BRAN!BA332</f>
        <v>0</v>
      </c>
      <c r="BE263" s="197">
        <f>+BE262+BE103+BRAN!BB151+BRAN!BB194+BRAN!BB277+BRAN!BB301+BRAN!BB332</f>
        <v>0</v>
      </c>
      <c r="BF263" s="197">
        <f>SUM(AA263:BE263)</f>
        <v>23163770</v>
      </c>
      <c r="BG263" s="197"/>
      <c r="BH263" s="197"/>
      <c r="BI263" s="192">
        <f>+BF262+BF103</f>
        <v>18196420</v>
      </c>
    </row>
    <row r="264" spans="1:108" s="217" customFormat="1" ht="15.75" customHeight="1">
      <c r="A264" s="1042" t="s">
        <v>74</v>
      </c>
      <c r="B264" s="1043"/>
      <c r="C264" s="1043"/>
      <c r="D264" s="1044"/>
      <c r="E264" s="236"/>
      <c r="F264" s="236">
        <f>SUM(F196:F260)</f>
        <v>504600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504600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4693970</v>
      </c>
      <c r="R264" s="236">
        <f t="shared" si="95"/>
        <v>0</v>
      </c>
      <c r="S264" s="236">
        <f t="shared" si="95"/>
        <v>0</v>
      </c>
      <c r="T264" s="236">
        <f t="shared" si="95"/>
        <v>426724.54545454541</v>
      </c>
      <c r="U264" s="880"/>
      <c r="V264" s="881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+BF262+BF103+BRAN!BC333</f>
        <v>23163770</v>
      </c>
      <c r="BG264" s="449"/>
      <c r="BH264" s="449"/>
    </row>
    <row r="265" spans="1:108" s="783" customFormat="1" ht="15.75" customHeight="1">
      <c r="A265" s="1066" t="s">
        <v>75</v>
      </c>
      <c r="B265" s="1067"/>
      <c r="C265" s="1067"/>
      <c r="D265" s="1068"/>
      <c r="E265" s="220">
        <f>SUM(E118:E195)</f>
        <v>55729</v>
      </c>
      <c r="F265" s="220">
        <f t="shared" ref="F265:O265" si="96">SUM(F261:F264)</f>
        <v>513107</v>
      </c>
      <c r="G265" s="220">
        <f t="shared" si="96"/>
        <v>0</v>
      </c>
      <c r="H265" s="220">
        <f t="shared" si="96"/>
        <v>0</v>
      </c>
      <c r="I265" s="220">
        <f t="shared" si="96"/>
        <v>28611</v>
      </c>
      <c r="J265" s="220">
        <f t="shared" si="96"/>
        <v>0</v>
      </c>
      <c r="K265" s="220">
        <f t="shared" si="96"/>
        <v>0</v>
      </c>
      <c r="L265" s="220">
        <f>+L266-L264</f>
        <v>1398550</v>
      </c>
      <c r="M265" s="220">
        <f>SUM(M261:M264)</f>
        <v>0</v>
      </c>
      <c r="N265" s="220">
        <f t="shared" si="96"/>
        <v>0</v>
      </c>
      <c r="O265" s="220">
        <f t="shared" si="96"/>
        <v>35625</v>
      </c>
      <c r="P265" s="220">
        <f>SUM(P261:P264)</f>
        <v>1600090</v>
      </c>
      <c r="Q265" s="893">
        <f>SUM(Q261:Q264)</f>
        <v>17024070</v>
      </c>
      <c r="R265" s="218">
        <f>SUM(R119:R260)</f>
        <v>1600090</v>
      </c>
      <c r="S265" s="218"/>
      <c r="T265" s="893">
        <f>Q265/$N$293</f>
        <v>1547642.7272727273</v>
      </c>
      <c r="U265" s="928" t="s">
        <v>338</v>
      </c>
      <c r="V265" s="929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1042" t="s">
        <v>77</v>
      </c>
      <c r="B266" s="1043"/>
      <c r="C266" s="1043"/>
      <c r="D266" s="1044"/>
      <c r="E266" s="213">
        <f>+E261*10+E262*25+E263*50</f>
        <v>2573290</v>
      </c>
      <c r="F266" s="213">
        <f t="shared" ref="F266:O266" si="97">+F261*10+F262*25+F263*50</f>
        <v>425350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1398550</v>
      </c>
      <c r="J266" s="213">
        <f t="shared" si="97"/>
        <v>0</v>
      </c>
      <c r="K266" s="213">
        <f t="shared" si="97"/>
        <v>0</v>
      </c>
      <c r="L266" s="213">
        <f>SUM(L118:L260)</f>
        <v>1903150</v>
      </c>
      <c r="M266" s="213">
        <f>+M261*10+M262*25+M263*50</f>
        <v>0</v>
      </c>
      <c r="N266" s="213">
        <f t="shared" si="97"/>
        <v>0</v>
      </c>
      <c r="O266" s="213">
        <f t="shared" si="97"/>
        <v>1600090</v>
      </c>
      <c r="P266" s="213">
        <f>SUM(P261:P264)</f>
        <v>1600090</v>
      </c>
      <c r="Q266" s="894"/>
      <c r="R266" s="224"/>
      <c r="S266" s="224"/>
      <c r="T266" s="894"/>
      <c r="U266" s="928"/>
      <c r="V266" s="929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62" t="s">
        <v>447</v>
      </c>
      <c r="B267" s="1063"/>
      <c r="C267" s="1054" t="s">
        <v>448</v>
      </c>
      <c r="D267" s="1055"/>
      <c r="E267" s="220">
        <f>+E265+E107</f>
        <v>63244</v>
      </c>
      <c r="F267" s="220"/>
      <c r="G267" s="220"/>
      <c r="H267" s="220">
        <f>SUM(H107,H265)</f>
        <v>0</v>
      </c>
      <c r="I267" s="220">
        <f>SUM(I107,I265)</f>
        <v>30648</v>
      </c>
      <c r="J267" s="220">
        <f>SUM(J107,J265)</f>
        <v>0</v>
      </c>
      <c r="K267" s="220">
        <f>SUM(K107,K265)</f>
        <v>0</v>
      </c>
      <c r="L267" s="220">
        <f>SUM(L107,L265)</f>
        <v>1398550</v>
      </c>
      <c r="M267" s="220"/>
      <c r="N267" s="220">
        <f>SUM(N107,N265)</f>
        <v>0</v>
      </c>
      <c r="O267" s="484">
        <f>+SUM(O261:O264)+SUM(O103:O106)</f>
        <v>43535</v>
      </c>
      <c r="P267" s="220">
        <f>SUM(P107,P265)</f>
        <v>1995590</v>
      </c>
      <c r="Q267" s="1045" t="s">
        <v>449</v>
      </c>
      <c r="R267" s="1046"/>
      <c r="S267" s="1046"/>
      <c r="T267" s="1046"/>
      <c r="U267" s="1046"/>
      <c r="V267" s="1046"/>
      <c r="W267" s="1047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064"/>
      <c r="B268" s="1065"/>
      <c r="C268" s="992" t="s">
        <v>450</v>
      </c>
      <c r="D268" s="993"/>
      <c r="E268" s="204">
        <f>+E266+E108</f>
        <v>2949040</v>
      </c>
      <c r="F268" s="204">
        <f>+F266+F108</f>
        <v>546950</v>
      </c>
      <c r="G268" s="204">
        <f>+G266+G108</f>
        <v>0</v>
      </c>
      <c r="H268" s="204">
        <f>SUM(H108,H266)</f>
        <v>0</v>
      </c>
      <c r="I268" s="204">
        <f>SUM(I108,I266)</f>
        <v>1500400</v>
      </c>
      <c r="J268" s="320"/>
      <c r="K268" s="320"/>
      <c r="L268" s="204">
        <f>SUM(L108,L266)</f>
        <v>2005000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1995590</v>
      </c>
      <c r="P268" s="585">
        <f>+P266+P108</f>
        <v>1995590</v>
      </c>
      <c r="Q268" s="1048"/>
      <c r="R268" s="1049"/>
      <c r="S268" s="1049"/>
      <c r="T268" s="1049"/>
      <c r="U268" s="1049"/>
      <c r="V268" s="1049"/>
      <c r="W268" s="1050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56" t="s">
        <v>451</v>
      </c>
      <c r="B269" s="1057"/>
      <c r="C269" s="994" t="s">
        <v>452</v>
      </c>
      <c r="D269" s="995"/>
      <c r="E269" s="204">
        <f>SUM(BRAN!E153,BRAN!E194,BRAN!E277,BRAN!E301,BRAN!E332)</f>
        <v>13</v>
      </c>
      <c r="F269" s="204">
        <f>SUM(BRAN!F153,BRAN!F194,BRAN!F277,BRAN!F301,BRAN!F332)</f>
        <v>0</v>
      </c>
      <c r="G269" s="204">
        <f>SUM(BRAN!G153,BRAN!G194,BRAN!G277,BRAN!G301,BRAN!G332)</f>
        <v>0</v>
      </c>
      <c r="H269" s="204">
        <f>SUM(BRAN!H153,BRAN!H194,BRAN!H277,BRAN!H301,BRAN!H332)</f>
        <v>0</v>
      </c>
      <c r="I269" s="204">
        <f>SUM(BRAN!I153,BRAN!I194,BRAN!I277,BRAN!I301,BRAN!I332)</f>
        <v>10</v>
      </c>
      <c r="J269" s="204"/>
      <c r="K269" s="204"/>
      <c r="L269" s="204">
        <f>SUM(BRAN!J153,BRAN!J194,BRAN!J277,BRAN!J301,BRAN!J332)</f>
        <v>250</v>
      </c>
      <c r="M269" s="204">
        <f>SUM(BRAN!K153,BRAN!K194,BRAN!K277,BRAN!K301,BRAN!K332)</f>
        <v>0</v>
      </c>
      <c r="N269" s="204">
        <f>SUM(BRAN!L153,BRAN!L194,BRAN!L277,BRAN!L301,BRAN!L332)</f>
        <v>0</v>
      </c>
      <c r="O269" s="584">
        <f>SUM(BRAN!M153,BRAN!M194,BRAN!M277,BRAN!M301,BRAN!M332)</f>
        <v>3</v>
      </c>
      <c r="P269" s="584">
        <f>+O269*25</f>
        <v>75</v>
      </c>
      <c r="Q269" s="1048"/>
      <c r="R269" s="1049"/>
      <c r="S269" s="1049"/>
      <c r="T269" s="1049"/>
      <c r="U269" s="1049"/>
      <c r="V269" s="1049"/>
      <c r="W269" s="1050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58"/>
      <c r="B270" s="1059"/>
      <c r="C270" s="994" t="s">
        <v>453</v>
      </c>
      <c r="D270" s="995"/>
      <c r="E270" s="204">
        <f>+E261+BRAN!E152</f>
        <v>5345</v>
      </c>
      <c r="F270" s="204">
        <f>+F261</f>
        <v>0</v>
      </c>
      <c r="G270" s="204">
        <f>+G261</f>
        <v>0</v>
      </c>
      <c r="H270" s="204">
        <f>+H261+BRAN!H152</f>
        <v>0</v>
      </c>
      <c r="I270" s="204">
        <f>+I261+BRAN!I152</f>
        <v>805</v>
      </c>
      <c r="J270" s="204"/>
      <c r="K270" s="204"/>
      <c r="L270" s="204">
        <f>+I270*10</f>
        <v>8050</v>
      </c>
      <c r="M270" s="204">
        <f>+M261+BRAN!K152</f>
        <v>0</v>
      </c>
      <c r="N270" s="204">
        <f>+N261+BRAN!L152</f>
        <v>0</v>
      </c>
      <c r="O270" s="584">
        <f>+E270+F270+G270+H270-I270-M270-N270</f>
        <v>4540</v>
      </c>
      <c r="P270" s="585">
        <f>+O270*10</f>
        <v>45400</v>
      </c>
      <c r="Q270" s="1048"/>
      <c r="R270" s="1049"/>
      <c r="S270" s="1049"/>
      <c r="T270" s="1049"/>
      <c r="U270" s="1049"/>
      <c r="V270" s="1049"/>
      <c r="W270" s="1050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60"/>
      <c r="B271" s="1061"/>
      <c r="C271" s="994" t="s">
        <v>454</v>
      </c>
      <c r="D271" s="995"/>
      <c r="E271" s="203">
        <f>SUM(BRAN!E154,BRAN!E195,BRAN!E278,BRAN!E302,BRAN!E333)+SUM(INTGRATE!E103,INTGRATE!E262)</f>
        <v>60464</v>
      </c>
      <c r="F271" s="203">
        <f>SUM(BRAN!F154,BRAN!F195,BRAN!F278,BRAN!F302,BRAN!F333)+SUM(INTGRATE!F103,INTGRATE!F262)</f>
        <v>31315</v>
      </c>
      <c r="G271" s="203">
        <f>SUM(BRAN!G154,BRAN!G195,BRAN!G278,BRAN!G302,BRAN!G333)+SUM(INTGRATE!G103,INTGRATE!G262)</f>
        <v>0</v>
      </c>
      <c r="H271" s="203">
        <f>SUM(BRAN!H154,BRAN!H195,BRAN!H278,BRAN!H302,BRAN!H333)+SUM(INTGRATE!H103,INTGRATE!H262)</f>
        <v>0</v>
      </c>
      <c r="I271" s="203">
        <f>SUM(BRAN!I154,BRAN!I195,BRAN!I278,BRAN!I302,BRAN!I333)+SUM(INTGRATE!I103,INTGRATE!I262)+I158</f>
        <v>23879</v>
      </c>
      <c r="J271" s="203"/>
      <c r="K271" s="203"/>
      <c r="L271" s="203">
        <f>SUM(BRAN!J154,BRAN!J195,BRAN!J278,BRAN!J302,BRAN!J333)+SUM(INTGRATE!L103,INTGRATE!L262)+L158</f>
        <v>596975</v>
      </c>
      <c r="M271" s="489">
        <f>SUM(BRAN!K154,BRAN!K195,BRAN!K278,BRAN!K302,BRAN!K333)+SUM(INTGRATE!M103,INTGRATE!M262)</f>
        <v>0</v>
      </c>
      <c r="N271" s="489">
        <f>SUM(BRAN!L154,BRAN!L195,BRAN!L278,BRAN!L302,BRAN!L333)+SUM(INTGRATE!N103,INTGRATE!N262)</f>
        <v>0</v>
      </c>
      <c r="O271" s="586">
        <f>+O262+O103+BRAN!M154+BRAN!M195+BRAN!M278+BRAN!M333+BRAN!M302</f>
        <v>67900</v>
      </c>
      <c r="P271" s="587">
        <f>+O271*25</f>
        <v>1697500</v>
      </c>
      <c r="Q271" s="1048"/>
      <c r="R271" s="1049"/>
      <c r="S271" s="1049"/>
      <c r="T271" s="1049"/>
      <c r="U271" s="1049"/>
      <c r="V271" s="1049"/>
      <c r="W271" s="1050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10" t="s">
        <v>455</v>
      </c>
      <c r="B272" s="1011"/>
      <c r="C272" s="994" t="s">
        <v>456</v>
      </c>
      <c r="D272" s="995"/>
      <c r="E272" s="203">
        <f>SUM(BRAN!E155,BRAN!E196,BRAN!E279,BRAN!E303,BRAN!E334)+E104</f>
        <v>0</v>
      </c>
      <c r="F272" s="203">
        <f>SUM(BRAN!F155,BRAN!F196,BRAN!F279,BRAN!F303,BRAN!F334)+F104</f>
        <v>0</v>
      </c>
      <c r="G272" s="203">
        <f>SUM(BRAN!G155,BRAN!G196,BRAN!G279,BRAN!G303,BRAN!G334)+G104</f>
        <v>0</v>
      </c>
      <c r="H272" s="203">
        <f>SUM(BRAN!H155,BRAN!H196,BRAN!H279,BRAN!H303)+H104</f>
        <v>0</v>
      </c>
      <c r="I272" s="203">
        <f>SUM(BRAN!I155,BRAN!I196,BRAN!I279,BRAN!I303,BRAN!I334)+I104</f>
        <v>0</v>
      </c>
      <c r="J272" s="203">
        <f>SUM(BRAN!J155,BRAN!J196,BRAN!J279,BRAN!J303,BRAN!J334)+J104</f>
        <v>0</v>
      </c>
      <c r="K272" s="203">
        <f>SUM(BRAN!K155,BRAN!K196,BRAN!K279,BRAN!K303,BRAN!K334)+K104</f>
        <v>0</v>
      </c>
      <c r="L272" s="203">
        <f>+I272*40</f>
        <v>0</v>
      </c>
      <c r="M272" s="203">
        <f>+M104+BRAN!K196+BRAN!K155+BRAN!K279+BRAN!K303+BRAN!K334</f>
        <v>0</v>
      </c>
      <c r="N272" s="203">
        <f>+N104+BRAN!L196+BRAN!L155</f>
        <v>0</v>
      </c>
      <c r="O272" s="203">
        <f>+BRAN!M155+BRAN!M196+BRAN!M279+BRAN!M303+BRAN!M334</f>
        <v>0</v>
      </c>
      <c r="P272" s="203">
        <f>+O272*40</f>
        <v>0</v>
      </c>
      <c r="Q272" s="1048"/>
      <c r="R272" s="1049"/>
      <c r="S272" s="1049"/>
      <c r="T272" s="1049"/>
      <c r="U272" s="1049"/>
      <c r="V272" s="1049"/>
      <c r="W272" s="1050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12"/>
      <c r="B273" s="1013"/>
      <c r="C273" s="994" t="s">
        <v>457</v>
      </c>
      <c r="D273" s="995"/>
      <c r="E273" s="203">
        <f>SUM(E105,E263)</f>
        <v>57915</v>
      </c>
      <c r="F273" s="203">
        <f>SUM(F105,F263)</f>
        <v>10939</v>
      </c>
      <c r="G273" s="203">
        <f>SUM(G105,G263)</f>
        <v>0</v>
      </c>
      <c r="H273" s="203">
        <f>SUM(H105,H106,H263,H264)</f>
        <v>0</v>
      </c>
      <c r="I273" s="203">
        <f>SUM(I105,I263)-I158</f>
        <v>29848</v>
      </c>
      <c r="J273" s="203">
        <f>SUM(J105,J263)-J158</f>
        <v>0</v>
      </c>
      <c r="K273" s="203">
        <f>SUM(K105,K263)-K158</f>
        <v>0</v>
      </c>
      <c r="L273" s="203">
        <f>SUM(L105,L263)-L158</f>
        <v>1492400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39006</v>
      </c>
      <c r="P273" s="587">
        <f>+O273*50</f>
        <v>1950300</v>
      </c>
      <c r="Q273" s="1048"/>
      <c r="R273" s="1049"/>
      <c r="S273" s="1049"/>
      <c r="T273" s="1049"/>
      <c r="U273" s="1049"/>
      <c r="V273" s="1049"/>
      <c r="W273" s="1050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14"/>
      <c r="B274" s="1015"/>
      <c r="C274" s="992" t="s">
        <v>458</v>
      </c>
      <c r="D274" s="993"/>
      <c r="E274" s="203">
        <f>+E269*25+E270*10+E271*25+E272*40+E273*50</f>
        <v>4461125</v>
      </c>
      <c r="F274" s="348">
        <f>+F271*25+F269*25+F270*10+F272*40+F273*50+F264+F106+BRAN!F156+BRAN!F281+BRAN!F335+BRAN!F305</f>
        <v>1880185</v>
      </c>
      <c r="G274" s="348">
        <f>SUM(BRAN!G158,BRAN!G198,BRAN!G282,BRAN!G306,BRAN!G337)+SUM(G266,G108)</f>
        <v>0</v>
      </c>
      <c r="H274" s="348">
        <f>SUM(BRAN!H158,BRAN!H198,BRAN!H282,BRAN!H306,BRAN!H337)+SUM(H266,H108)</f>
        <v>0</v>
      </c>
      <c r="I274" s="348">
        <f>+L274</f>
        <v>2648035</v>
      </c>
      <c r="J274" s="348"/>
      <c r="K274" s="348"/>
      <c r="L274" s="348">
        <f>+L266+L108+BRAN!J337+BRAN!J306+BRAN!J282+BRAN!J198+BRAN!J158</f>
        <v>2648035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3693275</v>
      </c>
      <c r="P274" s="582">
        <f>SUM(P269:P273)</f>
        <v>3693275</v>
      </c>
      <c r="Q274" s="1051"/>
      <c r="R274" s="1052"/>
      <c r="S274" s="1052"/>
      <c r="T274" s="1052"/>
      <c r="U274" s="1052"/>
      <c r="V274" s="1052"/>
      <c r="W274" s="1053"/>
      <c r="X274" s="397">
        <f>+X265+X108+BRAN!U158+BRAN!U198+BRAN!U282+BRAN!U306+BRAN!U337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3693275</v>
      </c>
      <c r="P275" s="590">
        <f>+E274+F274+H274-I274-M274-N274</f>
        <v>3693275</v>
      </c>
      <c r="Q275" s="237">
        <f>SUM(Q119:Q260)</f>
        <v>16891970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973"/>
      <c r="U276" s="973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895">
        <f>P274+REMIX!O24+X274</f>
        <v>3693275</v>
      </c>
      <c r="R281" s="896"/>
      <c r="S281" s="896"/>
      <c r="T281" s="896"/>
      <c r="U281" s="89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02" t="s">
        <v>460</v>
      </c>
      <c r="P282" s="100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02" t="s">
        <v>462</v>
      </c>
      <c r="P283" s="1003"/>
      <c r="Q283" s="245">
        <f>SUM(R128)+BRAN!P14+BRAN!P168+BRAN!P207</f>
        <v>160025</v>
      </c>
      <c r="R283" s="215"/>
      <c r="S283" s="215"/>
      <c r="T283" s="245">
        <f>Q283/Q281*100</f>
        <v>4.3328752936079766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02" t="s">
        <v>463</v>
      </c>
      <c r="P284" s="1003"/>
      <c r="Q284" s="245">
        <f>+Q281-Q282-Q283</f>
        <v>3533250</v>
      </c>
      <c r="R284" s="215"/>
      <c r="S284" s="215"/>
      <c r="T284" s="245">
        <f>Q284/Q281*100</f>
        <v>95.66712470639203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04" t="s">
        <v>464</v>
      </c>
      <c r="P285" s="1006"/>
      <c r="Q285" s="876">
        <v>620192</v>
      </c>
      <c r="R285" s="877"/>
      <c r="S285" s="877"/>
      <c r="T285" s="877"/>
      <c r="U285" s="878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04" t="s">
        <v>465</v>
      </c>
      <c r="P286" s="1005"/>
      <c r="Q286" s="876"/>
      <c r="R286" s="877"/>
      <c r="S286" s="877"/>
      <c r="T286" s="877"/>
      <c r="U286" s="878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085" t="s">
        <v>466</v>
      </c>
      <c r="P287" s="1073"/>
      <c r="Q287" s="1072">
        <f>+Q281+Q285+Q286</f>
        <v>4313467</v>
      </c>
      <c r="R287" s="1073"/>
      <c r="S287" s="1073"/>
      <c r="T287" s="1073"/>
      <c r="U287" s="1074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23" t="s">
        <v>467</v>
      </c>
      <c r="P288" s="1024"/>
      <c r="Q288" s="1025"/>
      <c r="R288" s="249"/>
      <c r="S288" s="250"/>
      <c r="T288" s="886">
        <f>Q281/O311</f>
        <v>1.7538606625778099</v>
      </c>
      <c r="U288" s="887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088" t="s">
        <v>468</v>
      </c>
      <c r="P289" s="1089"/>
      <c r="Q289" s="251">
        <f>+BRAN!N158+BRAN!N198+BRAN!N282+BRAN!N306+BRAN!N337</f>
        <v>1697685</v>
      </c>
      <c r="R289" s="252"/>
      <c r="S289" s="252"/>
      <c r="T289" s="494">
        <f>+Q289/Q287*100</f>
        <v>39.357783425722282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086" t="s">
        <v>469</v>
      </c>
      <c r="P290" s="1087"/>
      <c r="Q290" s="251">
        <f>+Q281-Q289</f>
        <v>1995590</v>
      </c>
      <c r="R290" s="249"/>
      <c r="S290" s="249"/>
      <c r="T290" s="495">
        <f>+Q290/$Q$287*100</f>
        <v>46.264176821104691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083" t="s">
        <v>470</v>
      </c>
      <c r="P291" s="1084"/>
      <c r="Q291" s="673">
        <v>377000</v>
      </c>
      <c r="R291" s="446"/>
      <c r="S291" s="446"/>
      <c r="T291" s="495">
        <f>+Q291/$Q$287*100</f>
        <v>8.7400691833274724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898"/>
      <c r="P292" s="898"/>
      <c r="Q292" s="898"/>
      <c r="T292" s="227"/>
      <c r="U292" s="197"/>
      <c r="V292" s="197"/>
    </row>
    <row r="293" spans="1:26" ht="17.25" customHeight="1" thickBot="1">
      <c r="A293" s="1036" t="s">
        <v>471</v>
      </c>
      <c r="B293" s="1036"/>
      <c r="C293" s="271">
        <v>11</v>
      </c>
      <c r="D293" s="1041" t="s">
        <v>472</v>
      </c>
      <c r="E293" s="1041"/>
      <c r="F293" s="1041"/>
      <c r="G293" s="1041"/>
      <c r="H293" s="1041"/>
      <c r="I293" s="1032"/>
      <c r="J293" s="1032"/>
      <c r="L293" s="1036" t="s">
        <v>473</v>
      </c>
      <c r="M293" s="1036"/>
      <c r="N293" s="272">
        <v>11</v>
      </c>
      <c r="O293" s="879" t="s">
        <v>474</v>
      </c>
      <c r="P293" s="879"/>
      <c r="Q293" s="879"/>
      <c r="R293" s="879"/>
      <c r="S293" s="879"/>
      <c r="T293" s="879"/>
      <c r="U293" s="879"/>
      <c r="V293" s="193"/>
    </row>
    <row r="294" spans="1:26" ht="21.75" customHeight="1">
      <c r="A294" s="1018" t="s">
        <v>475</v>
      </c>
      <c r="B294" s="1007" t="s">
        <v>476</v>
      </c>
      <c r="C294" s="1008"/>
      <c r="D294" s="1008"/>
      <c r="E294" s="1008"/>
      <c r="F294" s="1008"/>
      <c r="G294" s="1008"/>
      <c r="H294" s="1009"/>
      <c r="I294" s="956"/>
      <c r="J294" s="956"/>
      <c r="K294" s="259"/>
      <c r="L294" s="952" t="s">
        <v>475</v>
      </c>
      <c r="M294" s="953"/>
      <c r="N294" s="1027" t="s">
        <v>477</v>
      </c>
      <c r="O294" s="1028"/>
      <c r="P294" s="1028"/>
      <c r="Q294" s="1028"/>
      <c r="R294" s="1028"/>
      <c r="S294" s="1028"/>
      <c r="T294" s="1028"/>
      <c r="U294" s="1029"/>
      <c r="V294" s="304"/>
      <c r="W294" s="303"/>
      <c r="X294" s="247"/>
      <c r="Y294" s="775"/>
      <c r="Z294" s="825"/>
    </row>
    <row r="295" spans="1:26" ht="25.5" customHeight="1">
      <c r="A295" s="1019"/>
      <c r="B295" s="685" t="s">
        <v>478</v>
      </c>
      <c r="C295" s="685" t="s">
        <v>58</v>
      </c>
      <c r="D295" s="1020" t="s">
        <v>479</v>
      </c>
      <c r="E295" s="1040"/>
      <c r="F295" s="1020" t="s">
        <v>480</v>
      </c>
      <c r="G295" s="1021"/>
      <c r="H295" s="1022"/>
      <c r="I295" s="1032"/>
      <c r="J295" s="1032"/>
      <c r="K295" s="255"/>
      <c r="L295" s="954"/>
      <c r="M295" s="955"/>
      <c r="N295" s="685" t="s">
        <v>58</v>
      </c>
      <c r="O295" s="686" t="s">
        <v>481</v>
      </c>
      <c r="P295" s="957" t="s">
        <v>482</v>
      </c>
      <c r="Q295" s="958"/>
      <c r="R295" s="687"/>
      <c r="S295" s="687"/>
      <c r="T295" s="957" t="s">
        <v>483</v>
      </c>
      <c r="U295" s="1026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BRAN!F153*25+3950</f>
        <v>3950</v>
      </c>
      <c r="C296" s="735">
        <f>+BRAN!F156+530020</f>
        <v>575780</v>
      </c>
      <c r="D296" s="1016">
        <f>BRAN!F154*25+BRAN!F155*40+3234275</f>
        <v>3764975</v>
      </c>
      <c r="E296" s="1017"/>
      <c r="F296" s="1033"/>
      <c r="G296" s="1034"/>
      <c r="H296" s="1035"/>
      <c r="I296" s="1039"/>
      <c r="J296" s="956"/>
      <c r="K296" s="256"/>
      <c r="L296" s="688" t="s">
        <v>484</v>
      </c>
      <c r="M296" s="689"/>
      <c r="N296" s="690">
        <f>+C296</f>
        <v>575780</v>
      </c>
      <c r="O296" s="691">
        <f>BRAN!O151+BRAN!O153</f>
        <v>3875</v>
      </c>
      <c r="P296" s="990">
        <f>+BRAN!BC151-INTGRATE!O296-N296</f>
        <v>3237670</v>
      </c>
      <c r="Q296" s="991"/>
      <c r="R296" s="692"/>
      <c r="S296" s="692"/>
      <c r="T296" s="1030"/>
      <c r="U296" s="1030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10.244010924003453</v>
      </c>
      <c r="D297" s="1037">
        <f>D296/D308*100</f>
        <v>76.823289956282863</v>
      </c>
      <c r="E297" s="1038"/>
      <c r="F297" s="948"/>
      <c r="G297" s="949"/>
      <c r="H297" s="950"/>
      <c r="I297" s="1031"/>
      <c r="J297" s="1032"/>
      <c r="K297" s="258"/>
      <c r="L297" s="693" t="s">
        <v>461</v>
      </c>
      <c r="M297" s="694"/>
      <c r="N297" s="695">
        <f>+N296/N308</f>
        <v>0.10244010924003452</v>
      </c>
      <c r="O297" s="696">
        <f>O296/O308*100</f>
        <v>100</v>
      </c>
      <c r="P297" s="959">
        <f>P296/P308*100</f>
        <v>60.108291352565125</v>
      </c>
      <c r="Q297" s="882"/>
      <c r="R297" s="697"/>
      <c r="S297" s="697"/>
      <c r="T297" s="874"/>
      <c r="U297" s="874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BRAN!F194*25</f>
        <v>0</v>
      </c>
      <c r="C298" s="738"/>
      <c r="D298" s="946">
        <f>BRAN!F195*25+BRAN!F196*40+228550</f>
        <v>279275</v>
      </c>
      <c r="E298" s="947"/>
      <c r="F298" s="946"/>
      <c r="G298" s="999"/>
      <c r="H298" s="1000"/>
      <c r="I298" s="867"/>
      <c r="J298" s="867"/>
      <c r="K298" s="1196"/>
      <c r="L298" s="693" t="s">
        <v>485</v>
      </c>
      <c r="M298" s="694"/>
      <c r="N298" s="698">
        <f>BRAN!O194</f>
        <v>0</v>
      </c>
      <c r="O298" s="699">
        <f>BRAN!O194</f>
        <v>0</v>
      </c>
      <c r="P298" s="1001">
        <f>BRAN!O195+BRAN!O196</f>
        <v>259550</v>
      </c>
      <c r="Q298" s="883"/>
      <c r="R298" s="697"/>
      <c r="S298" s="697"/>
      <c r="T298" s="873"/>
      <c r="U298" s="873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48">
        <f>D298/D308*100</f>
        <v>5.6985303494819748</v>
      </c>
      <c r="E299" s="951"/>
      <c r="F299" s="948"/>
      <c r="G299" s="949"/>
      <c r="H299" s="950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59">
        <f>P298/P308*100</f>
        <v>4.8186217312321133</v>
      </c>
      <c r="Q299" s="882"/>
      <c r="R299" s="697"/>
      <c r="S299" s="697"/>
      <c r="T299" s="874"/>
      <c r="U299" s="874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BRAN!F277*25</f>
        <v>0</v>
      </c>
      <c r="C300" s="738">
        <f>+BRAN!F281+217300</f>
        <v>217300</v>
      </c>
      <c r="D300" s="946">
        <f>BRAN!F278*25+BRAN!F279*40+504750</f>
        <v>674100</v>
      </c>
      <c r="E300" s="947"/>
      <c r="F300" s="946"/>
      <c r="G300" s="999"/>
      <c r="H300" s="1000"/>
      <c r="I300" s="496"/>
      <c r="J300" s="259"/>
      <c r="K300" s="259"/>
      <c r="L300" s="693" t="s">
        <v>486</v>
      </c>
      <c r="M300" s="694"/>
      <c r="N300" s="698">
        <f>C300</f>
        <v>217300</v>
      </c>
      <c r="O300" s="699">
        <f>BRAN!O277</f>
        <v>0</v>
      </c>
      <c r="P300" s="1001">
        <f>+BRAN!O278-N300</f>
        <v>523175</v>
      </c>
      <c r="Q300" s="883"/>
      <c r="R300" s="697"/>
      <c r="S300" s="697"/>
      <c r="T300" s="873"/>
      <c r="U300" s="873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3.8661008958038661</v>
      </c>
      <c r="D301" s="948">
        <f>D300/D308*100</f>
        <v>13.754826993414374</v>
      </c>
      <c r="E301" s="951"/>
      <c r="F301" s="948"/>
      <c r="G301" s="949"/>
      <c r="H301" s="950"/>
      <c r="I301" s="496"/>
      <c r="J301" s="196"/>
      <c r="K301" s="196"/>
      <c r="L301" s="693" t="s">
        <v>461</v>
      </c>
      <c r="M301" s="694"/>
      <c r="N301" s="695">
        <f>+N300/N308</f>
        <v>3.8661008958038659E-2</v>
      </c>
      <c r="O301" s="696">
        <v>0</v>
      </c>
      <c r="P301" s="959">
        <f>P300/P308*100</f>
        <v>9.7128970303886</v>
      </c>
      <c r="Q301" s="882"/>
      <c r="R301" s="697"/>
      <c r="S301" s="697"/>
      <c r="T301" s="874"/>
      <c r="U301" s="874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BRAN!F301*25</f>
        <v>0</v>
      </c>
      <c r="C302" s="738">
        <f>+BRAN!F305</f>
        <v>0</v>
      </c>
      <c r="D302" s="946">
        <f>BRAN!F302*25+BRAN!F303*40</f>
        <v>0</v>
      </c>
      <c r="E302" s="947"/>
      <c r="F302" s="946"/>
      <c r="G302" s="999"/>
      <c r="H302" s="1000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BRAN!O301</f>
        <v>0</v>
      </c>
      <c r="P302" s="1001">
        <f>+BRAN!O302+BRAN!O303</f>
        <v>0</v>
      </c>
      <c r="Q302" s="883"/>
      <c r="R302" s="697"/>
      <c r="S302" s="697"/>
      <c r="T302" s="883"/>
      <c r="U302" s="883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48">
        <f>D302/D308*100</f>
        <v>0</v>
      </c>
      <c r="E303" s="951"/>
      <c r="F303" s="948"/>
      <c r="G303" s="949"/>
      <c r="H303" s="950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59">
        <f>P302/P308*100</f>
        <v>0</v>
      </c>
      <c r="Q303" s="882"/>
      <c r="R303" s="697"/>
      <c r="S303" s="697"/>
      <c r="T303" s="882"/>
      <c r="U303" s="882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BRAN!F332*25</f>
        <v>0</v>
      </c>
      <c r="C304" s="738">
        <f>+BRAN!J335</f>
        <v>0</v>
      </c>
      <c r="D304" s="946">
        <f>BRAN!F333*25+BRAN!F334*40+150375</f>
        <v>182475</v>
      </c>
      <c r="E304" s="947"/>
      <c r="F304" s="946"/>
      <c r="G304" s="999"/>
      <c r="H304" s="1000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BRAN!O332</f>
        <v>0</v>
      </c>
      <c r="P304" s="1001">
        <f>+BRAN!O333+BRAN!O334</f>
        <v>150000</v>
      </c>
      <c r="Q304" s="883"/>
      <c r="R304" s="697"/>
      <c r="S304" s="697"/>
      <c r="T304" s="883"/>
      <c r="U304" s="883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48">
        <f>D304/D308*100</f>
        <v>3.7233527008207803</v>
      </c>
      <c r="E305" s="951"/>
      <c r="F305" s="948"/>
      <c r="G305" s="949"/>
      <c r="H305" s="950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59">
        <f>P304/P308*100</f>
        <v>2.7847939113265925</v>
      </c>
      <c r="Q305" s="882"/>
      <c r="R305" s="697"/>
      <c r="S305" s="697"/>
      <c r="T305" s="882"/>
      <c r="U305" s="882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+F264+F106+4322970</f>
        <v>4827570</v>
      </c>
      <c r="D306" s="946">
        <f>F103*25+F262*25</f>
        <v>0</v>
      </c>
      <c r="E306" s="947"/>
      <c r="F306" s="946">
        <f>F105*50+F263*50+F104*40+11857550</f>
        <v>12404500</v>
      </c>
      <c r="G306" s="999"/>
      <c r="H306" s="1000"/>
      <c r="I306" s="497"/>
      <c r="J306" s="259"/>
      <c r="K306" s="259"/>
      <c r="L306" s="693" t="s">
        <v>489</v>
      </c>
      <c r="M306" s="694"/>
      <c r="N306" s="698">
        <f>+Q264+Q106</f>
        <v>4827570</v>
      </c>
      <c r="O306" s="699">
        <v>0</v>
      </c>
      <c r="P306" s="1001">
        <f>Q262+Q103+Q261+Q104</f>
        <v>1216000</v>
      </c>
      <c r="Q306" s="883"/>
      <c r="R306" s="697"/>
      <c r="S306" s="697"/>
      <c r="T306" s="883">
        <f>Q263+Q105</f>
        <v>12152850</v>
      </c>
      <c r="U306" s="883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85.889888180192685</v>
      </c>
      <c r="D307" s="941">
        <f>+D306/D308*100</f>
        <v>0</v>
      </c>
      <c r="E307" s="988"/>
      <c r="F307" s="941">
        <f>+F306/F308*100</f>
        <v>100</v>
      </c>
      <c r="G307" s="942"/>
      <c r="H307" s="943"/>
      <c r="I307" s="496"/>
      <c r="J307" s="259"/>
      <c r="K307" s="366"/>
      <c r="L307" s="701" t="s">
        <v>461</v>
      </c>
      <c r="M307" s="702"/>
      <c r="N307" s="703">
        <f>+N306/N308</f>
        <v>0.85889888180192686</v>
      </c>
      <c r="O307" s="696"/>
      <c r="P307" s="989">
        <f>P306/P308*100</f>
        <v>22.575395974487574</v>
      </c>
      <c r="Q307" s="885"/>
      <c r="R307" s="704"/>
      <c r="S307" s="704"/>
      <c r="T307" s="885">
        <f>T306/T308*100</f>
        <v>100</v>
      </c>
      <c r="U307" s="885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3950</v>
      </c>
      <c r="C308" s="746">
        <f>+C296+C298+C300+C302+C304+C306</f>
        <v>5620650</v>
      </c>
      <c r="D308" s="966">
        <f>SUM(D296,D298,D300,D302,D304,D306)</f>
        <v>4900825</v>
      </c>
      <c r="E308" s="967"/>
      <c r="F308" s="966">
        <f>+F306</f>
        <v>12404500</v>
      </c>
      <c r="G308" s="968"/>
      <c r="H308" s="969"/>
      <c r="I308" s="497"/>
      <c r="J308" s="497"/>
      <c r="K308" s="497"/>
      <c r="L308" s="981" t="s">
        <v>491</v>
      </c>
      <c r="M308" s="982"/>
      <c r="N308" s="705">
        <f>SUM(N296,N298,N300,N302,N304,N306)</f>
        <v>5620650</v>
      </c>
      <c r="O308" s="706">
        <f>SUM(O296,O298,O300,O302,O304,O306)</f>
        <v>3875</v>
      </c>
      <c r="P308" s="972">
        <f>SUM(P296,P298,P300,P302,P304,P306)</f>
        <v>5386395</v>
      </c>
      <c r="Q308" s="884"/>
      <c r="R308" s="707"/>
      <c r="S308" s="707"/>
      <c r="T308" s="884">
        <f>SUM(T306)</f>
        <v>12152850</v>
      </c>
      <c r="U308" s="884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44">
        <f>+C308/D310*100</f>
        <v>24.512291252588049</v>
      </c>
      <c r="C309" s="945"/>
      <c r="D309" s="944">
        <f>D308/D310*100</f>
        <v>21.373052899213583</v>
      </c>
      <c r="E309" s="945"/>
      <c r="F309" s="944">
        <f>F308/D310*100</f>
        <v>54.097429450815916</v>
      </c>
      <c r="G309" s="970"/>
      <c r="H309" s="971"/>
      <c r="I309" s="498"/>
      <c r="J309" s="365"/>
      <c r="K309" s="365"/>
      <c r="L309" s="708" t="s">
        <v>492</v>
      </c>
      <c r="M309" s="709"/>
      <c r="N309" s="710">
        <f>N308/O310*100</f>
        <v>24.264832538054037</v>
      </c>
      <c r="O309" s="711">
        <f>+O308/O310*100</f>
        <v>1.6728710395587591E-2</v>
      </c>
      <c r="P309" s="980">
        <f>P308/O310*100</f>
        <v>23.25353342741704</v>
      </c>
      <c r="Q309" s="875"/>
      <c r="R309" s="707"/>
      <c r="S309" s="707"/>
      <c r="T309" s="875">
        <f>T308/O310*100</f>
        <v>52.464905324133341</v>
      </c>
      <c r="U309" s="875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963" t="s">
        <v>493</v>
      </c>
      <c r="B310" s="964"/>
      <c r="C310" s="965"/>
      <c r="D310" s="935">
        <f>SUM(B308:F308)</f>
        <v>22929925</v>
      </c>
      <c r="E310" s="936"/>
      <c r="F310" s="936"/>
      <c r="G310" s="936"/>
      <c r="H310" s="937"/>
      <c r="I310" s="277"/>
      <c r="J310" s="277"/>
      <c r="K310" s="277"/>
      <c r="L310" s="996" t="s">
        <v>493</v>
      </c>
      <c r="M310" s="997"/>
      <c r="N310" s="998"/>
      <c r="O310" s="1078">
        <f>+N308+O308+P308+T308</f>
        <v>23163770</v>
      </c>
      <c r="P310" s="1078"/>
      <c r="Q310" s="1078"/>
      <c r="R310" s="1078"/>
      <c r="S310" s="1078"/>
      <c r="T310" s="1078"/>
      <c r="U310" s="1079"/>
      <c r="V310" s="712"/>
      <c r="W310" s="262"/>
      <c r="X310" s="201"/>
      <c r="Y310" s="857"/>
      <c r="Z310" s="819"/>
    </row>
    <row r="311" spans="1:34" s="261" customFormat="1" ht="19.5" customHeight="1" thickBot="1">
      <c r="A311" s="932" t="s">
        <v>494</v>
      </c>
      <c r="B311" s="933"/>
      <c r="C311" s="934"/>
      <c r="D311" s="938">
        <f>D310/C293</f>
        <v>2084538.6363636365</v>
      </c>
      <c r="E311" s="939"/>
      <c r="F311" s="939"/>
      <c r="G311" s="939"/>
      <c r="H311" s="940"/>
      <c r="I311" s="260"/>
      <c r="J311" s="357"/>
      <c r="K311" s="357"/>
      <c r="L311" s="974" t="s">
        <v>495</v>
      </c>
      <c r="M311" s="975"/>
      <c r="N311" s="976"/>
      <c r="O311" s="1075">
        <f>O310/N293</f>
        <v>2105797.2727272729</v>
      </c>
      <c r="P311" s="1076"/>
      <c r="Q311" s="1076"/>
      <c r="R311" s="1076"/>
      <c r="S311" s="1076"/>
      <c r="T311" s="1076"/>
      <c r="U311" s="1077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30" t="s">
        <v>496</v>
      </c>
      <c r="B313" s="979" t="s">
        <v>497</v>
      </c>
      <c r="C313" s="979"/>
      <c r="D313" s="979"/>
      <c r="E313" s="985" t="s">
        <v>498</v>
      </c>
      <c r="F313" s="985"/>
      <c r="G313" s="977" t="s">
        <v>499</v>
      </c>
      <c r="H313" s="986" t="s">
        <v>500</v>
      </c>
      <c r="I313" s="983" t="s">
        <v>501</v>
      </c>
      <c r="J313" s="358"/>
      <c r="K313" s="358"/>
      <c r="M313" s="977" t="s">
        <v>499</v>
      </c>
      <c r="N313" s="930" t="s">
        <v>496</v>
      </c>
      <c r="O313" s="979" t="s">
        <v>497</v>
      </c>
      <c r="P313" s="979"/>
      <c r="Q313" s="979"/>
      <c r="R313" s="890" t="s">
        <v>498</v>
      </c>
      <c r="S313" s="891"/>
      <c r="T313" s="891"/>
      <c r="U313" s="891"/>
      <c r="V313" s="892"/>
      <c r="W313" s="871" t="s">
        <v>500</v>
      </c>
      <c r="X313" s="888" t="s">
        <v>502</v>
      </c>
      <c r="Y313" s="1082" t="s">
        <v>503</v>
      </c>
      <c r="Z313" s="1080" t="s">
        <v>504</v>
      </c>
      <c r="AA313" s="1090" t="s">
        <v>505</v>
      </c>
      <c r="AB313" s="1069" t="s">
        <v>506</v>
      </c>
      <c r="AC313" s="1070"/>
      <c r="AD313" s="1070"/>
      <c r="AE313" s="1071"/>
      <c r="AF313" s="815"/>
      <c r="AG313" s="815"/>
      <c r="AH313" s="815"/>
    </row>
    <row r="314" spans="1:34" s="247" customFormat="1" ht="27.75" customHeight="1">
      <c r="A314" s="931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978"/>
      <c r="H314" s="987"/>
      <c r="I314" s="984"/>
      <c r="J314" s="358"/>
      <c r="K314" s="358"/>
      <c r="L314" s="775"/>
      <c r="M314" s="978"/>
      <c r="N314" s="931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872"/>
      <c r="X314" s="889"/>
      <c r="Y314" s="1082"/>
      <c r="Z314" s="1081"/>
      <c r="AA314" s="1091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13530</v>
      </c>
      <c r="AH314" s="847"/>
    </row>
    <row r="315" spans="1:34" s="193" customFormat="1" ht="15" customHeight="1">
      <c r="A315" s="289">
        <f>SUM(BRAN!N21,BRAN!N40:N41,BRAN!N145:N150,BRAN!N167:N168,BRAN!N188:N190,BRAN!N193)+BRAN!N234+BRAN!N235+BRAN!N236+BRAN!N237+BRAN!M245+BRAN!N330+BRAN!N327+BRAN!N328+BRAN!N329</f>
        <v>134650</v>
      </c>
      <c r="B315" s="265">
        <f>+SUM(P118:P145)+SUM(BRAN!N295,BRAN!N251:N255,BRAN!N177,BRAN!N89:N109,BRAN!N36:N38,BRAN!N16,BRAN!N18:N20)+SUM(X136:X145)*50+BRAN!N261+BRAN!N180+BRAN!N182+BRAN!N123+BRAN!N118</f>
        <v>737925</v>
      </c>
      <c r="C315" s="265">
        <f>SUM(P146:P173)+SUM(BRAN!N23:N24,BRAN!N39,BRAN!N110:N132,BRAN!N178:N184,BRAN!N256:N265,BRAN!N296:N298,BRAN!N324:N326)-BRAN!N123-BRAN!N118-BRAN!N180-BRAN!N182-BRAN!N261</f>
        <v>1194250</v>
      </c>
      <c r="D315" s="265">
        <f>SUM(P174:P195)+SUM(BRAN!N299:N300,BRAN!N266:N274,BRAN!N185:N187,BRAN!N133:N144,BRAN!N25)+SUM(X174:X195)*50+BRAN!N13</f>
        <v>398325</v>
      </c>
      <c r="E315" s="265">
        <f>SUM(P10:P45,P62:P68)+SUM(BRAN!N42:N60,BRAN!N169,BRAN!N317,BRAN!N17)+SUM(BRAN!U42:U61)*25+BRAN!N170+BRAN!N218+BRAN!N229+BRAN!N224+BRAN!N222</f>
        <v>545075</v>
      </c>
      <c r="F315" s="265">
        <f>SUM(P46:P55)+SUM(BRAN!N207:N217,BRAN!N64:N75,BRAN!N30:N35)+BRAN!N315+BRAN!N318+BRAN!N294</f>
        <v>314825</v>
      </c>
      <c r="G315" s="265">
        <f>+SUM(BRAN!N191:N192)+BRAN!N331</f>
        <v>1000</v>
      </c>
      <c r="H315" s="265">
        <f>SUM(BRAN!N26:N29,BRAN!N233)+BRAN!N62</f>
        <v>72425</v>
      </c>
      <c r="I315" s="632">
        <f>SUM(BRAN!N76:N88,BRAN!N171:N176,BRAN!N246:N250,BRAN!N275:N276,BRAN!N320:N321)+SUM(P69:P73,P55:P61)</f>
        <v>249550</v>
      </c>
      <c r="J315" s="222"/>
      <c r="K315" s="222"/>
      <c r="L315" s="811">
        <f>SUM(A315:I315)</f>
        <v>3648025</v>
      </c>
      <c r="M315" s="264">
        <f>+BRAN!BF26</f>
        <v>8850</v>
      </c>
      <c r="N315" s="264">
        <f>+BRAN!BF25</f>
        <v>337165</v>
      </c>
      <c r="O315" s="493">
        <f>BRAN!BF15+BI135</f>
        <v>3848635</v>
      </c>
      <c r="P315" s="265">
        <f>+BI136+BRAN!BF16</f>
        <v>13440205</v>
      </c>
      <c r="Q315" s="265">
        <f>BI145+BRAN!BF17</f>
        <v>2739000</v>
      </c>
      <c r="R315" s="265"/>
      <c r="S315" s="265"/>
      <c r="T315" s="265">
        <f>BRAN!BF21+BRAN!BF18+BI10</f>
        <v>1449570</v>
      </c>
      <c r="U315" s="265">
        <f>+BRAN!BF20+BI11</f>
        <v>286300</v>
      </c>
      <c r="V315" s="732">
        <f>+BI12</f>
        <v>0</v>
      </c>
      <c r="W315" s="265">
        <f>+BRAN!BF24</f>
        <v>128490</v>
      </c>
      <c r="X315" s="434">
        <f>BK20+BRAN!BI22</f>
        <v>912025</v>
      </c>
      <c r="Y315" s="826">
        <f>SUM(S119)+SUM(BRAN!Q13)</f>
        <v>0</v>
      </c>
      <c r="Z315" s="826">
        <f>+BRAN!BF29</f>
        <v>0</v>
      </c>
      <c r="AA315" s="384">
        <f>+BRAN!Q207+BRAN!Q14+BRAN!Q168+BRAN!Q325</f>
        <v>322530</v>
      </c>
      <c r="AB315" s="356">
        <f>+BRAN!Q320+BRAN!Q296+BRAN!Q217+BRAN!Q218+BRAN!Q169+BRAN!Q170+BRAN!Q19+BRAN!Q15+INTGRATE!S128+INTGRATE!S13</f>
        <v>1153345</v>
      </c>
      <c r="AC315" s="356">
        <f>S131+BRAN!Q324+BRAN!Q297+BRAN!Q233+BRAN!Q171+BRAN!Q17</f>
        <v>2555050</v>
      </c>
      <c r="AD315" s="356">
        <f>BRAN!Q18+BRAN!Q326+BRAN!Q234+BRAN!Q299+S16</f>
        <v>601575</v>
      </c>
      <c r="AE315" s="356">
        <f>S144+S19+BRAN!Q16+BRAN!Q172+BRAN!Q246+BRAN!Q298+BRAN!Q321</f>
        <v>18531270</v>
      </c>
      <c r="AF315" s="590">
        <f>SUM(M315:X315)</f>
        <v>23150240</v>
      </c>
      <c r="AG315" s="848">
        <f>SUM(Y315:AE315)</f>
        <v>23163770</v>
      </c>
      <c r="AH315" s="848">
        <f>AG315-AF315</f>
        <v>13530</v>
      </c>
    </row>
    <row r="316" spans="1:34" s="726" customFormat="1" ht="15" customHeight="1" thickBot="1">
      <c r="A316" s="723">
        <f>A315/$L$315</f>
        <v>3.6910383015467271E-2</v>
      </c>
      <c r="B316" s="723">
        <f t="shared" ref="B316:I316" si="98">B315/$L$315</f>
        <v>0.20228068612468392</v>
      </c>
      <c r="C316" s="723">
        <f t="shared" si="98"/>
        <v>0.32736891879852797</v>
      </c>
      <c r="D316" s="723">
        <f t="shared" si="98"/>
        <v>0.10918921882388416</v>
      </c>
      <c r="E316" s="723">
        <f t="shared" si="98"/>
        <v>0.14941646507356721</v>
      </c>
      <c r="F316" s="723">
        <f t="shared" si="98"/>
        <v>8.6300121298510835E-2</v>
      </c>
      <c r="G316" s="723">
        <f t="shared" si="98"/>
        <v>2.7412092844758464E-4</v>
      </c>
      <c r="H316" s="723">
        <f t="shared" si="98"/>
        <v>1.985320824281632E-2</v>
      </c>
      <c r="I316" s="723">
        <f t="shared" si="98"/>
        <v>6.8406877694094745E-2</v>
      </c>
      <c r="J316" s="724"/>
      <c r="K316" s="724"/>
      <c r="L316" s="776"/>
      <c r="M316" s="723">
        <f>M315/$O$310</f>
        <v>3.8206216000245211E-4</v>
      </c>
      <c r="N316" s="723">
        <f t="shared" ref="N316:X316" si="99">N315/$O$310</f>
        <v>1.4555704878782685E-2</v>
      </c>
      <c r="O316" s="723">
        <f t="shared" si="99"/>
        <v>0.16614890408599292</v>
      </c>
      <c r="P316" s="723">
        <f t="shared" si="99"/>
        <v>0.5802252828447183</v>
      </c>
      <c r="Q316" s="723">
        <f t="shared" si="99"/>
        <v>0.11824500070584365</v>
      </c>
      <c r="R316" s="723">
        <f t="shared" si="99"/>
        <v>0</v>
      </c>
      <c r="S316" s="723">
        <f t="shared" si="99"/>
        <v>0</v>
      </c>
      <c r="T316" s="723">
        <f t="shared" si="99"/>
        <v>6.2579191556469432E-2</v>
      </c>
      <c r="U316" s="723">
        <f t="shared" si="99"/>
        <v>1.2359818803243168E-2</v>
      </c>
      <c r="V316" s="723">
        <f t="shared" si="99"/>
        <v>0</v>
      </c>
      <c r="W316" s="723">
        <f t="shared" si="99"/>
        <v>5.5470245128491609E-3</v>
      </c>
      <c r="X316" s="764">
        <f t="shared" si="99"/>
        <v>3.937290864138264E-2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1.3923899261648687E-2</v>
      </c>
      <c r="AB316" s="725">
        <f t="shared" si="100"/>
        <v>4.9790901912771537E-2</v>
      </c>
      <c r="AC316" s="725">
        <f t="shared" si="100"/>
        <v>0.11030371999031245</v>
      </c>
      <c r="AD316" s="725">
        <f t="shared" si="100"/>
        <v>2.5970513435420919E-2</v>
      </c>
      <c r="AE316" s="725">
        <f t="shared" si="100"/>
        <v>0.8000109653998464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973"/>
      <c r="M317" s="973"/>
      <c r="N317" s="973"/>
      <c r="O317" s="973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1375585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F108+F266+BRAN!F158+BRAN!F198+BRAN!F282+BRAN!F306+BRAN!F337</f>
        <v>1375585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37">
        <f>[2]BRAN!N3</f>
        <v>41756</v>
      </c>
      <c r="P3" s="1137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2" t="s">
        <v>13</v>
      </c>
      <c r="B7" s="1142"/>
      <c r="C7" s="1142"/>
      <c r="D7" s="1142"/>
      <c r="E7" s="1142"/>
      <c r="F7" s="1142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2" t="s">
        <v>14</v>
      </c>
      <c r="B8" s="1142"/>
      <c r="C8" s="1142"/>
      <c r="D8" s="1142"/>
      <c r="E8" s="1142"/>
      <c r="F8" s="1142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2" t="s">
        <v>252</v>
      </c>
      <c r="B9" s="1142"/>
      <c r="C9" s="1142"/>
      <c r="D9" s="1142"/>
      <c r="E9" s="1142"/>
      <c r="F9" s="1142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60">
        <f>+BRAN!O3</f>
        <v>46154</v>
      </c>
      <c r="Q9" s="960"/>
      <c r="R9" s="960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38" t="s">
        <v>524</v>
      </c>
      <c r="B13" s="1138"/>
      <c r="C13" s="1138"/>
      <c r="D13" s="1138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8"/>
    </row>
    <row r="14" spans="1:19" ht="17.25" customHeight="1">
      <c r="A14" s="1139" t="s">
        <v>525</v>
      </c>
      <c r="B14" s="1139"/>
      <c r="C14" s="1139"/>
      <c r="D14" s="1139"/>
      <c r="E14" s="1139"/>
      <c r="F14" s="1139"/>
      <c r="G14" s="1139"/>
      <c r="H14" s="1139"/>
      <c r="I14" s="1139"/>
      <c r="J14" s="1139"/>
      <c r="K14" s="1139"/>
      <c r="L14" s="1139"/>
      <c r="M14" s="1139"/>
      <c r="N14" s="1139"/>
      <c r="O14" s="1139"/>
      <c r="P14" s="1139"/>
      <c r="Q14" s="1139"/>
      <c r="R14" s="1139"/>
    </row>
    <row r="15" spans="1:19" ht="13.7" customHeight="1">
      <c r="A15" s="279"/>
      <c r="B15" s="1140"/>
      <c r="C15" s="1140"/>
      <c r="D15" s="1140"/>
      <c r="E15" s="1140"/>
      <c r="F15" s="1140"/>
      <c r="G15" s="1141"/>
      <c r="H15" s="1141"/>
      <c r="I15" s="1141"/>
      <c r="J15" s="1141"/>
      <c r="K15" s="1141"/>
      <c r="L15" s="1141"/>
      <c r="M15" s="1141"/>
      <c r="N15" s="1141"/>
      <c r="O15" s="1141"/>
      <c r="P15" s="1140"/>
      <c r="Q15" s="1140"/>
      <c r="R15" s="1140"/>
    </row>
    <row r="16" spans="1:19" s="28" customFormat="1" ht="30.75" customHeight="1">
      <c r="A16" s="1130" t="s">
        <v>22</v>
      </c>
      <c r="B16" s="1149" t="s">
        <v>23</v>
      </c>
      <c r="C16" s="1149" t="s">
        <v>24</v>
      </c>
      <c r="D16" s="1146" t="s">
        <v>25</v>
      </c>
      <c r="E16" s="751" t="s">
        <v>26</v>
      </c>
      <c r="F16" s="1135" t="s">
        <v>526</v>
      </c>
      <c r="G16" s="1128" t="s">
        <v>527</v>
      </c>
      <c r="H16" s="1129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5" t="s">
        <v>531</v>
      </c>
      <c r="R16" s="1153" t="s">
        <v>532</v>
      </c>
    </row>
    <row r="17" spans="1:254" s="28" customFormat="1" ht="30.75" customHeight="1">
      <c r="A17" s="1131"/>
      <c r="B17" s="1150"/>
      <c r="C17" s="1150"/>
      <c r="D17" s="1147" t="s">
        <v>35</v>
      </c>
      <c r="E17" s="752" t="s">
        <v>36</v>
      </c>
      <c r="F17" s="1136"/>
      <c r="G17" s="1133" t="s">
        <v>533</v>
      </c>
      <c r="H17" s="1134"/>
      <c r="I17" s="755" t="s">
        <v>534</v>
      </c>
      <c r="J17" s="755"/>
      <c r="K17" s="755"/>
      <c r="L17" s="755"/>
      <c r="M17" s="756" t="s">
        <v>535</v>
      </c>
      <c r="N17" s="1133" t="s">
        <v>536</v>
      </c>
      <c r="O17" s="1134"/>
      <c r="P17" s="759" t="s">
        <v>537</v>
      </c>
      <c r="Q17" s="1156"/>
      <c r="R17" s="1154"/>
    </row>
    <row r="18" spans="1:254" s="28" customFormat="1" ht="30.75" customHeight="1">
      <c r="A18" s="1132"/>
      <c r="B18" s="1151"/>
      <c r="C18" s="1151"/>
      <c r="D18" s="1148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2" t="s">
        <v>544</v>
      </c>
      <c r="B23" s="1152"/>
      <c r="C23" s="1152"/>
      <c r="D23" s="1152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4">
        <f t="shared" ref="T23:AX23" si="4">SUM(T19:T21)</f>
        <v>0</v>
      </c>
      <c r="U23" s="1144">
        <f t="shared" si="4"/>
        <v>0</v>
      </c>
      <c r="V23" s="1144">
        <f t="shared" si="4"/>
        <v>0</v>
      </c>
      <c r="W23" s="1144">
        <f t="shared" si="4"/>
        <v>0</v>
      </c>
      <c r="X23" s="1144">
        <f t="shared" si="4"/>
        <v>0</v>
      </c>
      <c r="Y23" s="1144">
        <f t="shared" si="4"/>
        <v>0</v>
      </c>
      <c r="Z23" s="1144">
        <f t="shared" si="4"/>
        <v>0</v>
      </c>
      <c r="AA23" s="1144">
        <f t="shared" si="4"/>
        <v>0</v>
      </c>
      <c r="AB23" s="1144">
        <f t="shared" si="4"/>
        <v>0</v>
      </c>
      <c r="AC23" s="1144">
        <f t="shared" si="4"/>
        <v>0</v>
      </c>
      <c r="AD23" s="1144">
        <f t="shared" si="4"/>
        <v>0</v>
      </c>
      <c r="AE23" s="1144">
        <f t="shared" si="4"/>
        <v>0</v>
      </c>
      <c r="AF23" s="1144">
        <f t="shared" si="4"/>
        <v>0</v>
      </c>
      <c r="AG23" s="1144">
        <f t="shared" si="4"/>
        <v>0</v>
      </c>
      <c r="AH23" s="1144">
        <f t="shared" si="4"/>
        <v>0</v>
      </c>
      <c r="AI23" s="1144">
        <f t="shared" si="4"/>
        <v>0</v>
      </c>
      <c r="AJ23" s="1144">
        <f t="shared" si="4"/>
        <v>0</v>
      </c>
      <c r="AK23" s="1144">
        <f t="shared" si="4"/>
        <v>0</v>
      </c>
      <c r="AL23" s="1144">
        <f t="shared" si="4"/>
        <v>0</v>
      </c>
      <c r="AM23" s="1144">
        <f t="shared" si="4"/>
        <v>0</v>
      </c>
      <c r="AN23" s="1144">
        <f t="shared" si="4"/>
        <v>0</v>
      </c>
      <c r="AO23" s="1144">
        <f t="shared" si="4"/>
        <v>0</v>
      </c>
      <c r="AP23" s="1144">
        <f t="shared" si="4"/>
        <v>0</v>
      </c>
      <c r="AQ23" s="1144">
        <f t="shared" si="4"/>
        <v>0</v>
      </c>
      <c r="AR23" s="1144">
        <f t="shared" si="4"/>
        <v>0</v>
      </c>
      <c r="AS23" s="1144">
        <f t="shared" si="4"/>
        <v>0</v>
      </c>
      <c r="AT23" s="1144">
        <f t="shared" si="4"/>
        <v>0</v>
      </c>
      <c r="AU23" s="1144">
        <f t="shared" si="4"/>
        <v>0</v>
      </c>
      <c r="AV23" s="1144">
        <f t="shared" si="4"/>
        <v>0</v>
      </c>
      <c r="AW23" s="1144">
        <f t="shared" si="4"/>
        <v>0</v>
      </c>
      <c r="AX23" s="1144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3" t="s">
        <v>545</v>
      </c>
      <c r="B24" s="1143"/>
      <c r="C24" s="1143"/>
      <c r="D24" s="1143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5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145"/>
      <c r="AS24" s="1145"/>
      <c r="AT24" s="1145"/>
      <c r="AU24" s="1145"/>
      <c r="AV24" s="1145"/>
      <c r="AW24" s="1145"/>
      <c r="AX24" s="1145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  <row r="768" spans="2:6">
      <c r="B768" s="370" t="s">
        <v>2070</v>
      </c>
      <c r="C768" s="370">
        <v>21115110200100</v>
      </c>
      <c r="D768" s="369" t="s">
        <v>2071</v>
      </c>
      <c r="E768" s="379" t="s">
        <v>139</v>
      </c>
      <c r="F768" s="16" t="s">
        <v>66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28" zoomScaleNormal="100" workbookViewId="0">
      <selection activeCell="E46" sqref="E46:G46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23000</v>
      </c>
      <c r="C1" s="572">
        <f t="shared" ref="C1:C32" si="0">IF(F1="","",B1-K1)</f>
        <v>0</v>
      </c>
      <c r="D1" s="573" t="str">
        <f>IFERROR(VLOOKUP(E1,Map!$B:$F,4,0),"")&amp;IFERROR(VLOOKUP(E1,Map!$B:$F,5,0),"")</f>
        <v>567SFS3150</v>
      </c>
      <c r="E1" s="574" t="str">
        <f>IF(MID(F1,10,2)="99",F1&amp;H1,LEFT(F1,14))</f>
        <v>21115671999250S31</v>
      </c>
      <c r="F1" s="428">
        <v>21115671999250</v>
      </c>
      <c r="G1" t="s">
        <v>1324</v>
      </c>
      <c r="H1" t="s">
        <v>2072</v>
      </c>
      <c r="I1">
        <v>50</v>
      </c>
      <c r="J1" s="442">
        <v>460</v>
      </c>
      <c r="K1" s="442">
        <v>23000</v>
      </c>
      <c r="L1" s="14">
        <v>236670000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31770</v>
      </c>
      <c r="C2" s="572">
        <f t="shared" si="0"/>
        <v>0</v>
      </c>
      <c r="D2" s="573" t="str">
        <f>IFERROR(VLOOKUP(E2,Map!$B:$F,4,0),"")&amp;IFERROR(VLOOKUP(E2,Map!$B:$F,5,0),"")</f>
        <v>567SFS31Silo</v>
      </c>
      <c r="E2" s="574" t="str">
        <f t="shared" ref="E2:E32" si="1">IF(MID(F2,10,2)="99",F2&amp;H2,LEFT(F2,14))</f>
        <v>21115671999300S31</v>
      </c>
      <c r="F2" s="428">
        <v>21115671999300</v>
      </c>
      <c r="G2" t="s">
        <v>1316</v>
      </c>
      <c r="H2" t="s">
        <v>2072</v>
      </c>
      <c r="I2">
        <v>0</v>
      </c>
      <c r="J2" s="442">
        <v>0</v>
      </c>
      <c r="K2" s="442">
        <v>31770</v>
      </c>
      <c r="L2" s="14">
        <v>322783200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5400</v>
      </c>
      <c r="C3" s="572">
        <f t="shared" si="0"/>
        <v>0</v>
      </c>
      <c r="D3" s="573" t="str">
        <f>IFERROR(VLOOKUP(E3,Map!$B:$F,4,0),"")&amp;IFERROR(VLOOKUP(E3,Map!$B:$F,5,0),"")</f>
        <v>30125</v>
      </c>
      <c r="E3" s="574" t="str">
        <f t="shared" si="1"/>
        <v>21113010000125</v>
      </c>
      <c r="F3" s="428">
        <v>21113010000125</v>
      </c>
      <c r="G3" t="s">
        <v>2073</v>
      </c>
      <c r="H3" t="s">
        <v>17</v>
      </c>
      <c r="I3">
        <v>25</v>
      </c>
      <c r="J3" s="442">
        <v>216</v>
      </c>
      <c r="K3" s="442">
        <v>5400</v>
      </c>
      <c r="L3" s="14">
        <v>63612000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5275</v>
      </c>
      <c r="C4" s="572">
        <f t="shared" si="0"/>
        <v>0</v>
      </c>
      <c r="D4" s="573" t="str">
        <f>IFERROR(VLOOKUP(E4,Map!$B:$F,4,0),"")&amp;IFERROR(VLOOKUP(E4,Map!$B:$F,5,0),"")</f>
        <v>511L25</v>
      </c>
      <c r="E4" s="574" t="str">
        <f t="shared" si="1"/>
        <v>21115111200125</v>
      </c>
      <c r="F4" s="428">
        <v>21115111200125</v>
      </c>
      <c r="G4" t="s">
        <v>2074</v>
      </c>
      <c r="H4" t="s">
        <v>17</v>
      </c>
      <c r="I4">
        <v>25</v>
      </c>
      <c r="J4" s="442">
        <v>211</v>
      </c>
      <c r="K4" s="442">
        <v>5275</v>
      </c>
      <c r="L4" s="14">
        <v>58816250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4000</v>
      </c>
      <c r="C5" s="572">
        <f t="shared" si="0"/>
        <v>0</v>
      </c>
      <c r="D5" s="573" t="str">
        <f>IFERROR(VLOOKUP(E5,Map!$B:$F,4,0),"")&amp;IFERROR(VLOOKUP(E5,Map!$B:$F,5,0),"")</f>
        <v>548F50</v>
      </c>
      <c r="E5" s="574" t="str">
        <f t="shared" si="1"/>
        <v>21115480000250</v>
      </c>
      <c r="F5" s="428">
        <v>21115480000250</v>
      </c>
      <c r="G5" t="s">
        <v>2075</v>
      </c>
      <c r="H5" t="s">
        <v>17</v>
      </c>
      <c r="I5">
        <v>50</v>
      </c>
      <c r="J5" s="442">
        <v>80</v>
      </c>
      <c r="K5" s="442">
        <v>4000</v>
      </c>
      <c r="L5" s="14">
        <v>36840000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3500</v>
      </c>
      <c r="C6" s="572">
        <f t="shared" si="0"/>
        <v>0</v>
      </c>
      <c r="D6" s="573" t="str">
        <f>IFERROR(VLOOKUP(E6,Map!$B:$F,4,0),"")&amp;IFERROR(VLOOKUP(E6,Map!$B:$F,5,0),"")</f>
        <v>510M25</v>
      </c>
      <c r="E6" s="574" t="str">
        <f t="shared" si="1"/>
        <v>21115101300125</v>
      </c>
      <c r="F6" s="428">
        <v>21115101300125</v>
      </c>
      <c r="G6" t="s">
        <v>2076</v>
      </c>
      <c r="H6" t="s">
        <v>17</v>
      </c>
      <c r="I6">
        <v>25</v>
      </c>
      <c r="J6" s="442">
        <v>140</v>
      </c>
      <c r="K6" s="442">
        <v>3500</v>
      </c>
      <c r="L6" s="14">
        <v>41685000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8000</v>
      </c>
      <c r="C7" s="572">
        <f t="shared" si="0"/>
        <v>0</v>
      </c>
      <c r="D7" s="573" t="str">
        <f>IFERROR(VLOOKUP(E7,Map!$B:$F,4,0),"")&amp;IFERROR(VLOOKUP(E7,Map!$B:$F,5,0),"")</f>
        <v>549F50</v>
      </c>
      <c r="E7" s="574" t="str">
        <f t="shared" si="1"/>
        <v>21115490000250</v>
      </c>
      <c r="F7" s="428">
        <v>21115490000250</v>
      </c>
      <c r="G7" t="s">
        <v>2077</v>
      </c>
      <c r="H7" t="s">
        <v>17</v>
      </c>
      <c r="I7">
        <v>50</v>
      </c>
      <c r="J7" s="442">
        <v>160</v>
      </c>
      <c r="K7" s="442">
        <v>8000</v>
      </c>
      <c r="L7" s="14">
        <v>74000000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15675</v>
      </c>
      <c r="C8" s="572">
        <f t="shared" si="0"/>
        <v>0</v>
      </c>
      <c r="D8" s="573" t="str">
        <f>IFERROR(VLOOKUP(E8,Map!$B:$F,4,0),"")&amp;IFERROR(VLOOKUP(E8,Map!$B:$F,5,0),"")</f>
        <v>551X25</v>
      </c>
      <c r="E8" s="574" t="str">
        <f t="shared" si="1"/>
        <v>21115512400125</v>
      </c>
      <c r="F8" s="428">
        <v>21115512400125</v>
      </c>
      <c r="G8" t="s">
        <v>1863</v>
      </c>
      <c r="H8" t="s">
        <v>17</v>
      </c>
      <c r="I8">
        <v>25</v>
      </c>
      <c r="J8" s="442">
        <v>627</v>
      </c>
      <c r="K8" s="442">
        <v>15675</v>
      </c>
      <c r="L8" s="14">
        <v>272274750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104300</v>
      </c>
      <c r="C9" s="572">
        <f t="shared" si="0"/>
        <v>0</v>
      </c>
      <c r="D9" s="573" t="str">
        <f>IFERROR(VLOOKUP(E9,Map!$B:$F,4,0),"")&amp;IFERROR(VLOOKUP(E9,Map!$B:$F,5,0),"")</f>
        <v>551GPFS1350</v>
      </c>
      <c r="E9" s="574" t="str">
        <f t="shared" si="1"/>
        <v>21115517599250S13</v>
      </c>
      <c r="F9" s="428">
        <v>21115517599250</v>
      </c>
      <c r="G9" t="s">
        <v>1350</v>
      </c>
      <c r="H9" t="s">
        <v>2078</v>
      </c>
      <c r="I9">
        <v>50</v>
      </c>
      <c r="J9" s="442">
        <v>2086</v>
      </c>
      <c r="K9" s="442">
        <v>104300</v>
      </c>
      <c r="L9" s="14">
        <v>1101408000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3460</v>
      </c>
      <c r="C10" s="572">
        <f t="shared" si="0"/>
        <v>0</v>
      </c>
      <c r="D10" s="573" t="str">
        <f>IFERROR(VLOOKUP(E10,Map!$B:$F,4,0),"")&amp;IFERROR(VLOOKUP(E10,Map!$B:$F,5,0),"")</f>
        <v>552Silo</v>
      </c>
      <c r="E10" s="574" t="str">
        <f t="shared" si="1"/>
        <v>21115520000100</v>
      </c>
      <c r="F10" s="428">
        <v>21115520000100</v>
      </c>
      <c r="G10" t="s">
        <v>1474</v>
      </c>
      <c r="H10" t="s">
        <v>17</v>
      </c>
      <c r="I10">
        <v>0</v>
      </c>
      <c r="J10" s="442">
        <v>0</v>
      </c>
      <c r="K10" s="442">
        <v>3460</v>
      </c>
      <c r="L10" s="14">
        <v>38267600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14900</v>
      </c>
      <c r="C11" s="572">
        <f t="shared" si="0"/>
        <v>0</v>
      </c>
      <c r="D11" s="573" t="str">
        <f>IFERROR(VLOOKUP(E11,Map!$B:$F,4,0),"")&amp;IFERROR(VLOOKUP(E11,Map!$B:$F,5,0),"")</f>
        <v>553SSilo</v>
      </c>
      <c r="E11" s="574" t="str">
        <f t="shared" si="1"/>
        <v>21115531900100</v>
      </c>
      <c r="F11" s="428">
        <v>21115531900100</v>
      </c>
      <c r="G11" t="s">
        <v>1498</v>
      </c>
      <c r="H11" t="s">
        <v>17</v>
      </c>
      <c r="I11">
        <v>0</v>
      </c>
      <c r="J11" s="442">
        <v>0</v>
      </c>
      <c r="K11" s="442">
        <v>14900</v>
      </c>
      <c r="L11" s="14">
        <v>161218000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20500</v>
      </c>
      <c r="C12" s="572">
        <f t="shared" si="0"/>
        <v>0</v>
      </c>
      <c r="D12" s="573" t="str">
        <f>IFERROR(VLOOKUP(E12,Map!$B:$F,4,0),"")&amp;IFERROR(VLOOKUP(E12,Map!$B:$F,5,0),"")</f>
        <v>511ANFP9250</v>
      </c>
      <c r="E12" s="574" t="str">
        <f t="shared" si="1"/>
        <v>21115114399250P92</v>
      </c>
      <c r="F12" s="428">
        <v>21115114399250</v>
      </c>
      <c r="G12" t="s">
        <v>1222</v>
      </c>
      <c r="H12" t="s">
        <v>2079</v>
      </c>
      <c r="I12">
        <v>50</v>
      </c>
      <c r="J12" s="442">
        <v>410</v>
      </c>
      <c r="K12" s="442">
        <v>20500</v>
      </c>
      <c r="L12" s="14">
        <v>227960000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17250</v>
      </c>
      <c r="C13" s="572">
        <f t="shared" si="0"/>
        <v>0</v>
      </c>
      <c r="D13" s="573" t="str">
        <f>IFERROR(VLOOKUP(E13,Map!$B:$F,4,0),"")&amp;IFERROR(VLOOKUP(E13,Map!$B:$F,5,0),"")</f>
        <v>550Pro25</v>
      </c>
      <c r="E13" s="574" t="str">
        <f t="shared" si="1"/>
        <v>21115501600125</v>
      </c>
      <c r="F13" s="428">
        <v>21115501600125</v>
      </c>
      <c r="G13" t="s">
        <v>1720</v>
      </c>
      <c r="H13" t="s">
        <v>17</v>
      </c>
      <c r="I13">
        <v>25</v>
      </c>
      <c r="J13" s="442">
        <v>690</v>
      </c>
      <c r="K13" s="442">
        <v>17250</v>
      </c>
      <c r="L13" s="14">
        <v>394335000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500</v>
      </c>
      <c r="C14" s="572">
        <f t="shared" si="0"/>
        <v>0</v>
      </c>
      <c r="D14" s="573" t="str">
        <f>IFERROR(VLOOKUP(E14,Map!$B:$F,4,0),"")&amp;IFERROR(VLOOKUP(E14,Map!$B:$F,5,0),"")</f>
        <v>688425</v>
      </c>
      <c r="E14" s="574" t="str">
        <f t="shared" si="1"/>
        <v>21163840000125</v>
      </c>
      <c r="F14" s="428">
        <v>21163840000125</v>
      </c>
      <c r="G14" t="s">
        <v>1817</v>
      </c>
      <c r="H14" t="s">
        <v>17</v>
      </c>
      <c r="I14">
        <v>25</v>
      </c>
      <c r="J14" s="442">
        <v>20</v>
      </c>
      <c r="K14" s="442">
        <v>500</v>
      </c>
      <c r="L14" s="14">
        <v>4560000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8000</v>
      </c>
      <c r="C15" s="572">
        <f t="shared" si="0"/>
        <v>0</v>
      </c>
      <c r="D15" s="573" t="str">
        <f>IFERROR(VLOOKUP(E15,Map!$B:$F,4,0),"")&amp;IFERROR(VLOOKUP(E15,Map!$B:$F,5,0),"")</f>
        <v>550PF10</v>
      </c>
      <c r="E15" s="574" t="str">
        <f t="shared" si="1"/>
        <v>21115501600210</v>
      </c>
      <c r="F15" s="428">
        <v>21115501600210</v>
      </c>
      <c r="G15" t="s">
        <v>2080</v>
      </c>
      <c r="H15" t="s">
        <v>17</v>
      </c>
      <c r="I15">
        <v>10</v>
      </c>
      <c r="J15" s="442">
        <v>800</v>
      </c>
      <c r="K15" s="442">
        <v>8000</v>
      </c>
      <c r="L15" s="14">
        <v>212880000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27425</v>
      </c>
      <c r="C16" s="572">
        <f t="shared" si="0"/>
        <v>0</v>
      </c>
      <c r="D16" s="573" t="str">
        <f>IFERROR(VLOOKUP(E16,Map!$B:$F,4,0),"")&amp;IFERROR(VLOOKUP(E16,Map!$B:$F,5,0),"")</f>
        <v>567S25</v>
      </c>
      <c r="E16" s="574" t="str">
        <f t="shared" si="1"/>
        <v>21115671900125</v>
      </c>
      <c r="F16" s="428">
        <v>21115671900125</v>
      </c>
      <c r="G16" t="s">
        <v>2081</v>
      </c>
      <c r="H16" t="s">
        <v>17</v>
      </c>
      <c r="I16">
        <v>25</v>
      </c>
      <c r="J16" s="442">
        <v>1097</v>
      </c>
      <c r="K16" s="442">
        <v>27425</v>
      </c>
      <c r="L16" s="14">
        <v>337582250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14725</v>
      </c>
      <c r="C17" s="572">
        <f t="shared" si="0"/>
        <v>0</v>
      </c>
      <c r="D17" s="573" t="str">
        <f>IFERROR(VLOOKUP(E17,Map!$B:$F,4,0),"")&amp;IFERROR(VLOOKUP(E17,Map!$B:$F,5,0),"")</f>
        <v>55125</v>
      </c>
      <c r="E17" s="574" t="str">
        <f t="shared" si="1"/>
        <v>21115510000125</v>
      </c>
      <c r="F17" s="428">
        <v>21115510000125</v>
      </c>
      <c r="G17" t="s">
        <v>2082</v>
      </c>
      <c r="H17" t="s">
        <v>17</v>
      </c>
      <c r="I17">
        <v>25</v>
      </c>
      <c r="J17" s="442">
        <v>589</v>
      </c>
      <c r="K17" s="442">
        <v>14725</v>
      </c>
      <c r="L17" s="14">
        <v>235524500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43000</v>
      </c>
      <c r="C18" s="572">
        <f t="shared" si="0"/>
        <v>0</v>
      </c>
      <c r="D18" s="573" t="str">
        <f>IFERROR(VLOOKUP(E18,Map!$B:$F,4,0),"")&amp;IFERROR(VLOOKUP(E18,Map!$B:$F,5,0),"")</f>
        <v>562PFS9050</v>
      </c>
      <c r="E18" s="574" t="str">
        <f t="shared" si="1"/>
        <v>21115621699250S90</v>
      </c>
      <c r="F18" s="428">
        <v>21115621699250</v>
      </c>
      <c r="G18" t="s">
        <v>1611</v>
      </c>
      <c r="H18" t="s">
        <v>2083</v>
      </c>
      <c r="I18">
        <v>50</v>
      </c>
      <c r="J18" s="442">
        <v>860</v>
      </c>
      <c r="K18" s="442">
        <v>43000</v>
      </c>
      <c r="L18" s="14">
        <v>363780000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14525</v>
      </c>
      <c r="C19" s="572">
        <f t="shared" si="0"/>
        <v>0</v>
      </c>
      <c r="D19" s="573" t="str">
        <f>IFERROR(VLOOKUP(E19,Map!$B:$F,4,0),"")&amp;IFERROR(VLOOKUP(E19,Map!$B:$F,5,0),"")</f>
        <v>54825</v>
      </c>
      <c r="E19" s="574" t="str">
        <f t="shared" si="1"/>
        <v>21115480000125</v>
      </c>
      <c r="F19" s="428">
        <v>21115480000125</v>
      </c>
      <c r="G19" t="s">
        <v>2084</v>
      </c>
      <c r="H19" t="s">
        <v>17</v>
      </c>
      <c r="I19">
        <v>25</v>
      </c>
      <c r="J19" s="442">
        <v>581</v>
      </c>
      <c r="K19" s="442">
        <v>14525</v>
      </c>
      <c r="L19" s="14">
        <v>167328000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85200</v>
      </c>
      <c r="C20" s="572">
        <f t="shared" si="0"/>
        <v>0</v>
      </c>
      <c r="D20" s="573" t="str">
        <f>IFERROR(VLOOKUP(E20,Map!$B:$F,4,0),"")&amp;IFERROR(VLOOKUP(E20,Map!$B:$F,5,0),"")</f>
        <v>552F50</v>
      </c>
      <c r="E20" s="574" t="str">
        <f t="shared" si="1"/>
        <v>21115520000250</v>
      </c>
      <c r="F20" s="428">
        <v>21115520000250</v>
      </c>
      <c r="G20" t="s">
        <v>2085</v>
      </c>
      <c r="H20" t="s">
        <v>17</v>
      </c>
      <c r="I20">
        <v>50</v>
      </c>
      <c r="J20" s="442">
        <v>1704</v>
      </c>
      <c r="K20" s="442">
        <v>85200</v>
      </c>
      <c r="L20" s="14">
        <v>711420000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78100</v>
      </c>
      <c r="C21" s="572">
        <f t="shared" si="0"/>
        <v>0</v>
      </c>
      <c r="D21" s="573" t="str">
        <f>IFERROR(VLOOKUP(E21,Map!$B:$F,4,0),"")&amp;IFERROR(VLOOKUP(E21,Map!$B:$F,5,0),"")</f>
        <v>552S25</v>
      </c>
      <c r="E21" s="574" t="str">
        <f t="shared" si="1"/>
        <v>21115521900125</v>
      </c>
      <c r="F21" s="428">
        <v>21115521900125</v>
      </c>
      <c r="G21" t="s">
        <v>2086</v>
      </c>
      <c r="H21" t="s">
        <v>17</v>
      </c>
      <c r="I21">
        <v>25</v>
      </c>
      <c r="J21" s="442">
        <v>3124</v>
      </c>
      <c r="K21" s="442">
        <v>78100</v>
      </c>
      <c r="L21" s="14">
        <v>928250000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22175</v>
      </c>
      <c r="C22" s="572">
        <f t="shared" si="0"/>
        <v>0</v>
      </c>
      <c r="D22" s="573" t="str">
        <f>IFERROR(VLOOKUP(E22,Map!$B:$F,4,0),"")&amp;IFERROR(VLOOKUP(E22,Map!$B:$F,5,0),"")</f>
        <v>55325</v>
      </c>
      <c r="E22" s="574" t="str">
        <f t="shared" si="1"/>
        <v>21115530000125</v>
      </c>
      <c r="F22" s="428">
        <v>21115530000125</v>
      </c>
      <c r="G22" t="s">
        <v>2087</v>
      </c>
      <c r="H22" t="s">
        <v>17</v>
      </c>
      <c r="I22">
        <v>25</v>
      </c>
      <c r="J22" s="442">
        <v>887</v>
      </c>
      <c r="K22" s="442">
        <v>22175</v>
      </c>
      <c r="L22" s="14">
        <v>227874500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500</v>
      </c>
      <c r="C23" s="572">
        <f t="shared" si="0"/>
        <v>0</v>
      </c>
      <c r="D23" s="573" t="str">
        <f>IFERROR(VLOOKUP(E23,Map!$B:$F,4,0),"")&amp;IFERROR(VLOOKUP(E23,Map!$B:$F,5,0),"")</f>
        <v>GT12B25</v>
      </c>
      <c r="E23" s="574" t="str">
        <f t="shared" si="1"/>
        <v>21135110200125</v>
      </c>
      <c r="F23" s="428">
        <v>21135110200125</v>
      </c>
      <c r="G23" t="s">
        <v>1716</v>
      </c>
      <c r="H23" t="s">
        <v>17</v>
      </c>
      <c r="I23">
        <v>25</v>
      </c>
      <c r="J23" s="442">
        <v>20</v>
      </c>
      <c r="K23" s="442">
        <v>500</v>
      </c>
      <c r="L23" s="14">
        <v>5980000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2500</v>
      </c>
      <c r="C24" s="572">
        <f t="shared" si="0"/>
        <v>0</v>
      </c>
      <c r="D24" s="573" t="str">
        <f>IFERROR(VLOOKUP(E24,Map!$B:$F,4,0),"")&amp;IFERROR(VLOOKUP(E24,Map!$B:$F,5,0),"")</f>
        <v>967S25</v>
      </c>
      <c r="E24" s="574" t="str">
        <f t="shared" si="1"/>
        <v>21125671900125</v>
      </c>
      <c r="F24" s="428">
        <v>21125671900125</v>
      </c>
      <c r="G24" t="s">
        <v>2088</v>
      </c>
      <c r="H24" t="s">
        <v>17</v>
      </c>
      <c r="I24">
        <v>25</v>
      </c>
      <c r="J24" s="442">
        <v>100</v>
      </c>
      <c r="K24" s="442">
        <v>2500</v>
      </c>
      <c r="L24" s="14">
        <v>31425000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28600</v>
      </c>
      <c r="C25" s="572">
        <f t="shared" si="0"/>
        <v>0</v>
      </c>
      <c r="D25" s="573" t="str">
        <f>IFERROR(VLOOKUP(E25,Map!$B:$F,4,0),"")&amp;IFERROR(VLOOKUP(E25,Map!$B:$F,5,0),"")</f>
        <v>551GPFS3150</v>
      </c>
      <c r="E25" s="574" t="str">
        <f t="shared" si="1"/>
        <v>21115517599250S31</v>
      </c>
      <c r="F25" s="428">
        <v>21115517599250</v>
      </c>
      <c r="G25" t="s">
        <v>1350</v>
      </c>
      <c r="H25" t="s">
        <v>2072</v>
      </c>
      <c r="I25">
        <v>50</v>
      </c>
      <c r="J25" s="442">
        <v>572</v>
      </c>
      <c r="K25" s="442">
        <v>28600</v>
      </c>
      <c r="L25" s="14">
        <v>318318000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3500</v>
      </c>
      <c r="C26" s="572">
        <f t="shared" si="0"/>
        <v>0</v>
      </c>
      <c r="D26" s="573" t="str">
        <f>IFERROR(VLOOKUP(E26,Map!$B:$F,4,0),"")&amp;IFERROR(VLOOKUP(E26,Map!$B:$F,5,0),"")</f>
        <v>551GPFS5450</v>
      </c>
      <c r="E26" s="574" t="str">
        <f t="shared" si="1"/>
        <v>21115517599250S54</v>
      </c>
      <c r="F26" s="428">
        <v>21115517599250</v>
      </c>
      <c r="G26" t="s">
        <v>1350</v>
      </c>
      <c r="H26" t="s">
        <v>2089</v>
      </c>
      <c r="I26">
        <v>50</v>
      </c>
      <c r="J26" s="442">
        <v>70</v>
      </c>
      <c r="K26" s="442">
        <v>3500</v>
      </c>
      <c r="L26" s="14">
        <v>38745000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10600</v>
      </c>
      <c r="C27" s="572">
        <f t="shared" si="0"/>
        <v>0</v>
      </c>
      <c r="D27" s="573" t="str">
        <f>IFERROR(VLOOKUP(E27,Map!$B:$F,4,0),"")&amp;IFERROR(VLOOKUP(E27,Map!$B:$F,5,0),"")</f>
        <v>510NFP9250</v>
      </c>
      <c r="E27" s="574" t="str">
        <f t="shared" si="1"/>
        <v>21115101499250P92</v>
      </c>
      <c r="F27" s="428">
        <v>21115101499250</v>
      </c>
      <c r="G27" t="s">
        <v>1385</v>
      </c>
      <c r="H27" t="s">
        <v>2079</v>
      </c>
      <c r="I27">
        <v>50</v>
      </c>
      <c r="J27" s="442">
        <v>212</v>
      </c>
      <c r="K27" s="442">
        <v>10600</v>
      </c>
      <c r="L27" s="14">
        <v>116600000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2125</v>
      </c>
      <c r="C28" s="572">
        <f t="shared" si="0"/>
        <v>0</v>
      </c>
      <c r="D28" s="573" t="str">
        <f>IFERROR(VLOOKUP(E28,Map!$B:$F,4,0),"")&amp;IFERROR(VLOOKUP(E28,Map!$B:$F,5,0),"")</f>
        <v>695325</v>
      </c>
      <c r="E28" s="574" t="str">
        <f t="shared" si="1"/>
        <v>21165530000125</v>
      </c>
      <c r="F28" s="428">
        <v>21165530000125</v>
      </c>
      <c r="G28" t="s">
        <v>1786</v>
      </c>
      <c r="H28" t="s">
        <v>17</v>
      </c>
      <c r="I28">
        <v>25</v>
      </c>
      <c r="J28" s="442">
        <v>85</v>
      </c>
      <c r="K28" s="442">
        <v>2125</v>
      </c>
      <c r="L28" s="14">
        <v>20400000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13870</v>
      </c>
      <c r="C29" s="572">
        <f t="shared" si="0"/>
        <v>0</v>
      </c>
      <c r="D29" s="573" t="str">
        <f>IFERROR(VLOOKUP(E29,Map!$B:$F,4,0),"")&amp;IFERROR(VLOOKUP(E29,Map!$B:$F,5,0),"")</f>
        <v>502silo</v>
      </c>
      <c r="E29" s="574" t="str">
        <f t="shared" si="1"/>
        <v>21115020000100</v>
      </c>
      <c r="F29" s="428">
        <v>21115020000100</v>
      </c>
      <c r="G29" t="s">
        <v>1998</v>
      </c>
      <c r="H29" t="s">
        <v>17</v>
      </c>
      <c r="I29">
        <v>0</v>
      </c>
      <c r="J29" s="442">
        <v>0</v>
      </c>
      <c r="K29" s="442">
        <v>13870</v>
      </c>
      <c r="L29" s="14">
        <v>145635000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50</v>
      </c>
      <c r="C30" s="572">
        <f t="shared" si="0"/>
        <v>0</v>
      </c>
      <c r="D30" s="573" t="str">
        <f>IFERROR(VLOOKUP(E30,Map!$B:$F,4,0),"")&amp;IFERROR(VLOOKUP(E30,Map!$B:$F,5,0),"")</f>
        <v>550P10</v>
      </c>
      <c r="E30" s="574" t="str">
        <f t="shared" si="1"/>
        <v>21115501600110</v>
      </c>
      <c r="F30" s="428">
        <v>21115501600110</v>
      </c>
      <c r="G30" t="s">
        <v>2090</v>
      </c>
      <c r="H30" t="s">
        <v>17</v>
      </c>
      <c r="I30">
        <v>10</v>
      </c>
      <c r="J30" s="442">
        <v>5</v>
      </c>
      <c r="K30" s="442">
        <v>50</v>
      </c>
      <c r="L30" s="14">
        <v>2490000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4375</v>
      </c>
      <c r="C31" s="572">
        <f t="shared" si="0"/>
        <v>0</v>
      </c>
      <c r="D31" s="573" t="str">
        <f>IFERROR(VLOOKUP(E31,Map!$B:$F,4,0),"")&amp;IFERROR(VLOOKUP(E31,Map!$B:$F,5,0),"")</f>
        <v>695125</v>
      </c>
      <c r="E31" s="574" t="str">
        <f t="shared" si="1"/>
        <v>21165510000125</v>
      </c>
      <c r="F31" s="428">
        <v>21165510000125</v>
      </c>
      <c r="G31" t="s">
        <v>2017</v>
      </c>
      <c r="H31" t="s">
        <v>17</v>
      </c>
      <c r="I31">
        <v>25</v>
      </c>
      <c r="J31" s="442">
        <v>175</v>
      </c>
      <c r="K31" s="442">
        <v>4375</v>
      </c>
      <c r="L31" s="14">
        <v>45062500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17000</v>
      </c>
      <c r="C32" s="572">
        <f t="shared" si="0"/>
        <v>0</v>
      </c>
      <c r="D32" s="573" t="str">
        <f>IFERROR(VLOOKUP(E32,Map!$B:$F,4,0),"")&amp;IFERROR(VLOOKUP(E32,Map!$B:$F,5,0),"")</f>
        <v>552FS1350</v>
      </c>
      <c r="E32" s="574" t="str">
        <f t="shared" si="1"/>
        <v>21115520099250S13</v>
      </c>
      <c r="F32" s="428">
        <v>21115520099250</v>
      </c>
      <c r="G32" t="s">
        <v>1320</v>
      </c>
      <c r="H32" t="s">
        <v>2078</v>
      </c>
      <c r="I32">
        <v>50</v>
      </c>
      <c r="J32" s="442">
        <v>340</v>
      </c>
      <c r="K32" s="442">
        <v>17000</v>
      </c>
      <c r="L32" s="14">
        <v>142630000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1100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58425</v>
      </c>
      <c r="E33" s="574" t="str">
        <f t="shared" ref="E33:E63" si="3">IF(MID(F33,10,2)="99",F33&amp;H33,LEFT(F33,14))</f>
        <v>21115840000125</v>
      </c>
      <c r="F33" s="428">
        <v>21115840000125</v>
      </c>
      <c r="G33" t="s">
        <v>2091</v>
      </c>
      <c r="H33" t="s">
        <v>17</v>
      </c>
      <c r="I33">
        <v>25</v>
      </c>
      <c r="J33" s="442">
        <v>44</v>
      </c>
      <c r="K33" s="442">
        <v>1100</v>
      </c>
      <c r="L33" s="14">
        <v>10252000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29000</v>
      </c>
      <c r="C34" s="572">
        <f t="shared" si="2"/>
        <v>0</v>
      </c>
      <c r="D34" s="573" t="str">
        <f>IFERROR(VLOOKUP(E34,Map!$B:$F,4,0),"")&amp;IFERROR(VLOOKUP(E34,Map!$B:$F,5,0),"")</f>
        <v>52425</v>
      </c>
      <c r="E34" s="574" t="str">
        <f t="shared" si="3"/>
        <v>21115240000125</v>
      </c>
      <c r="F34" s="428">
        <v>21115240000125</v>
      </c>
      <c r="G34" t="s">
        <v>2092</v>
      </c>
      <c r="H34" t="s">
        <v>17</v>
      </c>
      <c r="I34">
        <v>25</v>
      </c>
      <c r="J34" s="442">
        <v>1160</v>
      </c>
      <c r="K34" s="442">
        <v>29000</v>
      </c>
      <c r="L34" s="14">
        <v>298410000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23175</v>
      </c>
      <c r="C35" s="572">
        <f t="shared" si="2"/>
        <v>0</v>
      </c>
      <c r="D35" s="573" t="str">
        <f>IFERROR(VLOOKUP(E35,Map!$B:$F,4,0),"")&amp;IFERROR(VLOOKUP(E35,Map!$B:$F,5,0),"")</f>
        <v>56225</v>
      </c>
      <c r="E35" s="574" t="str">
        <f t="shared" si="3"/>
        <v>21115620000125</v>
      </c>
      <c r="F35" s="428">
        <v>21115620000125</v>
      </c>
      <c r="G35" t="s">
        <v>1258</v>
      </c>
      <c r="H35" t="s">
        <v>17</v>
      </c>
      <c r="I35">
        <v>25</v>
      </c>
      <c r="J35" s="442">
        <v>927</v>
      </c>
      <c r="K35" s="442">
        <v>23175</v>
      </c>
      <c r="L35" s="14">
        <v>272306250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7500</v>
      </c>
      <c r="C36" s="572">
        <f t="shared" si="2"/>
        <v>0</v>
      </c>
      <c r="D36" s="573" t="str">
        <f>IFERROR(VLOOKUP(E36,Map!$B:$F,4,0),"")&amp;IFERROR(VLOOKUP(E36,Map!$B:$F,5,0),"")</f>
        <v>GD1425</v>
      </c>
      <c r="E36" s="574" t="str">
        <f t="shared" si="3"/>
        <v>21135240000125</v>
      </c>
      <c r="F36" s="428">
        <v>21135240000125</v>
      </c>
      <c r="G36" t="s">
        <v>1853</v>
      </c>
      <c r="H36" t="s">
        <v>17</v>
      </c>
      <c r="I36">
        <v>25</v>
      </c>
      <c r="J36" s="442">
        <v>300</v>
      </c>
      <c r="K36" s="442">
        <v>7500</v>
      </c>
      <c r="L36" s="14">
        <v>74175000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8975</v>
      </c>
      <c r="C37" s="572">
        <f t="shared" si="2"/>
        <v>0</v>
      </c>
      <c r="D37" s="573" t="str">
        <f>IFERROR(VLOOKUP(E37,Map!$B:$F,4,0),"")&amp;IFERROR(VLOOKUP(E37,Map!$B:$F,5,0),"")</f>
        <v>553S25</v>
      </c>
      <c r="E37" s="574" t="str">
        <f t="shared" si="3"/>
        <v>21115531900125</v>
      </c>
      <c r="F37" s="428">
        <v>21115531900125</v>
      </c>
      <c r="G37" t="s">
        <v>2093</v>
      </c>
      <c r="H37" t="s">
        <v>17</v>
      </c>
      <c r="I37">
        <v>25</v>
      </c>
      <c r="J37" s="442">
        <v>359</v>
      </c>
      <c r="K37" s="442">
        <v>8975</v>
      </c>
      <c r="L37" s="14">
        <v>98904500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12250</v>
      </c>
      <c r="C38" s="572">
        <f t="shared" si="2"/>
        <v>0</v>
      </c>
      <c r="D38" s="573" t="str">
        <f>IFERROR(VLOOKUP(E38,Map!$B:$F,4,0),"")&amp;IFERROR(VLOOKUP(E38,Map!$B:$F,5,0),"")</f>
        <v>552SX25</v>
      </c>
      <c r="E38" s="574" t="str">
        <f t="shared" si="3"/>
        <v>21115527800125</v>
      </c>
      <c r="F38" s="428">
        <v>21115527800125</v>
      </c>
      <c r="G38" t="s">
        <v>1526</v>
      </c>
      <c r="H38" t="s">
        <v>17</v>
      </c>
      <c r="I38">
        <v>25</v>
      </c>
      <c r="J38" s="442">
        <v>490</v>
      </c>
      <c r="K38" s="442">
        <v>12250</v>
      </c>
      <c r="L38" s="14">
        <v>153125000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5625</v>
      </c>
      <c r="C39" s="572">
        <f t="shared" si="2"/>
        <v>0</v>
      </c>
      <c r="D39" s="573" t="str">
        <f>IFERROR(VLOOKUP(E39,Map!$B:$F,4,0),"")&amp;IFERROR(VLOOKUP(E39,Map!$B:$F,5,0),"")</f>
        <v>551Pro25</v>
      </c>
      <c r="E39" s="574" t="str">
        <f>IF(MID(F39,10,2)="99",F39&amp;H39,LEFT(F39,14))</f>
        <v>21115511600125</v>
      </c>
      <c r="F39" s="428">
        <v>21115511600125</v>
      </c>
      <c r="G39" t="s">
        <v>1730</v>
      </c>
      <c r="H39" t="s">
        <v>17</v>
      </c>
      <c r="I39">
        <v>25</v>
      </c>
      <c r="J39" s="442">
        <v>225</v>
      </c>
      <c r="K39" s="442">
        <v>5625</v>
      </c>
      <c r="L39" s="14">
        <v>80957500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17500</v>
      </c>
      <c r="C40" s="572">
        <f t="shared" si="2"/>
        <v>0</v>
      </c>
      <c r="D40" s="573" t="str">
        <f>IFERROR(VLOOKUP(E40,Map!$B:$F,4,0),"")&amp;IFERROR(VLOOKUP(E40,Map!$B:$F,5,0),"")</f>
        <v>38425</v>
      </c>
      <c r="E40" s="574" t="str">
        <f t="shared" si="3"/>
        <v>21113840000125</v>
      </c>
      <c r="F40" s="428">
        <v>21113840000125</v>
      </c>
      <c r="G40" t="s">
        <v>2094</v>
      </c>
      <c r="H40" t="s">
        <v>17</v>
      </c>
      <c r="I40">
        <v>25</v>
      </c>
      <c r="J40" s="442">
        <v>700</v>
      </c>
      <c r="K40" s="442">
        <v>17500</v>
      </c>
      <c r="L40" s="14">
        <v>161350000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18000</v>
      </c>
      <c r="C41" s="572">
        <f t="shared" si="2"/>
        <v>0</v>
      </c>
      <c r="D41" s="573" t="str">
        <f>IFERROR(VLOOKUP(E41,Map!$B:$F,4,0),"")&amp;IFERROR(VLOOKUP(E41,Map!$B:$F,5,0),"")</f>
        <v>513F50</v>
      </c>
      <c r="E41" s="574" t="str">
        <f t="shared" si="3"/>
        <v>21115130000250</v>
      </c>
      <c r="F41" s="428">
        <v>21115130000250</v>
      </c>
      <c r="G41" t="s">
        <v>2095</v>
      </c>
      <c r="H41" t="s">
        <v>17</v>
      </c>
      <c r="I41">
        <v>50</v>
      </c>
      <c r="J41" s="442">
        <v>360</v>
      </c>
      <c r="K41" s="442">
        <v>18000</v>
      </c>
      <c r="L41" s="14">
        <v>189900000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375</v>
      </c>
      <c r="C42" s="572">
        <f t="shared" si="2"/>
        <v>0</v>
      </c>
      <c r="D42" s="573" t="str">
        <f>IFERROR(VLOOKUP(E42,Map!$B:$F,4,0),"")&amp;IFERROR(VLOOKUP(E42,Map!$B:$F,5,0),"")</f>
        <v>54925</v>
      </c>
      <c r="E42" s="574" t="str">
        <f t="shared" si="3"/>
        <v>21115490000125</v>
      </c>
      <c r="F42" s="428">
        <v>21115490000125</v>
      </c>
      <c r="G42" t="s">
        <v>2096</v>
      </c>
      <c r="H42" t="s">
        <v>17</v>
      </c>
      <c r="I42">
        <v>25</v>
      </c>
      <c r="J42" s="442">
        <v>15</v>
      </c>
      <c r="K42" s="442">
        <v>375</v>
      </c>
      <c r="L42" s="14">
        <v>4185000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463300</v>
      </c>
      <c r="C43" s="572">
        <f t="shared" si="2"/>
        <v>0</v>
      </c>
      <c r="D43" s="573" t="str">
        <f>IFERROR(VLOOKUP(E43,Map!$B:$F,4,0),"")&amp;IFERROR(VLOOKUP(E43,Map!$B:$F,5,0),"")</f>
        <v>552SFS9050</v>
      </c>
      <c r="E43" s="574" t="str">
        <f t="shared" si="3"/>
        <v>21115521999250S90</v>
      </c>
      <c r="F43" s="428">
        <v>21115521999250</v>
      </c>
      <c r="G43" t="s">
        <v>1313</v>
      </c>
      <c r="H43" t="s">
        <v>2083</v>
      </c>
      <c r="I43">
        <v>50</v>
      </c>
      <c r="J43" s="442">
        <v>9266</v>
      </c>
      <c r="K43" s="442">
        <v>463300</v>
      </c>
      <c r="L43" s="14">
        <v>4387451000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750</v>
      </c>
      <c r="C44" s="572">
        <f t="shared" si="2"/>
        <v>0</v>
      </c>
      <c r="D44" s="573" t="str">
        <f>IFERROR(VLOOKUP(E44,Map!$B:$F,4,0),"")&amp;IFERROR(VLOOKUP(E44,Map!$B:$F,5,0),"")</f>
        <v>952S25</v>
      </c>
      <c r="E44" s="574" t="str">
        <f t="shared" si="3"/>
        <v>21125521900125</v>
      </c>
      <c r="F44" s="428">
        <v>21125521900125</v>
      </c>
      <c r="G44" t="s">
        <v>2097</v>
      </c>
      <c r="H44" t="s">
        <v>17</v>
      </c>
      <c r="I44">
        <v>25</v>
      </c>
      <c r="J44" s="442">
        <v>30</v>
      </c>
      <c r="K44" s="442">
        <v>750</v>
      </c>
      <c r="L44" s="14">
        <v>9375000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34100</v>
      </c>
      <c r="C45" s="572">
        <f t="shared" si="2"/>
        <v>0</v>
      </c>
      <c r="D45" s="573" t="str">
        <f>IFERROR(VLOOKUP(E45,Map!$B:$F,4,0),"")&amp;IFERROR(VLOOKUP(E45,Map!$B:$F,5,0),"")</f>
        <v>551FS3150</v>
      </c>
      <c r="E45" s="574" t="str">
        <f t="shared" si="3"/>
        <v>21115510099250S31</v>
      </c>
      <c r="F45" s="428">
        <v>21115510099250</v>
      </c>
      <c r="G45" t="s">
        <v>1591</v>
      </c>
      <c r="H45" t="s">
        <v>2072</v>
      </c>
      <c r="I45">
        <v>50</v>
      </c>
      <c r="J45" s="442">
        <v>682</v>
      </c>
      <c r="K45" s="442">
        <v>34100</v>
      </c>
      <c r="L45" s="14">
        <v>426932000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13530</v>
      </c>
      <c r="C46" s="572">
        <f t="shared" si="2"/>
        <v>0</v>
      </c>
      <c r="D46" s="573" t="str">
        <f>IFERROR(VLOOKUP(E46,Map!$B:$F,4,0),"")&amp;IFERROR(VLOOKUP(E46,Map!$B:$F,5,0),"")</f>
        <v>511BSILO</v>
      </c>
      <c r="E46" s="574" t="str">
        <f t="shared" si="3"/>
        <v>21115110200100</v>
      </c>
      <c r="F46" s="428">
        <v>21115110200100</v>
      </c>
      <c r="G46" t="s">
        <v>2071</v>
      </c>
      <c r="H46" t="s">
        <v>17</v>
      </c>
      <c r="I46">
        <v>0</v>
      </c>
      <c r="J46" s="14">
        <v>0</v>
      </c>
      <c r="K46" s="442">
        <v>13530</v>
      </c>
      <c r="L46" s="442">
        <v>158706900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6500</v>
      </c>
      <c r="C47" s="572">
        <f t="shared" si="2"/>
        <v>0</v>
      </c>
      <c r="D47" s="573" t="str">
        <f>IFERROR(VLOOKUP(E47,Map!$B:$F,4,0),"")&amp;IFERROR(VLOOKUP(E47,Map!$B:$F,5,0),"")</f>
        <v>694925</v>
      </c>
      <c r="E47" s="574" t="str">
        <f t="shared" si="3"/>
        <v>21165490000125</v>
      </c>
      <c r="F47" s="428">
        <v>21165490000125</v>
      </c>
      <c r="G47" t="s">
        <v>1767</v>
      </c>
      <c r="H47" t="s">
        <v>17</v>
      </c>
      <c r="I47">
        <v>25</v>
      </c>
      <c r="J47" s="14">
        <v>260</v>
      </c>
      <c r="K47" s="442">
        <v>6500</v>
      </c>
      <c r="L47" s="14">
        <v>66950000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35150</v>
      </c>
      <c r="C48" s="572">
        <f t="shared" si="2"/>
        <v>0</v>
      </c>
      <c r="D48" s="573" t="str">
        <f>IFERROR(VLOOKUP(E48,Map!$B:$F,4,0),"")&amp;IFERROR(VLOOKUP(E48,Map!$B:$F,5,0),"")</f>
        <v>51025</v>
      </c>
      <c r="E48" s="574" t="str">
        <f t="shared" si="3"/>
        <v>21115100000125</v>
      </c>
      <c r="F48" s="428">
        <v>21115100000125</v>
      </c>
      <c r="G48" t="s">
        <v>2098</v>
      </c>
      <c r="H48" t="s">
        <v>17</v>
      </c>
      <c r="I48">
        <v>25</v>
      </c>
      <c r="J48" s="442">
        <v>1406</v>
      </c>
      <c r="K48" s="442">
        <v>35150</v>
      </c>
      <c r="L48" s="14">
        <v>438320500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60750</v>
      </c>
      <c r="C49" s="572">
        <f t="shared" si="2"/>
        <v>0</v>
      </c>
      <c r="D49" s="573" t="str">
        <f>IFERROR(VLOOKUP(E49,Map!$B:$F,4,0),"")&amp;IFERROR(VLOOKUP(E49,Map!$B:$F,5,0),"")</f>
        <v>553MF50</v>
      </c>
      <c r="E49" s="574" t="str">
        <f t="shared" si="3"/>
        <v>21115531300250</v>
      </c>
      <c r="F49" s="428">
        <v>21115531300250</v>
      </c>
      <c r="G49" t="s">
        <v>2099</v>
      </c>
      <c r="H49" t="s">
        <v>17</v>
      </c>
      <c r="I49">
        <v>50</v>
      </c>
      <c r="J49" s="442">
        <v>1215</v>
      </c>
      <c r="K49" s="442">
        <v>60750</v>
      </c>
      <c r="L49" s="14">
        <v>516375000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8050</v>
      </c>
      <c r="C50" s="572">
        <f t="shared" si="2"/>
        <v>0</v>
      </c>
      <c r="D50" s="573" t="str">
        <f>IFERROR(VLOOKUP(E50,Map!$B:$F,4,0),"")&amp;IFERROR(VLOOKUP(E50,Map!$B:$F,5,0),"")</f>
        <v>59525</v>
      </c>
      <c r="E50" s="574" t="str">
        <f t="shared" si="3"/>
        <v>21115950000125</v>
      </c>
      <c r="F50" s="428">
        <v>21115950000125</v>
      </c>
      <c r="G50" t="s">
        <v>2100</v>
      </c>
      <c r="H50" t="s">
        <v>17</v>
      </c>
      <c r="I50">
        <v>25</v>
      </c>
      <c r="J50" s="442">
        <v>322</v>
      </c>
      <c r="K50" s="442">
        <v>8050</v>
      </c>
      <c r="L50" s="14">
        <v>68103000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1775</v>
      </c>
      <c r="C51" s="572">
        <f t="shared" si="2"/>
        <v>0</v>
      </c>
      <c r="D51" s="573" t="str">
        <f>IFERROR(VLOOKUP(E51,Map!$B:$F,4,0),"")&amp;IFERROR(VLOOKUP(E51,Map!$B:$F,5,0),"")</f>
        <v>54425</v>
      </c>
      <c r="E51" s="574" t="str">
        <f t="shared" si="3"/>
        <v>21115440000125</v>
      </c>
      <c r="F51" s="428">
        <v>21115440000125</v>
      </c>
      <c r="G51" t="s">
        <v>1199</v>
      </c>
      <c r="H51" t="s">
        <v>17</v>
      </c>
      <c r="I51">
        <v>25</v>
      </c>
      <c r="J51" s="442">
        <v>71</v>
      </c>
      <c r="K51" s="442">
        <v>1775</v>
      </c>
      <c r="L51" s="14">
        <v>17661250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10700</v>
      </c>
      <c r="C52" s="572">
        <f t="shared" si="2"/>
        <v>0</v>
      </c>
      <c r="D52" s="573" t="str">
        <f>IFERROR(VLOOKUP(E52,Map!$B:$F,4,0),"")&amp;IFERROR(VLOOKUP(E52,Map!$B:$F,5,0),"")</f>
        <v>95225</v>
      </c>
      <c r="E52" s="574" t="str">
        <f t="shared" si="3"/>
        <v>21125520000125</v>
      </c>
      <c r="F52" s="428">
        <v>21125520000125</v>
      </c>
      <c r="G52" t="s">
        <v>2101</v>
      </c>
      <c r="H52" t="s">
        <v>17</v>
      </c>
      <c r="I52">
        <v>25</v>
      </c>
      <c r="J52" s="442">
        <v>428</v>
      </c>
      <c r="K52" s="442">
        <v>10700</v>
      </c>
      <c r="L52" s="14">
        <v>120482000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125</v>
      </c>
      <c r="C53" s="572">
        <f t="shared" si="2"/>
        <v>0</v>
      </c>
      <c r="D53" s="573" t="str">
        <f>IFERROR(VLOOKUP(E53,Map!$B:$F,4,0),"")&amp;IFERROR(VLOOKUP(E53,Map!$B:$F,5,0),"")</f>
        <v>562P25</v>
      </c>
      <c r="E53" s="574" t="str">
        <f t="shared" si="3"/>
        <v>21115621600125</v>
      </c>
      <c r="F53" s="428">
        <v>21115621600125</v>
      </c>
      <c r="G53" t="s">
        <v>2102</v>
      </c>
      <c r="H53" t="s">
        <v>17</v>
      </c>
      <c r="I53">
        <v>25</v>
      </c>
      <c r="J53" s="442">
        <v>5</v>
      </c>
      <c r="K53" s="442">
        <v>125</v>
      </c>
      <c r="L53" s="14">
        <v>1438750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14920</v>
      </c>
      <c r="C54" s="572">
        <f t="shared" si="2"/>
        <v>0</v>
      </c>
      <c r="D54" s="573" t="str">
        <f>IFERROR(VLOOKUP(E54,Map!$B:$F,4,0),"")&amp;IFERROR(VLOOKUP(E54,Map!$B:$F,5,0),"")</f>
        <v>551GPFS13SILO</v>
      </c>
      <c r="E54" s="574" t="str">
        <f t="shared" si="3"/>
        <v>21115517599300S13</v>
      </c>
      <c r="F54" s="428">
        <v>21115517599300</v>
      </c>
      <c r="G54" t="s">
        <v>1346</v>
      </c>
      <c r="H54" t="s">
        <v>2078</v>
      </c>
      <c r="I54">
        <v>0</v>
      </c>
      <c r="J54" s="14">
        <v>0</v>
      </c>
      <c r="K54" s="442">
        <v>14920</v>
      </c>
      <c r="L54" s="14">
        <v>155764800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500</v>
      </c>
      <c r="C55" s="572">
        <f t="shared" si="2"/>
        <v>0</v>
      </c>
      <c r="D55" s="573" t="str">
        <f>IFERROR(VLOOKUP(E55,Map!$B:$F,4,0),"")&amp;IFERROR(VLOOKUP(E55,Map!$B:$F,5,0),"")</f>
        <v>552MX25</v>
      </c>
      <c r="E55" s="574" t="str">
        <f t="shared" si="3"/>
        <v>21115527900125</v>
      </c>
      <c r="F55" s="428">
        <v>21115527900125</v>
      </c>
      <c r="G55" t="s">
        <v>1676</v>
      </c>
      <c r="H55" t="s">
        <v>17</v>
      </c>
      <c r="I55">
        <v>25</v>
      </c>
      <c r="J55" s="14">
        <v>20</v>
      </c>
      <c r="K55" s="442">
        <v>500</v>
      </c>
      <c r="L55" s="14">
        <v>5690000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5000</v>
      </c>
      <c r="C56" s="572">
        <f t="shared" si="2"/>
        <v>0</v>
      </c>
      <c r="D56" s="573" t="str">
        <f>IFERROR(VLOOKUP(E56,Map!$B:$F,4,0),"")&amp;IFERROR(VLOOKUP(E56,Map!$B:$F,5,0),"")</f>
        <v>50225</v>
      </c>
      <c r="E56" s="574" t="str">
        <f t="shared" si="3"/>
        <v>21115020000125</v>
      </c>
      <c r="F56" s="428">
        <v>21115020000125</v>
      </c>
      <c r="G56" t="s">
        <v>1857</v>
      </c>
      <c r="H56" t="s">
        <v>17</v>
      </c>
      <c r="I56">
        <v>25</v>
      </c>
      <c r="J56" s="14">
        <v>200</v>
      </c>
      <c r="K56" s="442">
        <v>5000</v>
      </c>
      <c r="L56" s="14">
        <v>53500000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15000</v>
      </c>
      <c r="C57" s="572">
        <f t="shared" si="2"/>
        <v>0</v>
      </c>
      <c r="D57" s="573" t="str">
        <f>IFERROR(VLOOKUP(E57,Map!$B:$F,4,0),"")&amp;IFERROR(VLOOKUP(E57,Map!$B:$F,5,0),"")</f>
        <v>GT12BS25</v>
      </c>
      <c r="E57" s="574" t="str">
        <f t="shared" si="3"/>
        <v>21135117200125</v>
      </c>
      <c r="F57" s="428">
        <v>21135117200125</v>
      </c>
      <c r="G57" t="s">
        <v>1996</v>
      </c>
      <c r="H57" t="s">
        <v>17</v>
      </c>
      <c r="I57">
        <v>25</v>
      </c>
      <c r="J57" s="14">
        <v>600</v>
      </c>
      <c r="K57" s="442">
        <v>15000</v>
      </c>
      <c r="L57" s="14">
        <v>181500000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300</v>
      </c>
      <c r="C58" s="572">
        <f t="shared" si="2"/>
        <v>0</v>
      </c>
      <c r="D58" s="573" t="str">
        <f>IFERROR(VLOOKUP(E58,Map!$B:$F,4,0),"")&amp;IFERROR(VLOOKUP(E58,Map!$B:$F,5,0),"")</f>
        <v>96725</v>
      </c>
      <c r="E58" s="574" t="str">
        <f t="shared" si="3"/>
        <v>21125670000125</v>
      </c>
      <c r="F58" s="428">
        <v>21125670000125</v>
      </c>
      <c r="G58" t="s">
        <v>2103</v>
      </c>
      <c r="H58" t="s">
        <v>17</v>
      </c>
      <c r="I58">
        <v>25</v>
      </c>
      <c r="J58" s="14">
        <v>12</v>
      </c>
      <c r="K58" s="442">
        <v>300</v>
      </c>
      <c r="L58" s="14">
        <v>3567000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9500</v>
      </c>
      <c r="C59" s="572">
        <f t="shared" si="2"/>
        <v>0</v>
      </c>
      <c r="D59" s="573" t="str">
        <f>IFERROR(VLOOKUP(E59,Map!$B:$F,4,0),"")&amp;IFERROR(VLOOKUP(E59,Map!$B:$F,5,0),"")</f>
        <v>566FS3150</v>
      </c>
      <c r="E59" s="574" t="str">
        <f t="shared" si="3"/>
        <v>21115660099250S31</v>
      </c>
      <c r="F59" s="428">
        <v>21115660099250</v>
      </c>
      <c r="G59" t="s">
        <v>1254</v>
      </c>
      <c r="H59" t="s">
        <v>2072</v>
      </c>
      <c r="I59">
        <v>50</v>
      </c>
      <c r="J59" s="14">
        <v>190</v>
      </c>
      <c r="K59" s="442">
        <v>9500</v>
      </c>
      <c r="L59" s="14">
        <v>85310000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7500</v>
      </c>
      <c r="C60" s="572">
        <f t="shared" si="2"/>
        <v>0</v>
      </c>
      <c r="D60" s="573" t="str">
        <f>IFERROR(VLOOKUP(E60,Map!$B:$F,4,0),"")&amp;IFERROR(VLOOKUP(E60,Map!$B:$F,5,0),"")</f>
        <v>56725</v>
      </c>
      <c r="E60" s="574" t="str">
        <f t="shared" si="3"/>
        <v>21115670000125</v>
      </c>
      <c r="F60" s="428">
        <v>21115670000125</v>
      </c>
      <c r="G60" t="s">
        <v>2104</v>
      </c>
      <c r="H60" t="s">
        <v>17</v>
      </c>
      <c r="I60">
        <v>25</v>
      </c>
      <c r="J60" s="14">
        <v>300</v>
      </c>
      <c r="K60" s="442">
        <v>7500</v>
      </c>
      <c r="L60" s="14">
        <v>89175000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2700</v>
      </c>
      <c r="C61" s="572">
        <f t="shared" si="2"/>
        <v>0</v>
      </c>
      <c r="D61" s="573" t="str">
        <f>IFERROR(VLOOKUP(E61,Map!$B:$F,4,0),"")&amp;IFERROR(VLOOKUP(E61,Map!$B:$F,5,0),"")</f>
        <v>550S25</v>
      </c>
      <c r="E61" s="574" t="str">
        <f t="shared" si="3"/>
        <v>21115501900125</v>
      </c>
      <c r="F61" s="428">
        <v>21115501900125</v>
      </c>
      <c r="G61" t="s">
        <v>2105</v>
      </c>
      <c r="H61" t="s">
        <v>17</v>
      </c>
      <c r="I61">
        <v>25</v>
      </c>
      <c r="J61" s="14">
        <v>108</v>
      </c>
      <c r="K61" s="442">
        <v>2700</v>
      </c>
      <c r="L61" s="14">
        <v>59292000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23250</v>
      </c>
      <c r="C62" s="572">
        <f t="shared" si="2"/>
        <v>0</v>
      </c>
      <c r="D62" s="573" t="str">
        <f>IFERROR(VLOOKUP(E62,Map!$B:$F,4,0),"")&amp;IFERROR(VLOOKUP(E62,Map!$B:$F,5,0),"")</f>
        <v>550SF50</v>
      </c>
      <c r="E62" s="574" t="str">
        <f t="shared" si="3"/>
        <v>21115501900250</v>
      </c>
      <c r="F62" s="428">
        <v>21115501900250</v>
      </c>
      <c r="G62" t="s">
        <v>1921</v>
      </c>
      <c r="H62" t="s">
        <v>17</v>
      </c>
      <c r="I62">
        <v>50</v>
      </c>
      <c r="J62" s="14">
        <v>465</v>
      </c>
      <c r="K62" s="442">
        <v>23250</v>
      </c>
      <c r="L62" s="14">
        <v>339682500</v>
      </c>
      <c r="M62" s="564"/>
    </row>
    <row r="63" spans="2:18">
      <c r="B63" s="571">
        <f>IF(F63="","",(SUMIF(INTGRATE!$Y:$Y,data!D63,INTGRATE!$L:$L)+SUMIF(BRAN!$V:$V,data!D63,BRAN!$J:$J)))</f>
        <v>3500</v>
      </c>
      <c r="C63" s="572">
        <f t="shared" si="2"/>
        <v>0</v>
      </c>
      <c r="D63" s="573" t="str">
        <f>IFERROR(VLOOKUP(E63,Map!$B:$F,4,0),"")&amp;IFERROR(VLOOKUP(E63,Map!$B:$F,5,0),"")</f>
        <v>95325</v>
      </c>
      <c r="E63" s="574" t="str">
        <f t="shared" si="3"/>
        <v>21125530000125</v>
      </c>
      <c r="F63" s="428">
        <v>21125530000125</v>
      </c>
      <c r="G63" t="s">
        <v>2106</v>
      </c>
      <c r="H63" t="s">
        <v>17</v>
      </c>
      <c r="I63">
        <v>25</v>
      </c>
      <c r="J63" s="14">
        <v>140</v>
      </c>
      <c r="K63" s="442">
        <v>3500</v>
      </c>
      <c r="L63" s="14">
        <v>36890000</v>
      </c>
      <c r="M63" s="564"/>
    </row>
    <row r="64" spans="2:18">
      <c r="B64" s="571">
        <f>IF(F64="","",(SUMIF(INTGRATE!$Y:$Y,data!D64,INTGRATE!$L:$L)+SUMIF(BRAN!$V:$V,data!D64,BRAN!$J:$J)))</f>
        <v>62950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551FS5450</v>
      </c>
      <c r="E64" s="574" t="str">
        <f t="shared" ref="E64:E83" si="5">IF(MID(F64,10,2)="99",F64&amp;H64,LEFT(F64,14))</f>
        <v>21115510099250S54</v>
      </c>
      <c r="F64" s="428">
        <v>21115510099250</v>
      </c>
      <c r="G64" t="s">
        <v>1591</v>
      </c>
      <c r="H64" t="s">
        <v>2089</v>
      </c>
      <c r="I64">
        <v>50</v>
      </c>
      <c r="J64" s="14">
        <v>1259</v>
      </c>
      <c r="K64" s="442">
        <v>62950</v>
      </c>
      <c r="L64" s="14">
        <v>786875000</v>
      </c>
      <c r="M64" s="564"/>
    </row>
    <row r="65" spans="2:13">
      <c r="B65" s="571">
        <f>IF(F65="","",(SUMIF(INTGRATE!$Y:$Y,data!D65,INTGRATE!$L:$L)+SUMIF(BRAN!$V:$V,data!D65,BRAN!$J:$J)))</f>
        <v>14430</v>
      </c>
      <c r="C65" s="572">
        <f t="shared" si="4"/>
        <v>0</v>
      </c>
      <c r="D65" s="573" t="str">
        <f>IFERROR(VLOOKUP(E65,Map!$B:$F,4,0),"")&amp;IFERROR(VLOOKUP(E65,Map!$B:$F,5,0),"")</f>
        <v>551GPFS31SILO</v>
      </c>
      <c r="E65" s="574" t="str">
        <f t="shared" si="5"/>
        <v>21115517599300S31</v>
      </c>
      <c r="F65" s="428">
        <v>21115517599300</v>
      </c>
      <c r="G65" t="s">
        <v>1346</v>
      </c>
      <c r="H65" t="s">
        <v>2072</v>
      </c>
      <c r="I65">
        <v>0</v>
      </c>
      <c r="J65" s="14">
        <v>0</v>
      </c>
      <c r="K65" s="442">
        <v>14430</v>
      </c>
      <c r="L65" s="14">
        <v>158730000</v>
      </c>
      <c r="M65" s="564"/>
    </row>
    <row r="66" spans="2:13">
      <c r="B66" s="571">
        <f>IF(F66="","",(SUMIF(INTGRATE!$Y:$Y,data!D66,INTGRATE!$L:$L)+SUMIF(BRAN!$V:$V,data!D66,BRAN!$J:$J)))</f>
        <v>8500</v>
      </c>
      <c r="C66" s="572">
        <f t="shared" si="4"/>
        <v>0</v>
      </c>
      <c r="D66" s="573" t="str">
        <f>IFERROR(VLOOKUP(E66,Map!$B:$F,4,0),"")&amp;IFERROR(VLOOKUP(E66,Map!$B:$F,5,0),"")</f>
        <v>510S25</v>
      </c>
      <c r="E66" s="574" t="str">
        <f t="shared" si="5"/>
        <v>21115101900125</v>
      </c>
      <c r="F66" s="428">
        <v>21115101900125</v>
      </c>
      <c r="G66" t="s">
        <v>1398</v>
      </c>
      <c r="H66" t="s">
        <v>17</v>
      </c>
      <c r="I66">
        <v>25</v>
      </c>
      <c r="J66" s="14">
        <v>340</v>
      </c>
      <c r="K66" s="442">
        <v>8500</v>
      </c>
      <c r="L66" s="14">
        <v>108715000</v>
      </c>
      <c r="M66" s="564"/>
    </row>
    <row r="67" spans="2:13">
      <c r="B67" s="571">
        <f>IF(F67="","",(SUMIF(INTGRATE!$Y:$Y,data!D67,INTGRATE!$L:$L)+SUMIF(BRAN!$V:$V,data!D67,BRAN!$J:$J)))</f>
        <v>9000</v>
      </c>
      <c r="C67" s="572">
        <f t="shared" si="4"/>
        <v>0</v>
      </c>
      <c r="D67" s="573" t="str">
        <f>IFERROR(VLOOKUP(E67,Map!$B:$F,4,0),"")&amp;IFERROR(VLOOKUP(E67,Map!$B:$F,5,0),"")</f>
        <v>GT11S25</v>
      </c>
      <c r="E67" s="574" t="str">
        <f t="shared" si="5"/>
        <v>21135101900125</v>
      </c>
      <c r="F67" s="428">
        <v>21135101900125</v>
      </c>
      <c r="G67" t="s">
        <v>1977</v>
      </c>
      <c r="H67" t="s">
        <v>17</v>
      </c>
      <c r="I67">
        <v>25</v>
      </c>
      <c r="J67" s="14">
        <v>360</v>
      </c>
      <c r="K67" s="442">
        <v>9000</v>
      </c>
      <c r="L67" s="14">
        <v>113400000</v>
      </c>
      <c r="M67" s="564"/>
    </row>
    <row r="68" spans="2:13">
      <c r="B68" s="571">
        <f>IF(F68="","",(SUMIF(INTGRATE!$Y:$Y,data!D68,INTGRATE!$L:$L)+SUMIF(BRAN!$V:$V,data!D68,BRAN!$J:$J)))</f>
        <v>375</v>
      </c>
      <c r="C68" s="572">
        <f t="shared" si="4"/>
        <v>0</v>
      </c>
      <c r="D68" s="573" t="str">
        <f>IFERROR(VLOOKUP(E68,Map!$B:$F,4,0),"")&amp;IFERROR(VLOOKUP(E68,Map!$B:$F,5,0),"")</f>
        <v>689525</v>
      </c>
      <c r="E68" s="574" t="str">
        <f t="shared" si="5"/>
        <v>21163950000125</v>
      </c>
      <c r="F68" s="428">
        <v>21163950000125</v>
      </c>
      <c r="G68" t="s">
        <v>1797</v>
      </c>
      <c r="H68" t="s">
        <v>17</v>
      </c>
      <c r="I68">
        <v>25</v>
      </c>
      <c r="J68" s="14">
        <v>15</v>
      </c>
      <c r="K68" s="442">
        <v>375</v>
      </c>
      <c r="L68" s="14">
        <v>2947500</v>
      </c>
      <c r="M68" s="564"/>
    </row>
    <row r="69" spans="2:13">
      <c r="B69" s="571">
        <f>IF(F69="","",(SUMIF(INTGRATE!$Y:$Y,data!D69,INTGRATE!$L:$L)+SUMIF(BRAN!$V:$V,data!D69,BRAN!$J:$J)))</f>
        <v>14250</v>
      </c>
      <c r="C69" s="572">
        <f t="shared" si="4"/>
        <v>0</v>
      </c>
      <c r="D69" s="573" t="str">
        <f>IFERROR(VLOOKUP(E69,Map!$B:$F,4,0),"")&amp;IFERROR(VLOOKUP(E69,Map!$B:$F,5,0),"")</f>
        <v>6951X25</v>
      </c>
      <c r="E69" s="574" t="str">
        <f t="shared" si="5"/>
        <v>21165512400125</v>
      </c>
      <c r="F69" s="428">
        <v>21165512400125</v>
      </c>
      <c r="G69" t="s">
        <v>2032</v>
      </c>
      <c r="H69" t="s">
        <v>17</v>
      </c>
      <c r="I69">
        <v>25</v>
      </c>
      <c r="J69" s="14">
        <v>570</v>
      </c>
      <c r="K69" s="442">
        <v>14250</v>
      </c>
      <c r="L69" s="14">
        <v>153900000</v>
      </c>
      <c r="M69" s="564"/>
    </row>
    <row r="70" spans="2:13">
      <c r="B70" s="571">
        <f>IF(F70="","",(SUMIF(INTGRATE!$Y:$Y,data!D70,INTGRATE!$L:$L)+SUMIF(BRAN!$V:$V,data!D70,BRAN!$J:$J)))</f>
        <v>57910</v>
      </c>
      <c r="C70" s="572">
        <f t="shared" si="4"/>
        <v>0</v>
      </c>
      <c r="D70" s="573" t="str">
        <f>IFERROR(VLOOKUP(E70,Map!$B:$F,4,0),"")&amp;IFERROR(VLOOKUP(E70,Map!$B:$F,5,0),"")</f>
        <v>566FS31SILO</v>
      </c>
      <c r="E70" s="574" t="str">
        <f t="shared" si="5"/>
        <v>21115660099300S31</v>
      </c>
      <c r="F70" s="428">
        <v>21115660099300</v>
      </c>
      <c r="G70" t="s">
        <v>1532</v>
      </c>
      <c r="H70" t="s">
        <v>2072</v>
      </c>
      <c r="I70">
        <v>0</v>
      </c>
      <c r="J70" s="14">
        <v>0</v>
      </c>
      <c r="K70" s="442">
        <v>57910</v>
      </c>
      <c r="L70" s="14">
        <v>513082600</v>
      </c>
      <c r="M70" s="564"/>
    </row>
    <row r="71" spans="2:13">
      <c r="B71" s="571">
        <f>IF(F71="","",(SUMIF(INTGRATE!$Y:$Y,data!D71,INTGRATE!$L:$L)+SUMIF(BRAN!$V:$V,data!D71,BRAN!$J:$J)))</f>
        <v>29575</v>
      </c>
      <c r="C71" s="572">
        <f t="shared" si="4"/>
        <v>0</v>
      </c>
      <c r="D71" s="573" t="str">
        <f>IFERROR(VLOOKUP(E71,Map!$B:$F,4,0),"")&amp;IFERROR(VLOOKUP(E71,Map!$B:$F,5,0),"")</f>
        <v>55225</v>
      </c>
      <c r="E71" s="574" t="str">
        <f t="shared" si="5"/>
        <v>21115520000125</v>
      </c>
      <c r="F71" s="428">
        <v>21115520000125</v>
      </c>
      <c r="G71" t="s">
        <v>2107</v>
      </c>
      <c r="H71" t="s">
        <v>17</v>
      </c>
      <c r="I71">
        <v>25</v>
      </c>
      <c r="J71" s="14">
        <v>1183</v>
      </c>
      <c r="K71" s="442">
        <v>29575</v>
      </c>
      <c r="L71" s="14">
        <v>333014500</v>
      </c>
      <c r="M71" s="564"/>
    </row>
    <row r="72" spans="2:13">
      <c r="B72" s="571">
        <f>IF(F72="","",(SUMIF(INTGRATE!$Y:$Y,data!D72,INTGRATE!$L:$L)+SUMIF(BRAN!$V:$V,data!D72,BRAN!$J:$J)))</f>
        <v>329500</v>
      </c>
      <c r="C72" s="572">
        <f t="shared" si="4"/>
        <v>0</v>
      </c>
      <c r="D72" s="573" t="str">
        <f>IFERROR(VLOOKUP(E72,Map!$B:$F,4,0),"")&amp;IFERROR(VLOOKUP(E72,Map!$B:$F,5,0),"")</f>
        <v>552FS9050</v>
      </c>
      <c r="E72" s="574" t="str">
        <f t="shared" si="5"/>
        <v>21115520099250S90</v>
      </c>
      <c r="F72" s="428">
        <v>21115520099250</v>
      </c>
      <c r="G72" t="s">
        <v>1320</v>
      </c>
      <c r="H72" t="s">
        <v>2083</v>
      </c>
      <c r="I72">
        <v>50</v>
      </c>
      <c r="J72" s="14">
        <v>6590</v>
      </c>
      <c r="K72" s="442">
        <v>329500</v>
      </c>
      <c r="L72" s="14">
        <v>2807340000</v>
      </c>
      <c r="M72" s="564"/>
    </row>
    <row r="73" spans="2:13">
      <c r="B73" s="571">
        <f>IF(F73="","",(SUMIF(INTGRATE!$Y:$Y,data!D73,INTGRATE!$L:$L)+SUMIF(BRAN!$V:$V,data!D73,BRAN!$J:$J)))</f>
        <v>29720</v>
      </c>
      <c r="C73" s="572">
        <f t="shared" si="4"/>
        <v>0</v>
      </c>
      <c r="D73" s="573" t="str">
        <f>IFERROR(VLOOKUP(E73,Map!$B:$F,4,0),"")&amp;IFERROR(VLOOKUP(E73,Map!$B:$F,5,0),"")</f>
        <v>567SFS25SILO</v>
      </c>
      <c r="E73" s="574" t="str">
        <f t="shared" si="5"/>
        <v>21115671999300S25</v>
      </c>
      <c r="F73" s="428">
        <v>21115671999300</v>
      </c>
      <c r="G73" t="s">
        <v>1316</v>
      </c>
      <c r="H73" t="s">
        <v>2108</v>
      </c>
      <c r="I73">
        <v>0</v>
      </c>
      <c r="J73" s="14">
        <v>0</v>
      </c>
      <c r="K73" s="442">
        <v>29720</v>
      </c>
      <c r="L73" s="14">
        <v>327811600</v>
      </c>
      <c r="M73" s="564"/>
    </row>
    <row r="74" spans="2:13">
      <c r="B74" s="571">
        <f>IF(F74="","",(SUMIF(INTGRATE!$Y:$Y,data!D74,INTGRATE!$L:$L)+SUMIF(BRAN!$V:$V,data!D74,BRAN!$J:$J)))</f>
        <v>1000</v>
      </c>
      <c r="C74" s="572">
        <f t="shared" si="4"/>
        <v>0</v>
      </c>
      <c r="D74" s="573" t="str">
        <f>IFERROR(VLOOKUP(E74,Map!$B:$F,4,0),"")&amp;IFERROR(VLOOKUP(E74,Map!$B:$F,5,0),"")</f>
        <v>51125</v>
      </c>
      <c r="E74" s="574" t="str">
        <f t="shared" si="5"/>
        <v>21115110000125</v>
      </c>
      <c r="F74" s="428">
        <v>21115110000125</v>
      </c>
      <c r="G74" t="s">
        <v>2109</v>
      </c>
      <c r="H74" t="s">
        <v>17</v>
      </c>
      <c r="I74">
        <v>25</v>
      </c>
      <c r="J74" s="14">
        <v>40</v>
      </c>
      <c r="K74" s="442">
        <v>1000</v>
      </c>
      <c r="L74" s="14">
        <v>12030000</v>
      </c>
      <c r="M74" s="564"/>
    </row>
    <row r="75" spans="2:13">
      <c r="B75" s="571">
        <f>IF(F75="","",(SUMIF(INTGRATE!$Y:$Y,data!D75,INTGRATE!$L:$L)+SUMIF(BRAN!$V:$V,data!D75,BRAN!$J:$J)))</f>
        <v>19900</v>
      </c>
      <c r="C75" s="572">
        <f t="shared" si="4"/>
        <v>0</v>
      </c>
      <c r="D75" s="573" t="str">
        <f>IFERROR(VLOOKUP(E75,Map!$B:$F,4,0),"")&amp;IFERROR(VLOOKUP(E75,Map!$B:$F,5,0),"")</f>
        <v>56625</v>
      </c>
      <c r="E75" s="574" t="str">
        <f t="shared" si="5"/>
        <v>21115660000125</v>
      </c>
      <c r="F75" s="428">
        <v>21115660000125</v>
      </c>
      <c r="G75" t="s">
        <v>2110</v>
      </c>
      <c r="H75" t="s">
        <v>17</v>
      </c>
      <c r="I75">
        <v>25</v>
      </c>
      <c r="J75" s="14">
        <v>796</v>
      </c>
      <c r="K75" s="442">
        <v>19900</v>
      </c>
      <c r="L75" s="14">
        <v>211537000</v>
      </c>
      <c r="M75" s="564"/>
    </row>
    <row r="76" spans="2:13">
      <c r="B76" s="571">
        <f>IF(F76="","",(SUMIF(INTGRATE!$Y:$Y,data!D76,INTGRATE!$L:$L)+SUMIF(BRAN!$V:$V,data!D76,BRAN!$J:$J)))</f>
        <v>32000</v>
      </c>
      <c r="C76" s="572">
        <f t="shared" si="4"/>
        <v>0</v>
      </c>
      <c r="D76" s="573" t="str">
        <f>IFERROR(VLOOKUP(E76,Map!$B:$F,4,0),"")&amp;IFERROR(VLOOKUP(E76,Map!$B:$F,5,0),"")</f>
        <v>540F50</v>
      </c>
      <c r="E76" s="574" t="str">
        <f t="shared" si="5"/>
        <v>21115400000250</v>
      </c>
      <c r="F76" s="428">
        <v>21115400000250</v>
      </c>
      <c r="G76" t="s">
        <v>2111</v>
      </c>
      <c r="H76" t="s">
        <v>17</v>
      </c>
      <c r="I76">
        <v>50</v>
      </c>
      <c r="J76" s="14">
        <v>640</v>
      </c>
      <c r="K76" s="442">
        <v>32000</v>
      </c>
      <c r="L76" s="14">
        <v>280320000</v>
      </c>
      <c r="M76" s="564"/>
    </row>
    <row r="77" spans="2:13">
      <c r="B77" s="571">
        <f>IF(F77="","",(SUMIF(INTGRATE!$Y:$Y,data!D77,INTGRATE!$L:$L)+SUMIF(BRAN!$V:$V,data!D77,BRAN!$J:$J)))</f>
        <v>750</v>
      </c>
      <c r="C77" s="572">
        <f t="shared" si="4"/>
        <v>0</v>
      </c>
      <c r="D77" s="573" t="str">
        <f>IFERROR(VLOOKUP(E77,Map!$B:$F,4,0),"")&amp;IFERROR(VLOOKUP(E77,Map!$B:$F,5,0),"")</f>
        <v>35225</v>
      </c>
      <c r="E77" s="574" t="str">
        <f t="shared" si="5"/>
        <v>21113520000125</v>
      </c>
      <c r="F77" s="428">
        <v>21113520000125</v>
      </c>
      <c r="G77" t="s">
        <v>2112</v>
      </c>
      <c r="H77" t="s">
        <v>17</v>
      </c>
      <c r="I77">
        <v>25</v>
      </c>
      <c r="J77" s="14">
        <v>30</v>
      </c>
      <c r="K77" s="442">
        <v>750</v>
      </c>
      <c r="L77" s="14">
        <v>8370000</v>
      </c>
      <c r="M77" s="564"/>
    </row>
    <row r="78" spans="2:13">
      <c r="B78" s="571">
        <f>IF(F78="","",(SUMIF(INTGRATE!$Y:$Y,data!D78,INTGRATE!$L:$L)+SUMIF(BRAN!$V:$V,data!D78,BRAN!$J:$J)))</f>
        <v>1475</v>
      </c>
      <c r="C78" s="572">
        <f t="shared" si="4"/>
        <v>0</v>
      </c>
      <c r="D78" s="573" t="str">
        <f>IFERROR(VLOOKUP(E78,Map!$B:$F,4,0),"")&amp;IFERROR(VLOOKUP(E78,Map!$B:$F,5,0),"")</f>
        <v>94425</v>
      </c>
      <c r="E78" s="574" t="str">
        <f t="shared" si="5"/>
        <v>21125440000125</v>
      </c>
      <c r="F78" s="428">
        <v>21125440000125</v>
      </c>
      <c r="G78" t="s">
        <v>2006</v>
      </c>
      <c r="H78" t="s">
        <v>17</v>
      </c>
      <c r="I78">
        <v>25</v>
      </c>
      <c r="J78" s="14">
        <v>59</v>
      </c>
      <c r="K78" s="442">
        <v>1475</v>
      </c>
      <c r="L78" s="14">
        <v>14676250</v>
      </c>
      <c r="M78" s="564"/>
    </row>
    <row r="79" spans="2:13">
      <c r="B79" s="571">
        <f>IF(F79="","",(SUMIF(INTGRATE!$Y:$Y,data!D79,INTGRATE!$L:$L)+SUMIF(BRAN!$V:$V,data!D79,BRAN!$J:$J)))</f>
        <v>279530</v>
      </c>
      <c r="C79" s="572">
        <f t="shared" si="4"/>
        <v>0</v>
      </c>
      <c r="D79" s="573" t="str">
        <f>IFERROR(VLOOKUP(E79,Map!$B:$F,4,0),"")&amp;IFERROR(VLOOKUP(E79,Map!$B:$F,5,0),"")</f>
        <v>552SFS90silo</v>
      </c>
      <c r="E79" s="574" t="str">
        <f t="shared" si="5"/>
        <v>21115521999300S90</v>
      </c>
      <c r="F79" s="428">
        <v>21115521999300</v>
      </c>
      <c r="G79" t="s">
        <v>1311</v>
      </c>
      <c r="H79" t="s">
        <v>2083</v>
      </c>
      <c r="I79">
        <v>0</v>
      </c>
      <c r="J79" s="14">
        <v>0</v>
      </c>
      <c r="K79" s="442">
        <v>279530</v>
      </c>
      <c r="L79" s="14">
        <v>2610810200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553MFSilo</v>
      </c>
      <c r="E80" s="574" t="str">
        <f t="shared" si="5"/>
        <v>21115531300300</v>
      </c>
      <c r="F80" s="428">
        <v>21115531300300</v>
      </c>
      <c r="G80" t="s">
        <v>1187</v>
      </c>
      <c r="H80" t="s">
        <v>17</v>
      </c>
      <c r="I80">
        <v>0</v>
      </c>
      <c r="J80" s="14">
        <v>0</v>
      </c>
      <c r="K80" s="442">
        <v>31090</v>
      </c>
      <c r="L80" s="14">
        <v>260223300</v>
      </c>
      <c r="M80" s="564"/>
    </row>
    <row r="81" spans="2:13">
      <c r="B81" s="571">
        <f>IF(F81="","",(SUMIF(INTGRATE!$Y:$Y,data!D81,INTGRATE!$L:$L)+SUMIF(BRAN!$V:$V,data!D81,BRAN!$J:$J)))</f>
        <v>45230</v>
      </c>
      <c r="C81" s="572">
        <f>IF(F81="","",B81-K81)</f>
        <v>0</v>
      </c>
      <c r="D81" s="573" t="str">
        <f>IFERROR(VLOOKUP(E81,Map!$B:$F,4,0),"")&amp;IFERROR(VLOOKUP(E81,Map!$B:$F,5,0),"")</f>
        <v>552FS90silo</v>
      </c>
      <c r="E81" s="574" t="str">
        <f t="shared" si="5"/>
        <v>21115520099300S90</v>
      </c>
      <c r="F81" s="640">
        <v>21115520099300</v>
      </c>
      <c r="G81" s="576" t="s">
        <v>1322</v>
      </c>
      <c r="H81" s="576" t="s">
        <v>2083</v>
      </c>
      <c r="I81" s="576">
        <v>0</v>
      </c>
      <c r="J81" s="580">
        <v>0</v>
      </c>
      <c r="K81" s="580">
        <v>45230</v>
      </c>
      <c r="L81" s="580">
        <v>379932000</v>
      </c>
      <c r="M81" s="564"/>
    </row>
    <row r="82" spans="2:13">
      <c r="B82" s="571">
        <f>IF(F82="","",(SUMIF(INTGRATE!$Y:$Y,data!D82,INTGRATE!$L:$L)+SUMIF(BRAN!$V:$V,data!D82,BRAN!$J:$J)))</f>
        <v>37425</v>
      </c>
      <c r="C82" s="572">
        <f>IF(F82="","",B82-K82)</f>
        <v>0</v>
      </c>
      <c r="D82" s="573" t="str">
        <f>IFERROR(VLOOKUP(E82,Map!$B:$F,4,0),"")&amp;IFERROR(VLOOKUP(E82,Map!$B:$F,5,0),"")</f>
        <v>511B25</v>
      </c>
      <c r="E82" s="574" t="str">
        <f t="shared" si="5"/>
        <v>21115110200125</v>
      </c>
      <c r="F82" s="640">
        <v>21115110200125</v>
      </c>
      <c r="G82" s="576" t="s">
        <v>2113</v>
      </c>
      <c r="H82" s="576" t="s">
        <v>17</v>
      </c>
      <c r="I82" s="576">
        <v>25</v>
      </c>
      <c r="J82" s="580">
        <v>1497</v>
      </c>
      <c r="K82" s="580">
        <v>37425</v>
      </c>
      <c r="L82" s="580">
        <v>446480250</v>
      </c>
      <c r="M82" s="564"/>
    </row>
    <row r="83" spans="2:13">
      <c r="B83" s="571">
        <f>IF(F83="","",(SUMIF(INTGRATE!$Y:$Y,data!D83,INTGRATE!$L:$L)+SUMIF(BRAN!$V:$V,data!D83,BRAN!$J:$J)))</f>
        <v>300</v>
      </c>
      <c r="C83" s="572">
        <f>IF(F83="","",B83-K83)</f>
        <v>0</v>
      </c>
      <c r="D83" s="573" t="str">
        <f>IFERROR(VLOOKUP(E83,Map!$B:$F,4,0),"")&amp;IFERROR(VLOOKUP(E83,Map!$B:$F,5,0),"")</f>
        <v>30225</v>
      </c>
      <c r="E83" s="574" t="str">
        <f t="shared" si="5"/>
        <v>21113020000125</v>
      </c>
      <c r="F83" s="774">
        <v>21113020000125</v>
      </c>
      <c r="G83" s="575" t="s">
        <v>2114</v>
      </c>
      <c r="H83" s="575" t="s">
        <v>17</v>
      </c>
      <c r="I83" s="575">
        <v>25</v>
      </c>
      <c r="J83" s="578">
        <v>12</v>
      </c>
      <c r="K83" s="578">
        <v>300</v>
      </c>
      <c r="L83" s="578">
        <v>3180000</v>
      </c>
      <c r="M83" s="564"/>
    </row>
    <row r="84" spans="2:13">
      <c r="B84" s="571">
        <f>IF(F84="","",(SUMIF(INTGRATE!$Y:$Y,data!D84,INTGRATE!$L:$L)+SUMIF(BRAN!$V:$V,data!D84,BRAN!$J:$J)))</f>
        <v>5825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96625</v>
      </c>
      <c r="E84" s="574" t="str">
        <f t="shared" ref="E84:E95" si="7">IF(MID(F84,10,2)="99",F84&amp;H84,LEFT(F84,14))</f>
        <v>21125660000125</v>
      </c>
      <c r="F84" s="773">
        <v>21125660000125</v>
      </c>
      <c r="G84" s="554" t="s">
        <v>2115</v>
      </c>
      <c r="H84" s="369" t="s">
        <v>17</v>
      </c>
      <c r="I84" s="369">
        <v>25</v>
      </c>
      <c r="J84" s="612">
        <v>233</v>
      </c>
      <c r="K84" s="625">
        <v>5825</v>
      </c>
      <c r="L84" s="554">
        <v>61919750</v>
      </c>
      <c r="M84" s="564"/>
    </row>
    <row r="85" spans="2:13">
      <c r="B85" s="571">
        <f>IF(F85="","",(SUMIF(INTGRATE!$Y:$Y,data!D85,INTGRATE!$L:$L)+SUMIF(BRAN!$V:$V,data!D85,BRAN!$J:$J)))</f>
        <v>10375</v>
      </c>
      <c r="C85" s="572">
        <f t="shared" si="6"/>
        <v>0</v>
      </c>
      <c r="D85" s="573" t="str">
        <f>IFERROR(VLOOKUP(E85,Map!$B:$F,4,0),"")&amp;IFERROR(VLOOKUP(E85,Map!$B:$F,5,0),"")</f>
        <v>552M25</v>
      </c>
      <c r="E85" s="574" t="str">
        <f t="shared" si="7"/>
        <v>21115521300125</v>
      </c>
      <c r="F85" s="640">
        <v>21115521300125</v>
      </c>
      <c r="G85" s="576" t="s">
        <v>2116</v>
      </c>
      <c r="H85" s="576" t="s">
        <v>17</v>
      </c>
      <c r="I85" s="576">
        <v>25</v>
      </c>
      <c r="J85" s="580">
        <v>415</v>
      </c>
      <c r="K85" s="580">
        <v>10375</v>
      </c>
      <c r="L85" s="580">
        <v>98192500</v>
      </c>
      <c r="M85" s="564"/>
    </row>
    <row r="86" spans="2:13">
      <c r="B86" s="571">
        <f>IF(F86="","",(SUMIF(INTGRATE!$Y:$Y,data!D86,INTGRATE!$L:$L)+SUMIF(BRAN!$V:$V,data!D86,BRAN!$J:$J)))</f>
        <v>3750</v>
      </c>
      <c r="C86" s="572">
        <f t="shared" si="6"/>
        <v>0</v>
      </c>
      <c r="D86" s="573" t="str">
        <f>IFERROR(VLOOKUP(E86,Map!$B:$F,4,0),"")&amp;IFERROR(VLOOKUP(E86,Map!$B:$F,5,0),"")</f>
        <v>95125</v>
      </c>
      <c r="E86" s="574" t="str">
        <f t="shared" si="7"/>
        <v>21125510000125</v>
      </c>
      <c r="F86" s="774">
        <v>21125510000125</v>
      </c>
      <c r="G86" s="563" t="s">
        <v>2117</v>
      </c>
      <c r="H86" s="575" t="s">
        <v>17</v>
      </c>
      <c r="I86" s="575">
        <v>25</v>
      </c>
      <c r="J86" s="578">
        <v>150</v>
      </c>
      <c r="K86" s="578">
        <v>3750</v>
      </c>
      <c r="L86" s="578">
        <v>63075000</v>
      </c>
      <c r="M86" s="564"/>
    </row>
    <row r="87" spans="2:13">
      <c r="B87" s="571">
        <f>IF(F87="","",(SUMIF(INTGRATE!$Y:$Y,data!D87,INTGRATE!$L:$L)+SUMIF(BRAN!$V:$V,data!D87,BRAN!$J:$J)))</f>
        <v>250</v>
      </c>
      <c r="C87" s="572">
        <f t="shared" si="6"/>
        <v>0</v>
      </c>
      <c r="D87" s="573" t="str">
        <f>IFERROR(VLOOKUP(E87,Map!$B:$F,4,0),"")&amp;IFERROR(VLOOKUP(E87,Map!$B:$F,5,0),"")</f>
        <v>551 (5*5)25</v>
      </c>
      <c r="E87" s="574" t="str">
        <f t="shared" si="7"/>
        <v>21115510000425</v>
      </c>
      <c r="F87" s="640">
        <v>21115510000425</v>
      </c>
      <c r="G87" s="576" t="s">
        <v>2118</v>
      </c>
      <c r="H87" s="576" t="s">
        <v>17</v>
      </c>
      <c r="I87" s="576">
        <v>25</v>
      </c>
      <c r="J87" s="580">
        <v>10</v>
      </c>
      <c r="K87" s="580">
        <v>250</v>
      </c>
      <c r="L87" s="580">
        <v>4255000</v>
      </c>
      <c r="M87" s="564"/>
    </row>
    <row r="88" spans="2:13">
      <c r="B88" s="571">
        <f>IF(F88="","",(SUMIF(INTGRATE!$Y:$Y,data!D88,INTGRATE!$L:$L)+SUMIF(BRAN!$V:$V,data!D88,BRAN!$J:$J)))</f>
        <v>11675</v>
      </c>
      <c r="C88" s="572">
        <f t="shared" si="6"/>
        <v>0</v>
      </c>
      <c r="D88" s="573" t="str">
        <f>IFERROR(VLOOKUP(E88,Map!$B:$F,4,0),"")&amp;IFERROR(VLOOKUP(E88,Map!$B:$F,5,0),"")</f>
        <v>94925</v>
      </c>
      <c r="E88" s="574" t="str">
        <f t="shared" si="7"/>
        <v>21125490000125</v>
      </c>
      <c r="F88" s="774">
        <v>21125490000125</v>
      </c>
      <c r="G88" s="563" t="s">
        <v>1659</v>
      </c>
      <c r="H88" s="575" t="s">
        <v>17</v>
      </c>
      <c r="I88" s="575">
        <v>25</v>
      </c>
      <c r="J88" s="578">
        <v>467</v>
      </c>
      <c r="K88" s="578">
        <v>11675</v>
      </c>
      <c r="L88" s="578">
        <v>130293000</v>
      </c>
      <c r="M88" s="564"/>
    </row>
    <row r="89" spans="2:13">
      <c r="B89" s="571">
        <f>IF(F89="","",(SUMIF(INTGRATE!$Y:$Y,data!D89,INTGRATE!$L:$L)+SUMIF(BRAN!$V:$V,data!D89,BRAN!$J:$J)))</f>
        <v>6575</v>
      </c>
      <c r="C89" s="572">
        <f t="shared" si="6"/>
        <v>0</v>
      </c>
      <c r="D89" s="573" t="str">
        <f>IFERROR(VLOOKUP(E89,Map!$B:$F,4,0),"")&amp;IFERROR(VLOOKUP(E89,Map!$B:$F,5,0),"")</f>
        <v>511M25</v>
      </c>
      <c r="E89" s="574" t="str">
        <f t="shared" si="7"/>
        <v>21115111300125</v>
      </c>
      <c r="F89" s="640">
        <v>21115111300125</v>
      </c>
      <c r="G89" s="576" t="s">
        <v>2119</v>
      </c>
      <c r="H89" s="576" t="s">
        <v>17</v>
      </c>
      <c r="I89" s="576">
        <v>25</v>
      </c>
      <c r="J89" s="580">
        <v>263</v>
      </c>
      <c r="K89" s="580">
        <v>6575</v>
      </c>
      <c r="L89" s="580">
        <v>75283750</v>
      </c>
      <c r="M89" s="564"/>
    </row>
    <row r="90" spans="2:13">
      <c r="B90" s="571">
        <f>IF(F90="","",(SUMIF(INTGRATE!$Y:$Y,data!D90,INTGRATE!$L:$L)+SUMIF(BRAN!$V:$V,data!D90,BRAN!$J:$J)))</f>
        <v>9000</v>
      </c>
      <c r="C90" s="572">
        <f t="shared" si="6"/>
        <v>0</v>
      </c>
      <c r="D90" s="573" t="str">
        <f>IFERROR(VLOOKUP(E90,Map!$B:$F,4,0),"")&amp;IFERROR(VLOOKUP(E90,Map!$B:$F,5,0),"")</f>
        <v>VT1225</v>
      </c>
      <c r="E90" s="574" t="str">
        <f t="shared" si="7"/>
        <v>21135400000125</v>
      </c>
      <c r="F90" s="640">
        <v>21135400000125</v>
      </c>
      <c r="G90" s="576" t="s">
        <v>2120</v>
      </c>
      <c r="H90" s="576" t="s">
        <v>17</v>
      </c>
      <c r="I90" s="576">
        <v>25</v>
      </c>
      <c r="J90" s="580">
        <v>360</v>
      </c>
      <c r="K90" s="580">
        <v>9000</v>
      </c>
      <c r="L90" s="580">
        <v>100080000</v>
      </c>
      <c r="M90" s="564"/>
    </row>
    <row r="91" spans="2:13">
      <c r="B91" s="571">
        <f>IF(F91="","",(SUMIF(INTGRATE!$Y:$Y,data!D91,INTGRATE!$L:$L)+SUMIF(BRAN!$V:$V,data!D91,BRAN!$J:$J)))</f>
        <v>8750</v>
      </c>
      <c r="C91" s="572">
        <f t="shared" si="6"/>
        <v>0</v>
      </c>
      <c r="D91" s="573" t="str">
        <f>IFERROR(VLOOKUP(E91,Map!$B:$F,4,0),"")&amp;IFERROR(VLOOKUP(E91,Map!$B:$F,5,0),"")</f>
        <v>511NFP3550</v>
      </c>
      <c r="E91" s="574" t="str">
        <f t="shared" si="7"/>
        <v>21115111499250P35</v>
      </c>
      <c r="F91" s="640">
        <v>21115111499250</v>
      </c>
      <c r="G91" s="576" t="s">
        <v>1285</v>
      </c>
      <c r="H91" s="576" t="s">
        <v>2121</v>
      </c>
      <c r="I91" s="576">
        <v>50</v>
      </c>
      <c r="J91" s="580">
        <v>175</v>
      </c>
      <c r="K91" s="580">
        <v>8750</v>
      </c>
      <c r="L91" s="580">
        <v>92750000</v>
      </c>
      <c r="M91" s="564"/>
    </row>
    <row r="92" spans="2:13">
      <c r="B92" s="571">
        <f>IF(F92="","",(SUMIF(INTGRATE!$Y:$Y,data!D92,INTGRATE!$L:$L)+SUMIF(BRAN!$V:$V,data!D92,BRAN!$J:$J)))</f>
        <v>2250</v>
      </c>
      <c r="C92" s="572">
        <f t="shared" si="6"/>
        <v>0</v>
      </c>
      <c r="D92" s="573" t="str">
        <f>IFERROR(VLOOKUP(E92,Map!$B:$F,4,0),"")&amp;IFERROR(VLOOKUP(E92,Map!$B:$F,5,0),"")</f>
        <v>552SPro25</v>
      </c>
      <c r="E92" s="574" t="str">
        <f t="shared" si="7"/>
        <v>21115521916125</v>
      </c>
      <c r="F92" s="774">
        <v>21115521916125</v>
      </c>
      <c r="G92" s="563" t="s">
        <v>1726</v>
      </c>
      <c r="H92" s="575" t="s">
        <v>17</v>
      </c>
      <c r="I92" s="575">
        <v>25</v>
      </c>
      <c r="J92" s="579">
        <v>90</v>
      </c>
      <c r="K92" s="578">
        <v>2250</v>
      </c>
      <c r="L92" s="578">
        <v>28350000</v>
      </c>
      <c r="M92" s="564"/>
    </row>
    <row r="93" spans="2:13">
      <c r="B93" s="571">
        <f>IF(F93="","",(SUMIF(INTGRATE!$Y:$Y,data!D93,INTGRATE!$L:$L)+SUMIF(BRAN!$V:$V,data!D93,BRAN!$J:$J)))</f>
        <v>3000</v>
      </c>
      <c r="C93" s="572">
        <f t="shared" si="6"/>
        <v>0</v>
      </c>
      <c r="D93" s="573" t="str">
        <f>IFERROR(VLOOKUP(E93,Map!$B:$F,4,0),"")&amp;IFERROR(VLOOKUP(E93,Map!$B:$F,5,0),"")</f>
        <v>699525</v>
      </c>
      <c r="E93" s="574" t="str">
        <f t="shared" si="7"/>
        <v>21165950000125</v>
      </c>
      <c r="F93" s="774">
        <v>21165950000125</v>
      </c>
      <c r="G93" s="576" t="s">
        <v>1790</v>
      </c>
      <c r="H93" s="576" t="s">
        <v>17</v>
      </c>
      <c r="I93" s="576">
        <v>25</v>
      </c>
      <c r="J93" s="581">
        <v>120</v>
      </c>
      <c r="K93" s="580">
        <v>3000</v>
      </c>
      <c r="L93" s="580">
        <v>23880000</v>
      </c>
      <c r="M93" s="564"/>
    </row>
    <row r="94" spans="2:13">
      <c r="B94" s="571">
        <f>IF(F94="","",(SUMIF(INTGRATE!$Y:$Y,data!D94,INTGRATE!$L:$L)+SUMIF(BRAN!$V:$V,data!D94,BRAN!$J:$J)))</f>
        <v>4000</v>
      </c>
      <c r="C94" s="572">
        <f t="shared" si="6"/>
        <v>0</v>
      </c>
      <c r="D94" s="573" t="str">
        <f>IFERROR(VLOOKUP(E94,Map!$B:$F,4,0),"")&amp;IFERROR(VLOOKUP(E94,Map!$B:$F,5,0),"")</f>
        <v>695225</v>
      </c>
      <c r="E94" s="574" t="str">
        <f t="shared" si="7"/>
        <v>21165520000125</v>
      </c>
      <c r="F94" s="640">
        <v>21165520000125</v>
      </c>
      <c r="G94" s="576" t="s">
        <v>1734</v>
      </c>
      <c r="H94" s="576" t="s">
        <v>17</v>
      </c>
      <c r="I94" s="576">
        <v>25</v>
      </c>
      <c r="J94" s="581">
        <v>160</v>
      </c>
      <c r="K94" s="580">
        <v>4000</v>
      </c>
      <c r="L94" s="580">
        <v>40000000</v>
      </c>
      <c r="M94" s="564"/>
    </row>
    <row r="95" spans="2:13">
      <c r="B95" s="571">
        <f>IF(F95="","",(SUMIF(INTGRATE!$Y:$Y,data!D95,INTGRATE!$L:$L)+SUMIF(BRAN!$V:$V,data!D95,BRAN!$J:$J)))</f>
        <v>875</v>
      </c>
      <c r="C95" s="572">
        <f t="shared" ref="C95:C104" si="8">IF(F95="","",B95-K95)</f>
        <v>0</v>
      </c>
      <c r="D95" s="573" t="str">
        <f>IFERROR(VLOOKUP(E95,Map!$B:$F,4,0),"")&amp;IFERROR(VLOOKUP(E95,Map!$B:$F,5,0),"")</f>
        <v>699125</v>
      </c>
      <c r="E95" s="574" t="str">
        <f t="shared" si="7"/>
        <v>21165910000125</v>
      </c>
      <c r="F95" s="774">
        <v>21165910000125</v>
      </c>
      <c r="G95" s="563" t="s">
        <v>1732</v>
      </c>
      <c r="H95" s="575" t="s">
        <v>17</v>
      </c>
      <c r="I95" s="575">
        <v>25</v>
      </c>
      <c r="J95" s="578">
        <v>35</v>
      </c>
      <c r="K95" s="578">
        <v>875</v>
      </c>
      <c r="L95" s="578">
        <v>8645000</v>
      </c>
      <c r="M95" s="564"/>
    </row>
    <row r="96" spans="2:13">
      <c r="B96" s="571">
        <f>IF(F96="","",(SUMIF(INTGRATE!$Y:$Y,data!D96,INTGRATE!$L:$L)+SUMIF(BRAN!$V:$V,data!D96,BRAN!$J:$J)))</f>
        <v>91700</v>
      </c>
      <c r="C96" s="572">
        <f t="shared" si="8"/>
        <v>0</v>
      </c>
      <c r="D96" s="573" t="str">
        <f>IFERROR(VLOOKUP(E96,Map!$B:$F,4,0),"")&amp;IFERROR(VLOOKUP(E96,Map!$B:$F,5,0),"")</f>
        <v>550SFS3150</v>
      </c>
      <c r="E96" s="574" t="str">
        <f t="shared" ref="E96:E104" si="9">IF(MID(F96,10,2)="99",F96&amp;H96,LEFT(F96,14))</f>
        <v>21115501999250S31</v>
      </c>
      <c r="F96" s="640">
        <v>21115501999250</v>
      </c>
      <c r="G96" s="576" t="s">
        <v>1979</v>
      </c>
      <c r="H96" s="576" t="s">
        <v>2072</v>
      </c>
      <c r="I96" s="576">
        <v>50</v>
      </c>
      <c r="J96" s="580">
        <v>1834</v>
      </c>
      <c r="K96" s="580">
        <v>91700</v>
      </c>
      <c r="L96" s="580">
        <v>1394757000</v>
      </c>
      <c r="M96" s="564"/>
    </row>
    <row r="97" spans="2:13">
      <c r="B97" s="571">
        <f>IF(F97="","",(SUMIF(INTGRATE!$Y:$Y,data!D97,INTGRATE!$L:$L)+SUMIF(BRAN!$V:$V,data!D97,BRAN!$J:$J)))</f>
        <v>10900</v>
      </c>
      <c r="C97" s="572">
        <f t="shared" si="8"/>
        <v>0</v>
      </c>
      <c r="D97" s="573" t="str">
        <f>IFERROR(VLOOKUP(E97,Map!$B:$F,4,0),"")&amp;IFERROR(VLOOKUP(E97,Map!$B:$F,5,0),"")</f>
        <v>550SFS2550</v>
      </c>
      <c r="E97" s="574" t="str">
        <f t="shared" si="9"/>
        <v>21115501999250S25</v>
      </c>
      <c r="F97" s="640">
        <v>21115501999250</v>
      </c>
      <c r="G97" s="576" t="s">
        <v>1979</v>
      </c>
      <c r="H97" s="576" t="s">
        <v>2108</v>
      </c>
      <c r="I97" s="576">
        <v>50</v>
      </c>
      <c r="J97" s="580">
        <v>218</v>
      </c>
      <c r="K97" s="580">
        <v>10900</v>
      </c>
      <c r="L97" s="580">
        <v>175272000</v>
      </c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42" sqref="C42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2122</v>
      </c>
      <c r="D1" s="369" t="s">
        <v>2123</v>
      </c>
      <c r="E1" s="369" t="s">
        <v>2124</v>
      </c>
      <c r="F1" s="369" t="s">
        <v>2125</v>
      </c>
      <c r="G1" s="369" t="s">
        <v>2126</v>
      </c>
      <c r="H1" s="369" t="s">
        <v>2127</v>
      </c>
      <c r="I1" s="369" t="s">
        <v>2128</v>
      </c>
      <c r="J1" s="369" t="s">
        <v>2127</v>
      </c>
      <c r="K1" s="369" t="s">
        <v>2128</v>
      </c>
      <c r="L1" s="369" t="s">
        <v>2127</v>
      </c>
      <c r="M1" s="369" t="s">
        <v>2128</v>
      </c>
      <c r="N1" s="369" t="s">
        <v>2127</v>
      </c>
      <c r="O1" s="369" t="s">
        <v>2128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30125</v>
      </c>
      <c r="B2" s="412">
        <f t="shared" si="1"/>
        <v>25</v>
      </c>
      <c r="C2" s="369" t="s">
        <v>2129</v>
      </c>
      <c r="D2" s="554">
        <v>25</v>
      </c>
      <c r="E2" s="369" t="s">
        <v>2130</v>
      </c>
      <c r="H2" s="625">
        <v>671</v>
      </c>
      <c r="I2" s="554">
        <v>16775</v>
      </c>
      <c r="J2" s="625">
        <v>0</v>
      </c>
      <c r="K2" s="554">
        <v>0</v>
      </c>
      <c r="L2" s="625">
        <v>0</v>
      </c>
      <c r="M2" s="554">
        <v>0</v>
      </c>
      <c r="N2" s="625">
        <v>671</v>
      </c>
      <c r="O2" s="554">
        <v>16775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38425</v>
      </c>
      <c r="B3" s="412">
        <f t="shared" si="1"/>
        <v>25</v>
      </c>
      <c r="C3" s="369" t="s">
        <v>2131</v>
      </c>
      <c r="D3" s="554">
        <v>25</v>
      </c>
      <c r="E3" s="369" t="s">
        <v>2132</v>
      </c>
      <c r="H3" s="625">
        <v>0</v>
      </c>
      <c r="I3" s="554">
        <v>0</v>
      </c>
      <c r="J3" s="625">
        <v>285</v>
      </c>
      <c r="K3" s="554">
        <v>7125</v>
      </c>
      <c r="L3" s="625">
        <v>0</v>
      </c>
      <c r="M3" s="554">
        <v>0</v>
      </c>
      <c r="N3" s="625">
        <v>285</v>
      </c>
      <c r="O3" s="554">
        <v>7125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511B25</v>
      </c>
      <c r="B4" s="412">
        <f t="shared" si="1"/>
        <v>25</v>
      </c>
      <c r="C4" s="369" t="s">
        <v>139</v>
      </c>
      <c r="D4" s="554">
        <v>25</v>
      </c>
      <c r="E4" s="369" t="s">
        <v>2133</v>
      </c>
      <c r="H4" s="625">
        <v>0</v>
      </c>
      <c r="I4" s="554">
        <v>0</v>
      </c>
      <c r="J4" s="625">
        <v>70</v>
      </c>
      <c r="K4" s="554">
        <v>1750</v>
      </c>
      <c r="L4" s="625">
        <v>2860</v>
      </c>
      <c r="M4" s="554">
        <v>71500</v>
      </c>
      <c r="N4" s="625">
        <v>2930</v>
      </c>
      <c r="O4" s="554">
        <v>73250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511NFP3550</v>
      </c>
      <c r="B5" s="412">
        <f t="shared" si="1"/>
        <v>50</v>
      </c>
      <c r="C5" s="369" t="s">
        <v>299</v>
      </c>
      <c r="D5" s="554">
        <v>50</v>
      </c>
      <c r="E5" s="369" t="s">
        <v>2134</v>
      </c>
      <c r="F5" s="369" t="s">
        <v>2121</v>
      </c>
      <c r="H5" s="625">
        <v>108</v>
      </c>
      <c r="I5" s="554">
        <v>5400</v>
      </c>
      <c r="J5" s="625">
        <v>1200</v>
      </c>
      <c r="K5" s="554">
        <v>60000</v>
      </c>
      <c r="L5" s="625">
        <v>1124</v>
      </c>
      <c r="M5" s="554">
        <v>56200</v>
      </c>
      <c r="N5" s="625">
        <v>2432</v>
      </c>
      <c r="O5" s="554">
        <v>121600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52425</v>
      </c>
      <c r="B6" s="412">
        <f t="shared" si="1"/>
        <v>25</v>
      </c>
      <c r="C6" s="369" t="s">
        <v>2135</v>
      </c>
      <c r="D6" s="554">
        <v>25</v>
      </c>
      <c r="E6" s="369" t="s">
        <v>2136</v>
      </c>
      <c r="H6" s="625">
        <v>550</v>
      </c>
      <c r="I6" s="554">
        <v>13750</v>
      </c>
      <c r="J6" s="625">
        <v>4079</v>
      </c>
      <c r="K6" s="554">
        <v>101975</v>
      </c>
      <c r="L6" s="625">
        <v>2333</v>
      </c>
      <c r="M6" s="554">
        <v>58325</v>
      </c>
      <c r="N6" s="625">
        <v>6962</v>
      </c>
      <c r="O6" s="554">
        <v>174050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54425</v>
      </c>
      <c r="B7" s="412">
        <f t="shared" si="1"/>
        <v>25</v>
      </c>
      <c r="C7" s="369" t="s">
        <v>2137</v>
      </c>
      <c r="D7" s="554">
        <v>25</v>
      </c>
      <c r="E7" s="369" t="s">
        <v>2138</v>
      </c>
      <c r="H7" s="625">
        <v>0</v>
      </c>
      <c r="I7" s="554">
        <v>0</v>
      </c>
      <c r="J7" s="625">
        <v>660</v>
      </c>
      <c r="K7" s="554">
        <v>16500</v>
      </c>
      <c r="L7" s="625">
        <v>340</v>
      </c>
      <c r="M7" s="554">
        <v>8500</v>
      </c>
      <c r="N7" s="625">
        <v>1000</v>
      </c>
      <c r="O7" s="554">
        <v>25000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55125</v>
      </c>
      <c r="B8" s="412">
        <f t="shared" si="1"/>
        <v>25</v>
      </c>
      <c r="C8" s="369" t="s">
        <v>2139</v>
      </c>
      <c r="D8" s="554">
        <v>25</v>
      </c>
      <c r="E8" s="369" t="s">
        <v>2140</v>
      </c>
      <c r="H8" s="625">
        <v>584</v>
      </c>
      <c r="I8" s="554">
        <v>14600</v>
      </c>
      <c r="J8" s="625">
        <v>0</v>
      </c>
      <c r="K8" s="554">
        <v>0</v>
      </c>
      <c r="L8" s="625">
        <v>0</v>
      </c>
      <c r="M8" s="554">
        <v>0</v>
      </c>
      <c r="N8" s="625">
        <v>584</v>
      </c>
      <c r="O8" s="554">
        <v>14600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551FS2550</v>
      </c>
      <c r="B9" s="412">
        <f t="shared" si="1"/>
        <v>50</v>
      </c>
      <c r="C9" s="369" t="s">
        <v>356</v>
      </c>
      <c r="D9" s="554">
        <v>50</v>
      </c>
      <c r="E9" s="369" t="s">
        <v>2141</v>
      </c>
      <c r="F9" s="369" t="s">
        <v>2108</v>
      </c>
      <c r="H9" s="625">
        <v>0</v>
      </c>
      <c r="I9" s="554">
        <v>0</v>
      </c>
      <c r="J9" s="625">
        <v>0</v>
      </c>
      <c r="K9" s="554">
        <v>0</v>
      </c>
      <c r="L9" s="625">
        <v>469</v>
      </c>
      <c r="M9" s="554">
        <v>23450</v>
      </c>
      <c r="N9" s="625">
        <v>469</v>
      </c>
      <c r="O9" s="554">
        <v>23450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551FS5450</v>
      </c>
      <c r="B10" s="412">
        <f t="shared" si="1"/>
        <v>50</v>
      </c>
      <c r="C10" s="369" t="s">
        <v>356</v>
      </c>
      <c r="D10" s="554">
        <v>50</v>
      </c>
      <c r="E10" s="369" t="s">
        <v>2141</v>
      </c>
      <c r="F10" s="369" t="s">
        <v>2089</v>
      </c>
      <c r="H10" s="625">
        <v>778</v>
      </c>
      <c r="I10" s="554">
        <v>38900</v>
      </c>
      <c r="J10" s="625">
        <v>0</v>
      </c>
      <c r="K10" s="554">
        <v>0</v>
      </c>
      <c r="L10" s="625">
        <v>0</v>
      </c>
      <c r="M10" s="554">
        <v>0</v>
      </c>
      <c r="N10" s="625">
        <v>778</v>
      </c>
      <c r="O10" s="554">
        <v>38900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551X25</v>
      </c>
      <c r="B11" s="412">
        <f t="shared" si="1"/>
        <v>25</v>
      </c>
      <c r="C11" s="369" t="s">
        <v>156</v>
      </c>
      <c r="D11" s="554">
        <v>25</v>
      </c>
      <c r="E11" s="369" t="s">
        <v>2142</v>
      </c>
      <c r="H11" s="625">
        <v>627</v>
      </c>
      <c r="I11" s="554">
        <v>15675</v>
      </c>
      <c r="J11" s="625">
        <v>0</v>
      </c>
      <c r="K11" s="554">
        <v>0</v>
      </c>
      <c r="L11" s="625">
        <v>0</v>
      </c>
      <c r="M11" s="554">
        <v>0</v>
      </c>
      <c r="N11" s="625">
        <v>627</v>
      </c>
      <c r="O11" s="554">
        <v>15675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551GPFS1350</v>
      </c>
      <c r="B12" s="412">
        <f t="shared" si="1"/>
        <v>50</v>
      </c>
      <c r="C12" s="369" t="s">
        <v>368</v>
      </c>
      <c r="D12" s="554">
        <v>50</v>
      </c>
      <c r="E12" s="369" t="s">
        <v>1887</v>
      </c>
      <c r="F12" s="369" t="s">
        <v>2078</v>
      </c>
      <c r="H12" s="625">
        <v>0</v>
      </c>
      <c r="I12" s="554">
        <v>0</v>
      </c>
      <c r="J12" s="625">
        <v>1350</v>
      </c>
      <c r="K12" s="554">
        <v>67500</v>
      </c>
      <c r="L12" s="625">
        <v>1494</v>
      </c>
      <c r="M12" s="554">
        <v>74700</v>
      </c>
      <c r="N12" s="625">
        <v>2844</v>
      </c>
      <c r="O12" s="554">
        <v>142200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551GPFS3150</v>
      </c>
      <c r="B13" s="412">
        <f t="shared" si="1"/>
        <v>50</v>
      </c>
      <c r="C13" s="369" t="s">
        <v>368</v>
      </c>
      <c r="D13" s="554">
        <v>50</v>
      </c>
      <c r="E13" s="369" t="s">
        <v>1887</v>
      </c>
      <c r="F13" s="369" t="s">
        <v>2072</v>
      </c>
      <c r="H13" s="625">
        <v>79</v>
      </c>
      <c r="I13" s="554">
        <v>3950</v>
      </c>
      <c r="J13" s="625">
        <v>0</v>
      </c>
      <c r="K13" s="554">
        <v>0</v>
      </c>
      <c r="L13" s="625">
        <v>0</v>
      </c>
      <c r="M13" s="554">
        <v>0</v>
      </c>
      <c r="N13" s="625">
        <v>79</v>
      </c>
      <c r="O13" s="554">
        <v>3950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55225</v>
      </c>
      <c r="B14" s="412">
        <f t="shared" si="1"/>
        <v>25</v>
      </c>
      <c r="C14" s="369" t="s">
        <v>2143</v>
      </c>
      <c r="D14" s="554">
        <v>25</v>
      </c>
      <c r="E14" s="369" t="s">
        <v>2144</v>
      </c>
      <c r="H14" s="625">
        <v>645</v>
      </c>
      <c r="I14" s="554">
        <v>16125</v>
      </c>
      <c r="J14" s="625">
        <v>0</v>
      </c>
      <c r="K14" s="554">
        <v>0</v>
      </c>
      <c r="L14" s="625">
        <v>0</v>
      </c>
      <c r="M14" s="554">
        <v>0</v>
      </c>
      <c r="N14" s="625">
        <v>645</v>
      </c>
      <c r="O14" s="554">
        <v>16125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552FS9050</v>
      </c>
      <c r="B15" s="412">
        <f t="shared" si="1"/>
        <v>50</v>
      </c>
      <c r="C15" s="369" t="s">
        <v>382</v>
      </c>
      <c r="D15" s="554">
        <v>50</v>
      </c>
      <c r="E15" s="369" t="s">
        <v>2145</v>
      </c>
      <c r="F15" s="369" t="s">
        <v>2083</v>
      </c>
      <c r="H15" s="625">
        <v>1539</v>
      </c>
      <c r="I15" s="554">
        <v>76950</v>
      </c>
      <c r="J15" s="625">
        <v>465</v>
      </c>
      <c r="K15" s="554">
        <v>23250</v>
      </c>
      <c r="L15" s="625">
        <v>0</v>
      </c>
      <c r="M15" s="554">
        <v>0</v>
      </c>
      <c r="N15" s="625">
        <v>2004</v>
      </c>
      <c r="O15" s="554">
        <v>100200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552M25</v>
      </c>
      <c r="B16" s="412">
        <f t="shared" si="1"/>
        <v>25</v>
      </c>
      <c r="C16" s="369" t="s">
        <v>162</v>
      </c>
      <c r="D16" s="554">
        <v>25</v>
      </c>
      <c r="E16" s="369" t="s">
        <v>2146</v>
      </c>
      <c r="H16" s="625">
        <v>220</v>
      </c>
      <c r="I16" s="554">
        <v>5500</v>
      </c>
      <c r="J16" s="625">
        <v>1772</v>
      </c>
      <c r="K16" s="554">
        <v>44300</v>
      </c>
      <c r="L16" s="625">
        <v>0</v>
      </c>
      <c r="M16" s="554">
        <v>0</v>
      </c>
      <c r="N16" s="625">
        <v>1992</v>
      </c>
      <c r="O16" s="554">
        <v>49800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552S25</v>
      </c>
      <c r="B17" s="412">
        <f t="shared" si="1"/>
        <v>25</v>
      </c>
      <c r="C17" s="369" t="s">
        <v>164</v>
      </c>
      <c r="D17" s="554">
        <v>25</v>
      </c>
      <c r="E17" s="369" t="s">
        <v>2147</v>
      </c>
      <c r="H17" s="625">
        <v>0</v>
      </c>
      <c r="I17" s="554">
        <v>0</v>
      </c>
      <c r="J17" s="625">
        <v>533</v>
      </c>
      <c r="K17" s="554">
        <v>13325</v>
      </c>
      <c r="L17" s="625">
        <v>865</v>
      </c>
      <c r="M17" s="554">
        <v>21625</v>
      </c>
      <c r="N17" s="625">
        <v>1398</v>
      </c>
      <c r="O17" s="554">
        <v>34950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552SFS9050</v>
      </c>
      <c r="B18" s="412">
        <f t="shared" si="1"/>
        <v>50</v>
      </c>
      <c r="C18" s="369" t="s">
        <v>393</v>
      </c>
      <c r="D18" s="554">
        <v>50</v>
      </c>
      <c r="E18" s="369" t="s">
        <v>2148</v>
      </c>
      <c r="F18" s="369" t="s">
        <v>2083</v>
      </c>
      <c r="H18" s="625">
        <v>1060</v>
      </c>
      <c r="I18" s="554">
        <v>53000</v>
      </c>
      <c r="J18" s="625">
        <v>0</v>
      </c>
      <c r="K18" s="554">
        <v>0</v>
      </c>
      <c r="L18" s="625">
        <v>803</v>
      </c>
      <c r="M18" s="554">
        <v>40150</v>
      </c>
      <c r="N18" s="625">
        <v>1863</v>
      </c>
      <c r="O18" s="554">
        <v>93150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552SX25</v>
      </c>
      <c r="B19" s="412">
        <f t="shared" si="1"/>
        <v>25</v>
      </c>
      <c r="C19" s="369" t="s">
        <v>165</v>
      </c>
      <c r="D19" s="554">
        <v>25</v>
      </c>
      <c r="E19" s="369" t="s">
        <v>2149</v>
      </c>
      <c r="H19" s="625">
        <v>220</v>
      </c>
      <c r="I19" s="554">
        <v>5500</v>
      </c>
      <c r="J19" s="625">
        <v>1367</v>
      </c>
      <c r="K19" s="554">
        <v>34175</v>
      </c>
      <c r="L19" s="625">
        <v>0</v>
      </c>
      <c r="M19" s="554">
        <v>0</v>
      </c>
      <c r="N19" s="625">
        <v>1587</v>
      </c>
      <c r="O19" s="554">
        <v>39675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553MF50</v>
      </c>
      <c r="B20" s="412">
        <f t="shared" si="1"/>
        <v>50</v>
      </c>
      <c r="C20" s="369" t="s">
        <v>403</v>
      </c>
      <c r="D20" s="554">
        <v>50</v>
      </c>
      <c r="E20" s="369" t="s">
        <v>2150</v>
      </c>
      <c r="H20" s="625">
        <v>163</v>
      </c>
      <c r="I20" s="554">
        <v>8150</v>
      </c>
      <c r="J20" s="625">
        <v>0</v>
      </c>
      <c r="K20" s="554">
        <v>0</v>
      </c>
      <c r="L20" s="625">
        <v>0</v>
      </c>
      <c r="M20" s="554">
        <v>0</v>
      </c>
      <c r="N20" s="625">
        <v>163</v>
      </c>
      <c r="O20" s="554">
        <v>8150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567S25</v>
      </c>
      <c r="B21" s="412">
        <f t="shared" si="1"/>
        <v>25</v>
      </c>
      <c r="C21" s="369" t="s">
        <v>170</v>
      </c>
      <c r="D21" s="554">
        <v>25</v>
      </c>
      <c r="E21" s="369" t="s">
        <v>2151</v>
      </c>
      <c r="H21" s="625">
        <v>2547</v>
      </c>
      <c r="I21" s="554">
        <v>63675</v>
      </c>
      <c r="J21" s="625">
        <v>0</v>
      </c>
      <c r="K21" s="554">
        <v>0</v>
      </c>
      <c r="L21" s="625">
        <v>0</v>
      </c>
      <c r="M21" s="554">
        <v>0</v>
      </c>
      <c r="N21" s="625">
        <v>2547</v>
      </c>
      <c r="O21" s="554">
        <v>63675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567SF50</v>
      </c>
      <c r="B22" s="412">
        <f t="shared" si="1"/>
        <v>50</v>
      </c>
      <c r="C22" s="369" t="s">
        <v>426</v>
      </c>
      <c r="D22" s="554">
        <v>50</v>
      </c>
      <c r="E22" s="369" t="s">
        <v>2152</v>
      </c>
      <c r="H22" s="625">
        <v>0</v>
      </c>
      <c r="I22" s="554">
        <v>0</v>
      </c>
      <c r="J22" s="625">
        <v>81</v>
      </c>
      <c r="K22" s="554">
        <v>4050</v>
      </c>
      <c r="L22" s="625">
        <v>0</v>
      </c>
      <c r="M22" s="554">
        <v>0</v>
      </c>
      <c r="N22" s="625">
        <v>81</v>
      </c>
      <c r="O22" s="554">
        <v>4050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567SFS2550</v>
      </c>
      <c r="B23" s="412">
        <f t="shared" si="1"/>
        <v>50</v>
      </c>
      <c r="C23" s="369" t="s">
        <v>426</v>
      </c>
      <c r="D23" s="554">
        <v>50</v>
      </c>
      <c r="E23" s="369" t="s">
        <v>2153</v>
      </c>
      <c r="F23" s="369" t="s">
        <v>2108</v>
      </c>
      <c r="H23" s="625">
        <v>226</v>
      </c>
      <c r="I23" s="554">
        <v>11300</v>
      </c>
      <c r="J23" s="625">
        <v>0</v>
      </c>
      <c r="K23" s="554">
        <v>0</v>
      </c>
      <c r="L23" s="625">
        <v>0</v>
      </c>
      <c r="M23" s="554">
        <v>0</v>
      </c>
      <c r="N23" s="625">
        <v>226</v>
      </c>
      <c r="O23" s="554">
        <v>11300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88425</v>
      </c>
      <c r="B24" s="412">
        <f t="shared" si="1"/>
        <v>25</v>
      </c>
      <c r="C24" s="369" t="s">
        <v>2154</v>
      </c>
      <c r="D24" s="554">
        <v>25</v>
      </c>
      <c r="E24" s="369" t="s">
        <v>2155</v>
      </c>
      <c r="H24" s="625">
        <v>0</v>
      </c>
      <c r="I24" s="554">
        <v>0</v>
      </c>
      <c r="J24" s="625">
        <v>399</v>
      </c>
      <c r="K24" s="554">
        <v>9975</v>
      </c>
      <c r="L24" s="625">
        <v>0</v>
      </c>
      <c r="M24" s="554">
        <v>0</v>
      </c>
      <c r="N24" s="625">
        <v>399</v>
      </c>
      <c r="O24" s="554">
        <v>9975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95125</v>
      </c>
      <c r="B25" s="412">
        <f t="shared" si="1"/>
        <v>25</v>
      </c>
      <c r="C25" s="369" t="s">
        <v>2156</v>
      </c>
      <c r="D25" s="554">
        <v>25</v>
      </c>
      <c r="E25" s="369" t="s">
        <v>2157</v>
      </c>
      <c r="H25" s="625">
        <v>301</v>
      </c>
      <c r="I25" s="554">
        <v>7525</v>
      </c>
      <c r="J25" s="625">
        <v>0</v>
      </c>
      <c r="K25" s="554">
        <v>0</v>
      </c>
      <c r="L25" s="625">
        <v>0</v>
      </c>
      <c r="M25" s="554">
        <v>0</v>
      </c>
      <c r="N25" s="625">
        <v>301</v>
      </c>
      <c r="O25" s="554">
        <v>7525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95225</v>
      </c>
      <c r="B26" s="412">
        <f t="shared" si="1"/>
        <v>25</v>
      </c>
      <c r="C26" s="369" t="s">
        <v>2158</v>
      </c>
      <c r="D26" s="554">
        <v>25</v>
      </c>
      <c r="E26" s="369" t="s">
        <v>2159</v>
      </c>
      <c r="H26" s="625">
        <v>607</v>
      </c>
      <c r="I26" s="554">
        <v>15175</v>
      </c>
      <c r="J26" s="625">
        <v>0</v>
      </c>
      <c r="K26" s="554">
        <v>0</v>
      </c>
      <c r="L26" s="625">
        <v>0</v>
      </c>
      <c r="M26" s="554">
        <v>0</v>
      </c>
      <c r="N26" s="625">
        <v>607</v>
      </c>
      <c r="O26" s="554">
        <v>15175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952S25</v>
      </c>
      <c r="B27" s="412">
        <f t="shared" si="1"/>
        <v>25</v>
      </c>
      <c r="C27" s="369" t="s">
        <v>184</v>
      </c>
      <c r="D27" s="554">
        <v>25</v>
      </c>
      <c r="E27" s="369" t="s">
        <v>2160</v>
      </c>
      <c r="H27" s="625">
        <v>0</v>
      </c>
      <c r="I27" s="554">
        <v>0</v>
      </c>
      <c r="J27" s="625">
        <v>0</v>
      </c>
      <c r="K27" s="554">
        <v>0</v>
      </c>
      <c r="L27" s="625">
        <v>722</v>
      </c>
      <c r="M27" s="554">
        <v>18050</v>
      </c>
      <c r="N27" s="625">
        <v>722</v>
      </c>
      <c r="O27" s="554">
        <v>18050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BS045A25</v>
      </c>
      <c r="B28" s="412">
        <f t="shared" si="1"/>
        <v>25</v>
      </c>
      <c r="C28" s="369" t="s">
        <v>216</v>
      </c>
      <c r="D28" s="554">
        <v>25</v>
      </c>
      <c r="E28" s="369" t="s">
        <v>2161</v>
      </c>
      <c r="H28" s="625">
        <v>0</v>
      </c>
      <c r="I28" s="554">
        <v>0</v>
      </c>
      <c r="J28" s="625">
        <v>0</v>
      </c>
      <c r="K28" s="554">
        <v>0</v>
      </c>
      <c r="L28" s="625">
        <v>338</v>
      </c>
      <c r="M28" s="554">
        <v>8450</v>
      </c>
      <c r="N28" s="625">
        <v>338</v>
      </c>
      <c r="O28" s="554">
        <v>8450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GT12BS25</v>
      </c>
      <c r="B29" s="412">
        <f t="shared" si="1"/>
        <v>25</v>
      </c>
      <c r="C29" s="369" t="s">
        <v>207</v>
      </c>
      <c r="D29" s="554">
        <v>25</v>
      </c>
      <c r="E29" s="369" t="s">
        <v>2162</v>
      </c>
      <c r="H29" s="625">
        <v>0</v>
      </c>
      <c r="I29" s="554">
        <v>0</v>
      </c>
      <c r="J29" s="625">
        <v>606</v>
      </c>
      <c r="K29" s="554">
        <v>15150</v>
      </c>
      <c r="L29" s="625">
        <v>0</v>
      </c>
      <c r="M29" s="554">
        <v>0</v>
      </c>
      <c r="N29" s="625">
        <v>606</v>
      </c>
      <c r="O29" s="554">
        <v>15150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GD1425</v>
      </c>
      <c r="B30" s="412">
        <f t="shared" si="1"/>
        <v>25</v>
      </c>
      <c r="C30" s="369" t="s">
        <v>196</v>
      </c>
      <c r="D30" s="554">
        <v>25</v>
      </c>
      <c r="E30" s="369" t="s">
        <v>2163</v>
      </c>
      <c r="H30" s="625">
        <v>0</v>
      </c>
      <c r="I30" s="554">
        <v>0</v>
      </c>
      <c r="J30" s="625">
        <v>991</v>
      </c>
      <c r="K30" s="554">
        <v>24775</v>
      </c>
      <c r="L30" s="625">
        <v>2640</v>
      </c>
      <c r="M30" s="554">
        <v>66000</v>
      </c>
      <c r="N30" s="625">
        <v>3631</v>
      </c>
      <c r="O30" s="554">
        <v>90775</v>
      </c>
    </row>
    <row r="31" spans="1:28">
      <c r="A31" s="411" t="str">
        <f t="shared" si="0"/>
        <v>VT1225</v>
      </c>
      <c r="B31" s="412">
        <f t="shared" si="1"/>
        <v>25</v>
      </c>
      <c r="C31" s="369" t="s">
        <v>229</v>
      </c>
      <c r="D31" s="554">
        <v>25</v>
      </c>
      <c r="E31" s="369" t="s">
        <v>2164</v>
      </c>
      <c r="H31" s="625">
        <v>0</v>
      </c>
      <c r="I31" s="554">
        <v>0</v>
      </c>
      <c r="J31" s="625">
        <v>0</v>
      </c>
      <c r="K31" s="554">
        <v>0</v>
      </c>
      <c r="L31" s="625">
        <v>623</v>
      </c>
      <c r="M31" s="554">
        <v>15575</v>
      </c>
      <c r="N31" s="625">
        <v>623</v>
      </c>
      <c r="O31" s="554">
        <v>15575</v>
      </c>
    </row>
    <row r="32" spans="1:28">
      <c r="A32" s="411" t="str">
        <f t="shared" si="0"/>
        <v>HT1125</v>
      </c>
      <c r="B32" s="412">
        <f t="shared" si="1"/>
        <v>25</v>
      </c>
      <c r="C32" s="369" t="s">
        <v>231</v>
      </c>
      <c r="D32" s="554">
        <v>25</v>
      </c>
      <c r="E32" s="369" t="s">
        <v>2165</v>
      </c>
      <c r="H32" s="625">
        <v>205</v>
      </c>
      <c r="I32" s="554">
        <v>5125</v>
      </c>
      <c r="J32" s="625">
        <v>0</v>
      </c>
      <c r="K32" s="554">
        <v>0</v>
      </c>
      <c r="L32" s="625">
        <v>0</v>
      </c>
      <c r="M32" s="554">
        <v>0</v>
      </c>
      <c r="N32" s="625">
        <v>205</v>
      </c>
      <c r="O32" s="554">
        <v>5125</v>
      </c>
    </row>
    <row r="33" spans="1:15">
      <c r="A33" s="411" t="str">
        <f t="shared" ref="A33:A49" si="2">C33&amp;F33&amp;B33</f>
        <v>HT1225</v>
      </c>
      <c r="B33" s="412">
        <f t="shared" ref="B33:B49" si="3">D33</f>
        <v>25</v>
      </c>
      <c r="C33" s="369" t="s">
        <v>234</v>
      </c>
      <c r="D33" s="554">
        <v>25</v>
      </c>
      <c r="E33" s="369" t="s">
        <v>2166</v>
      </c>
      <c r="H33" s="625">
        <v>394</v>
      </c>
      <c r="I33" s="554">
        <v>9850</v>
      </c>
      <c r="J33" s="625">
        <v>0</v>
      </c>
      <c r="K33" s="554">
        <v>0</v>
      </c>
      <c r="L33" s="625">
        <v>0</v>
      </c>
      <c r="M33" s="554">
        <v>0</v>
      </c>
      <c r="N33" s="625">
        <v>394</v>
      </c>
      <c r="O33" s="554">
        <v>9850</v>
      </c>
    </row>
    <row r="34" spans="1:15">
      <c r="A34" s="411" t="str">
        <f t="shared" si="2"/>
        <v>HT12S25</v>
      </c>
      <c r="B34" s="412">
        <f t="shared" si="3"/>
        <v>25</v>
      </c>
      <c r="C34" s="369" t="s">
        <v>236</v>
      </c>
      <c r="D34" s="554">
        <v>25</v>
      </c>
      <c r="E34" s="369" t="s">
        <v>2167</v>
      </c>
      <c r="H34" s="625">
        <v>0</v>
      </c>
      <c r="I34" s="554">
        <v>0</v>
      </c>
      <c r="J34" s="625">
        <v>330</v>
      </c>
      <c r="K34" s="554">
        <v>8250</v>
      </c>
      <c r="L34" s="625">
        <v>647</v>
      </c>
      <c r="M34" s="554">
        <v>16175</v>
      </c>
      <c r="N34" s="625">
        <v>977</v>
      </c>
      <c r="O34" s="554">
        <v>24425</v>
      </c>
    </row>
    <row r="35" spans="1:15">
      <c r="A35" s="411" t="str">
        <f t="shared" si="2"/>
        <v>695125</v>
      </c>
      <c r="B35" s="412">
        <f t="shared" si="3"/>
        <v>25</v>
      </c>
      <c r="C35" s="369" t="s">
        <v>2168</v>
      </c>
      <c r="D35" s="554">
        <v>25</v>
      </c>
      <c r="E35" s="369" t="s">
        <v>2169</v>
      </c>
      <c r="H35" s="625">
        <v>1000</v>
      </c>
      <c r="I35" s="554">
        <v>25000</v>
      </c>
      <c r="J35" s="625">
        <v>0</v>
      </c>
      <c r="K35" s="554">
        <v>0</v>
      </c>
      <c r="L35" s="625">
        <v>0</v>
      </c>
      <c r="M35" s="554">
        <v>0</v>
      </c>
      <c r="N35" s="625">
        <v>1000</v>
      </c>
      <c r="O35" s="554">
        <v>25000</v>
      </c>
    </row>
    <row r="36" spans="1:15">
      <c r="A36" s="411" t="str">
        <f t="shared" si="2"/>
        <v>6951X25</v>
      </c>
      <c r="B36" s="412">
        <f t="shared" si="3"/>
        <v>25</v>
      </c>
      <c r="C36" s="369" t="s">
        <v>82</v>
      </c>
      <c r="D36" s="554">
        <v>25</v>
      </c>
      <c r="E36" s="369" t="s">
        <v>2170</v>
      </c>
      <c r="H36" s="625">
        <v>284</v>
      </c>
      <c r="I36" s="554">
        <v>7100</v>
      </c>
      <c r="J36" s="625">
        <v>0</v>
      </c>
      <c r="K36" s="554">
        <v>0</v>
      </c>
      <c r="L36" s="625">
        <v>0</v>
      </c>
      <c r="M36" s="554">
        <v>0</v>
      </c>
      <c r="N36" s="625">
        <v>284</v>
      </c>
      <c r="O36" s="554">
        <v>7100</v>
      </c>
    </row>
    <row r="37" spans="1:15">
      <c r="A37" s="411" t="str">
        <f t="shared" si="2"/>
        <v>Grand Total1418812808</v>
      </c>
      <c r="B37" s="412">
        <f t="shared" si="3"/>
        <v>12808</v>
      </c>
      <c r="C37" s="369" t="s">
        <v>2171</v>
      </c>
      <c r="D37" s="796">
        <v>12808</v>
      </c>
      <c r="E37" s="554">
        <v>419025</v>
      </c>
      <c r="F37" s="796">
        <v>14188</v>
      </c>
      <c r="G37" s="554">
        <v>432100</v>
      </c>
      <c r="H37" s="796">
        <v>15258</v>
      </c>
      <c r="I37" s="554">
        <v>478700</v>
      </c>
      <c r="J37" s="796">
        <v>42254</v>
      </c>
      <c r="K37" s="554">
        <v>1329825</v>
      </c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H36" sqref="H36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2172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2173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2174</v>
      </c>
      <c r="K3" s="369" t="s">
        <v>2175</v>
      </c>
      <c r="L3" s="593" t="e">
        <f>+H3/F3</f>
        <v>#DIV/0!</v>
      </c>
      <c r="M3" s="369" t="s">
        <v>2176</v>
      </c>
      <c r="N3" s="369" t="s">
        <v>2177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2178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2174</v>
      </c>
      <c r="K21" s="369" t="s">
        <v>2175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2179</v>
      </c>
      <c r="B1" s="801" t="s">
        <v>2180</v>
      </c>
      <c r="C1" s="800" t="s">
        <v>2181</v>
      </c>
      <c r="D1" s="800" t="s">
        <v>2182</v>
      </c>
      <c r="E1" s="800" t="s">
        <v>2183</v>
      </c>
      <c r="F1" s="800" t="s">
        <v>35</v>
      </c>
      <c r="G1" s="800" t="s">
        <v>2184</v>
      </c>
      <c r="H1" s="800" t="s">
        <v>2185</v>
      </c>
      <c r="I1" s="800" t="s">
        <v>2186</v>
      </c>
      <c r="J1" s="801" t="s">
        <v>2187</v>
      </c>
      <c r="K1" s="801" t="s">
        <v>2188</v>
      </c>
      <c r="L1" s="801" t="s">
        <v>2189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2190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2191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2192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2193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2194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2193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2192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2193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2195</v>
      </c>
      <c r="U90" t="s">
        <v>2192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2196</v>
      </c>
      <c r="U91" t="s">
        <v>2193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2197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2198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2199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2200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2201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2202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2203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2204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2205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2206</v>
      </c>
      <c r="B2" s="428" t="s">
        <v>2129</v>
      </c>
      <c r="C2" t="s">
        <v>2207</v>
      </c>
      <c r="D2" s="17" t="s">
        <v>2208</v>
      </c>
      <c r="E2" s="442" t="s">
        <v>2209</v>
      </c>
      <c r="F2" s="442"/>
      <c r="G2" s="14"/>
      <c r="M2" s="536"/>
    </row>
    <row r="3" spans="1:13">
      <c r="A3" t="s">
        <v>2210</v>
      </c>
      <c r="B3" s="428">
        <v>302</v>
      </c>
      <c r="C3" t="s">
        <v>2211</v>
      </c>
      <c r="D3" s="17" t="s">
        <v>2208</v>
      </c>
      <c r="E3" s="442" t="s">
        <v>2212</v>
      </c>
      <c r="F3" s="442"/>
      <c r="G3" s="14"/>
      <c r="M3" s="536"/>
    </row>
    <row r="4" spans="1:13">
      <c r="A4" t="s">
        <v>2213</v>
      </c>
      <c r="B4" s="428" t="s">
        <v>2214</v>
      </c>
      <c r="C4" t="s">
        <v>2215</v>
      </c>
      <c r="D4" s="17" t="s">
        <v>2208</v>
      </c>
      <c r="E4" s="442" t="s">
        <v>2216</v>
      </c>
      <c r="G4" s="14"/>
      <c r="M4" s="536"/>
    </row>
    <row r="5" spans="1:13">
      <c r="A5" t="s">
        <v>2217</v>
      </c>
      <c r="B5" s="428" t="s">
        <v>2218</v>
      </c>
      <c r="C5" t="s">
        <v>2219</v>
      </c>
      <c r="D5" s="17" t="s">
        <v>2208</v>
      </c>
      <c r="E5" s="442" t="s">
        <v>2220</v>
      </c>
      <c r="G5" s="14"/>
      <c r="M5" s="536"/>
    </row>
    <row r="6" spans="1:13">
      <c r="A6" t="s">
        <v>2221</v>
      </c>
      <c r="B6" s="428">
        <v>384</v>
      </c>
      <c r="C6" t="s">
        <v>2222</v>
      </c>
      <c r="D6" s="17" t="s">
        <v>2208</v>
      </c>
      <c r="E6" s="442" t="s">
        <v>2223</v>
      </c>
      <c r="F6" s="442"/>
      <c r="G6" s="14"/>
      <c r="M6" s="536"/>
    </row>
    <row r="7" spans="1:13">
      <c r="A7" t="s">
        <v>2224</v>
      </c>
      <c r="B7" s="428" t="s">
        <v>131</v>
      </c>
      <c r="C7" t="s">
        <v>2225</v>
      </c>
      <c r="D7" s="17" t="s">
        <v>2208</v>
      </c>
      <c r="E7" s="442" t="s">
        <v>2226</v>
      </c>
      <c r="F7" s="442"/>
      <c r="G7" s="14"/>
      <c r="M7" s="536"/>
    </row>
    <row r="8" spans="1:13">
      <c r="A8" t="s">
        <v>2227</v>
      </c>
      <c r="B8" s="428">
        <v>510</v>
      </c>
      <c r="C8" t="s">
        <v>2228</v>
      </c>
      <c r="D8" s="17" t="s">
        <v>2208</v>
      </c>
      <c r="E8" s="442" t="s">
        <v>2229</v>
      </c>
      <c r="F8" s="442"/>
      <c r="G8" s="14"/>
      <c r="M8" s="536"/>
    </row>
    <row r="9" spans="1:13">
      <c r="A9" t="s">
        <v>2230</v>
      </c>
      <c r="B9" s="428" t="s">
        <v>135</v>
      </c>
      <c r="C9" t="s">
        <v>2231</v>
      </c>
      <c r="D9" s="17">
        <v>25</v>
      </c>
      <c r="E9" s="442" t="s">
        <v>2232</v>
      </c>
      <c r="F9" s="442"/>
      <c r="G9" s="14"/>
      <c r="M9" s="536"/>
    </row>
    <row r="10" spans="1:13">
      <c r="A10" t="s">
        <v>2233</v>
      </c>
      <c r="B10" s="428" t="s">
        <v>134</v>
      </c>
      <c r="C10" t="s">
        <v>2234</v>
      </c>
      <c r="D10" s="17" t="s">
        <v>2208</v>
      </c>
      <c r="E10" s="442" t="s">
        <v>2235</v>
      </c>
      <c r="F10" s="442"/>
      <c r="G10" s="14"/>
      <c r="M10" s="536"/>
    </row>
    <row r="11" spans="1:13">
      <c r="A11" t="s">
        <v>2236</v>
      </c>
      <c r="B11" s="428" t="s">
        <v>2237</v>
      </c>
      <c r="C11" t="s">
        <v>2238</v>
      </c>
      <c r="D11" s="17" t="s">
        <v>2208</v>
      </c>
      <c r="E11" s="442" t="s">
        <v>2239</v>
      </c>
      <c r="F11" s="442"/>
      <c r="G11" s="14"/>
      <c r="M11" s="536"/>
    </row>
    <row r="12" spans="1:13">
      <c r="A12" t="s">
        <v>2240</v>
      </c>
      <c r="B12" s="428" t="s">
        <v>139</v>
      </c>
      <c r="C12" t="s">
        <v>2241</v>
      </c>
      <c r="D12" s="17" t="s">
        <v>2208</v>
      </c>
      <c r="E12" s="442" t="s">
        <v>2242</v>
      </c>
      <c r="F12" s="442"/>
      <c r="G12" s="14"/>
      <c r="M12" s="536"/>
    </row>
    <row r="13" spans="1:13">
      <c r="A13" t="s">
        <v>2243</v>
      </c>
      <c r="B13" s="428" t="s">
        <v>142</v>
      </c>
      <c r="C13" t="s">
        <v>2244</v>
      </c>
      <c r="D13" s="17" t="s">
        <v>2208</v>
      </c>
      <c r="E13" s="442" t="s">
        <v>2245</v>
      </c>
      <c r="F13" s="442"/>
      <c r="G13" s="14"/>
      <c r="M13" s="536"/>
    </row>
    <row r="14" spans="1:13">
      <c r="A14" t="s">
        <v>2246</v>
      </c>
      <c r="B14" s="428" t="s">
        <v>143</v>
      </c>
      <c r="C14" t="s">
        <v>2247</v>
      </c>
      <c r="D14" s="17" t="s">
        <v>2208</v>
      </c>
      <c r="E14" s="442" t="s">
        <v>2248</v>
      </c>
      <c r="F14" s="442"/>
      <c r="G14" s="14"/>
      <c r="M14" s="536"/>
    </row>
    <row r="15" spans="1:13">
      <c r="A15" t="s">
        <v>2249</v>
      </c>
      <c r="B15" s="428" t="s">
        <v>136</v>
      </c>
      <c r="C15" t="s">
        <v>2250</v>
      </c>
      <c r="D15" s="17" t="s">
        <v>2208</v>
      </c>
      <c r="E15" s="442" t="s">
        <v>2251</v>
      </c>
      <c r="F15" s="442"/>
      <c r="G15" s="14"/>
      <c r="M15" s="536"/>
    </row>
    <row r="16" spans="1:13">
      <c r="A16" t="s">
        <v>2252</v>
      </c>
      <c r="B16" s="428" t="s">
        <v>138</v>
      </c>
      <c r="C16" t="s">
        <v>2253</v>
      </c>
      <c r="D16" s="17" t="s">
        <v>2208</v>
      </c>
      <c r="E16" s="442" t="s">
        <v>2254</v>
      </c>
      <c r="F16" s="442"/>
      <c r="G16" s="14"/>
      <c r="M16" s="536"/>
    </row>
    <row r="17" spans="1:13">
      <c r="A17" t="s">
        <v>2255</v>
      </c>
      <c r="B17" s="428" t="s">
        <v>2256</v>
      </c>
      <c r="C17" t="s">
        <v>2257</v>
      </c>
      <c r="D17" s="17" t="s">
        <v>2208</v>
      </c>
      <c r="E17" s="442" t="s">
        <v>2258</v>
      </c>
      <c r="G17" s="14"/>
      <c r="M17" s="536"/>
    </row>
    <row r="18" spans="1:13">
      <c r="A18" t="s">
        <v>2259</v>
      </c>
      <c r="B18" s="428" t="s">
        <v>2260</v>
      </c>
      <c r="C18" t="s">
        <v>2261</v>
      </c>
      <c r="D18" s="17">
        <v>25</v>
      </c>
      <c r="E18" s="442" t="s">
        <v>2262</v>
      </c>
      <c r="F18" s="442"/>
      <c r="G18" s="14"/>
      <c r="M18" s="536"/>
    </row>
    <row r="19" spans="1:13">
      <c r="A19" t="s">
        <v>2263</v>
      </c>
      <c r="B19" s="428" t="s">
        <v>2264</v>
      </c>
      <c r="C19" t="s">
        <v>2265</v>
      </c>
      <c r="D19" s="17">
        <v>25</v>
      </c>
      <c r="E19" s="442" t="s">
        <v>2266</v>
      </c>
      <c r="F19" s="442"/>
      <c r="G19" s="14"/>
      <c r="M19" s="536"/>
    </row>
    <row r="20" spans="1:13">
      <c r="A20" t="s">
        <v>2267</v>
      </c>
      <c r="B20" s="428" t="s">
        <v>2268</v>
      </c>
      <c r="C20" t="s">
        <v>2269</v>
      </c>
      <c r="D20" s="17" t="s">
        <v>2208</v>
      </c>
      <c r="E20" s="442" t="s">
        <v>2270</v>
      </c>
      <c r="F20" s="442"/>
      <c r="G20" s="14"/>
      <c r="M20" s="536"/>
    </row>
    <row r="21" spans="1:13">
      <c r="A21" t="s">
        <v>2271</v>
      </c>
      <c r="B21" s="428" t="s">
        <v>2272</v>
      </c>
      <c r="C21" t="s">
        <v>2273</v>
      </c>
      <c r="D21" s="17">
        <v>25</v>
      </c>
      <c r="E21" s="442" t="s">
        <v>2274</v>
      </c>
      <c r="F21" s="442"/>
      <c r="G21" s="14"/>
      <c r="M21" s="536"/>
    </row>
    <row r="22" spans="1:13">
      <c r="A22" t="s">
        <v>2275</v>
      </c>
      <c r="B22" s="428" t="s">
        <v>2135</v>
      </c>
      <c r="C22" t="s">
        <v>2276</v>
      </c>
      <c r="D22" s="17" t="s">
        <v>2208</v>
      </c>
      <c r="E22" s="442" t="s">
        <v>2277</v>
      </c>
      <c r="F22" s="442"/>
      <c r="G22" s="14"/>
    </row>
    <row r="23" spans="1:13">
      <c r="A23" t="s">
        <v>2275</v>
      </c>
      <c r="B23" s="428" t="s">
        <v>2135</v>
      </c>
      <c r="C23" t="s">
        <v>2276</v>
      </c>
      <c r="D23" s="17" t="s">
        <v>2208</v>
      </c>
      <c r="E23" s="442" t="s">
        <v>2278</v>
      </c>
      <c r="G23" s="14"/>
    </row>
    <row r="24" spans="1:13">
      <c r="A24" t="s">
        <v>2279</v>
      </c>
      <c r="B24" s="428" t="s">
        <v>2280</v>
      </c>
      <c r="C24" t="s">
        <v>2281</v>
      </c>
      <c r="D24" s="17" t="s">
        <v>2208</v>
      </c>
      <c r="E24" s="442" t="s">
        <v>2282</v>
      </c>
      <c r="F24" s="442"/>
      <c r="G24" s="14"/>
    </row>
    <row r="25" spans="1:13">
      <c r="A25" t="s">
        <v>2283</v>
      </c>
      <c r="B25" s="428" t="s">
        <v>2137</v>
      </c>
      <c r="C25" t="s">
        <v>2284</v>
      </c>
      <c r="D25" s="17" t="s">
        <v>2208</v>
      </c>
      <c r="E25" s="442" t="s">
        <v>2285</v>
      </c>
      <c r="F25" s="442"/>
      <c r="G25" s="14"/>
    </row>
    <row r="26" spans="1:13">
      <c r="A26" t="s">
        <v>2286</v>
      </c>
      <c r="B26" s="428" t="s">
        <v>2287</v>
      </c>
      <c r="C26" t="s">
        <v>2288</v>
      </c>
      <c r="D26" s="17" t="s">
        <v>2208</v>
      </c>
      <c r="E26" s="442" t="s">
        <v>2289</v>
      </c>
      <c r="F26" s="442"/>
      <c r="G26" s="14"/>
    </row>
    <row r="27" spans="1:13">
      <c r="A27" t="s">
        <v>2290</v>
      </c>
      <c r="B27" s="428" t="s">
        <v>2291</v>
      </c>
      <c r="C27" t="s">
        <v>2292</v>
      </c>
      <c r="D27" s="17">
        <v>25</v>
      </c>
      <c r="E27" s="442" t="s">
        <v>2293</v>
      </c>
      <c r="F27" s="442"/>
      <c r="G27" s="14"/>
    </row>
    <row r="28" spans="1:13">
      <c r="A28" t="s">
        <v>2294</v>
      </c>
      <c r="B28" s="428" t="s">
        <v>2295</v>
      </c>
      <c r="C28" t="s">
        <v>2296</v>
      </c>
      <c r="D28" s="17" t="s">
        <v>2208</v>
      </c>
      <c r="E28" s="442" t="s">
        <v>2297</v>
      </c>
      <c r="G28" s="14"/>
    </row>
    <row r="29" spans="1:13">
      <c r="A29" t="s">
        <v>2298</v>
      </c>
      <c r="B29" s="428" t="s">
        <v>154</v>
      </c>
      <c r="C29" t="s">
        <v>2299</v>
      </c>
      <c r="D29" s="17" t="s">
        <v>2208</v>
      </c>
      <c r="E29" s="442" t="s">
        <v>2300</v>
      </c>
      <c r="F29" s="442"/>
      <c r="G29" s="14"/>
    </row>
    <row r="30" spans="1:13">
      <c r="A30" t="s">
        <v>2301</v>
      </c>
      <c r="B30" s="428" t="s">
        <v>2302</v>
      </c>
      <c r="C30" t="s">
        <v>2303</v>
      </c>
      <c r="D30" s="17" t="s">
        <v>2208</v>
      </c>
      <c r="E30" s="442" t="s">
        <v>2304</v>
      </c>
      <c r="G30" s="14"/>
    </row>
    <row r="31" spans="1:13">
      <c r="A31" t="s">
        <v>2305</v>
      </c>
      <c r="B31" s="428" t="s">
        <v>2139</v>
      </c>
      <c r="C31" t="s">
        <v>2306</v>
      </c>
      <c r="D31" s="17" t="s">
        <v>2208</v>
      </c>
      <c r="E31" s="442" t="s">
        <v>2307</v>
      </c>
      <c r="G31" s="14"/>
    </row>
    <row r="32" spans="1:13">
      <c r="A32" t="s">
        <v>2308</v>
      </c>
      <c r="B32" s="428" t="s">
        <v>157</v>
      </c>
      <c r="C32" t="s">
        <v>2309</v>
      </c>
      <c r="D32" s="17" t="s">
        <v>2208</v>
      </c>
      <c r="E32" s="442" t="s">
        <v>2310</v>
      </c>
      <c r="F32" s="442"/>
      <c r="G32" s="14"/>
    </row>
    <row r="33" spans="1:13">
      <c r="A33" t="s">
        <v>2311</v>
      </c>
      <c r="B33" s="428" t="s">
        <v>2312</v>
      </c>
      <c r="C33" t="s">
        <v>2313</v>
      </c>
      <c r="D33" s="17" t="s">
        <v>2208</v>
      </c>
      <c r="E33" s="442" t="s">
        <v>2314</v>
      </c>
      <c r="G33" s="14"/>
    </row>
    <row r="34" spans="1:13">
      <c r="A34" t="s">
        <v>2315</v>
      </c>
      <c r="B34" s="428" t="s">
        <v>159</v>
      </c>
      <c r="C34" t="s">
        <v>2316</v>
      </c>
      <c r="D34" s="17" t="s">
        <v>2208</v>
      </c>
      <c r="E34" s="442" t="s">
        <v>2317</v>
      </c>
      <c r="G34" s="14"/>
    </row>
    <row r="35" spans="1:13">
      <c r="A35" t="s">
        <v>2318</v>
      </c>
      <c r="B35" s="428" t="s">
        <v>2143</v>
      </c>
      <c r="C35" t="s">
        <v>2319</v>
      </c>
      <c r="D35" s="17" t="s">
        <v>2208</v>
      </c>
      <c r="E35" s="442" t="s">
        <v>2320</v>
      </c>
      <c r="F35" s="442"/>
      <c r="G35" s="14"/>
    </row>
    <row r="36" spans="1:13">
      <c r="A36" t="s">
        <v>2321</v>
      </c>
      <c r="B36" s="428" t="s">
        <v>160</v>
      </c>
      <c r="C36" t="s">
        <v>2322</v>
      </c>
      <c r="D36" s="17">
        <v>25</v>
      </c>
      <c r="E36" s="442" t="s">
        <v>2323</v>
      </c>
      <c r="F36" s="442"/>
      <c r="G36" s="14"/>
    </row>
    <row r="37" spans="1:13">
      <c r="A37" t="s">
        <v>2324</v>
      </c>
      <c r="B37" s="428" t="s">
        <v>2325</v>
      </c>
      <c r="C37" t="s">
        <v>2326</v>
      </c>
      <c r="D37" s="17" t="s">
        <v>2208</v>
      </c>
      <c r="E37" s="442" t="s">
        <v>2327</v>
      </c>
      <c r="F37" s="442"/>
      <c r="G37" s="14"/>
    </row>
    <row r="38" spans="1:13">
      <c r="A38" t="s">
        <v>2328</v>
      </c>
      <c r="B38" s="428" t="s">
        <v>162</v>
      </c>
      <c r="C38" t="s">
        <v>2329</v>
      </c>
      <c r="D38" s="17" t="s">
        <v>2208</v>
      </c>
      <c r="E38" s="442" t="s">
        <v>2330</v>
      </c>
      <c r="F38" s="442"/>
      <c r="G38" s="14"/>
    </row>
    <row r="39" spans="1:13">
      <c r="A39" t="s">
        <v>2331</v>
      </c>
      <c r="B39" s="428" t="s">
        <v>163</v>
      </c>
      <c r="C39" t="s">
        <v>2332</v>
      </c>
      <c r="D39" s="17" t="s">
        <v>2208</v>
      </c>
      <c r="E39" s="442" t="s">
        <v>2333</v>
      </c>
      <c r="F39" s="442"/>
      <c r="G39" s="14"/>
    </row>
    <row r="40" spans="1:13">
      <c r="A40" t="s">
        <v>2334</v>
      </c>
      <c r="B40" s="428" t="s">
        <v>164</v>
      </c>
      <c r="C40" t="s">
        <v>2335</v>
      </c>
      <c r="D40" s="17">
        <v>25</v>
      </c>
      <c r="E40" s="442" t="s">
        <v>2336</v>
      </c>
      <c r="F40" s="442"/>
      <c r="G40" s="14"/>
      <c r="M40" s="536"/>
    </row>
    <row r="41" spans="1:13">
      <c r="A41" t="s">
        <v>2337</v>
      </c>
      <c r="B41" s="428" t="s">
        <v>2338</v>
      </c>
      <c r="C41" t="s">
        <v>2339</v>
      </c>
      <c r="D41" s="17" t="s">
        <v>2208</v>
      </c>
      <c r="E41" s="442" t="s">
        <v>2340</v>
      </c>
      <c r="F41" s="442"/>
      <c r="G41" s="14"/>
      <c r="M41" s="536"/>
    </row>
    <row r="42" spans="1:13">
      <c r="A42" t="s">
        <v>2341</v>
      </c>
      <c r="B42" s="428" t="s">
        <v>165</v>
      </c>
      <c r="C42" t="s">
        <v>2342</v>
      </c>
      <c r="D42" s="17" t="s">
        <v>2208</v>
      </c>
      <c r="E42" s="442" t="s">
        <v>2343</v>
      </c>
      <c r="G42" s="14"/>
      <c r="M42" s="536"/>
    </row>
    <row r="43" spans="1:13">
      <c r="A43" t="s">
        <v>2344</v>
      </c>
      <c r="B43" s="428" t="s">
        <v>2345</v>
      </c>
      <c r="C43" t="s">
        <v>2346</v>
      </c>
      <c r="D43" s="17" t="s">
        <v>2208</v>
      </c>
      <c r="E43" s="442" t="s">
        <v>2347</v>
      </c>
      <c r="G43" s="14"/>
      <c r="M43" s="536"/>
    </row>
    <row r="44" spans="1:13">
      <c r="A44" t="s">
        <v>2348</v>
      </c>
      <c r="B44" s="428" t="s">
        <v>166</v>
      </c>
      <c r="C44" t="s">
        <v>2349</v>
      </c>
      <c r="D44" s="17" t="s">
        <v>2208</v>
      </c>
      <c r="E44" s="442" t="s">
        <v>2350</v>
      </c>
      <c r="F44" s="442"/>
      <c r="G44" s="14"/>
      <c r="M44" s="536"/>
    </row>
    <row r="45" spans="1:13">
      <c r="A45" t="s">
        <v>2351</v>
      </c>
      <c r="B45" s="428" t="s">
        <v>2352</v>
      </c>
      <c r="C45" t="s">
        <v>2353</v>
      </c>
      <c r="D45" s="17" t="s">
        <v>2208</v>
      </c>
      <c r="E45" s="442" t="s">
        <v>2354</v>
      </c>
      <c r="F45" s="442"/>
      <c r="G45" s="14"/>
      <c r="M45" s="536"/>
    </row>
    <row r="46" spans="1:13">
      <c r="A46" t="s">
        <v>2355</v>
      </c>
      <c r="B46" s="428" t="s">
        <v>2356</v>
      </c>
      <c r="C46" t="s">
        <v>2357</v>
      </c>
      <c r="D46" s="17" t="s">
        <v>2208</v>
      </c>
      <c r="E46" s="442" t="s">
        <v>2358</v>
      </c>
      <c r="F46" s="442"/>
      <c r="G46" s="14"/>
    </row>
    <row r="47" spans="1:13">
      <c r="A47" t="s">
        <v>2359</v>
      </c>
      <c r="B47" s="428" t="s">
        <v>167</v>
      </c>
      <c r="C47" t="s">
        <v>2360</v>
      </c>
      <c r="D47" s="17" t="s">
        <v>2208</v>
      </c>
      <c r="E47" s="14" t="s">
        <v>2361</v>
      </c>
      <c r="F47" s="442"/>
      <c r="G47" s="442"/>
    </row>
    <row r="48" spans="1:13">
      <c r="A48" t="s">
        <v>2362</v>
      </c>
      <c r="B48" s="428" t="s">
        <v>2363</v>
      </c>
      <c r="C48" t="s">
        <v>2364</v>
      </c>
      <c r="D48" s="17" t="s">
        <v>2208</v>
      </c>
      <c r="E48" t="s">
        <v>2365</v>
      </c>
      <c r="F48" s="442"/>
      <c r="G48" s="14"/>
    </row>
    <row r="49" spans="1:13">
      <c r="A49" t="s">
        <v>2366</v>
      </c>
      <c r="B49" s="428" t="s">
        <v>2367</v>
      </c>
      <c r="C49" t="s">
        <v>2368</v>
      </c>
      <c r="D49" s="17" t="s">
        <v>2208</v>
      </c>
      <c r="E49" s="442" t="s">
        <v>2369</v>
      </c>
      <c r="F49" s="442"/>
      <c r="G49" s="14"/>
      <c r="M49" s="536"/>
    </row>
    <row r="50" spans="1:13">
      <c r="A50" t="s">
        <v>2370</v>
      </c>
      <c r="B50" s="428" t="s">
        <v>170</v>
      </c>
      <c r="C50" t="s">
        <v>2371</v>
      </c>
      <c r="D50" s="17" t="s">
        <v>2208</v>
      </c>
      <c r="E50" s="442" t="s">
        <v>2372</v>
      </c>
      <c r="F50" s="442"/>
      <c r="G50" s="14"/>
      <c r="M50" s="536"/>
    </row>
    <row r="51" spans="1:13" ht="12" customHeight="1">
      <c r="A51" t="s">
        <v>2373</v>
      </c>
      <c r="B51" s="428" t="s">
        <v>2374</v>
      </c>
      <c r="C51" t="s">
        <v>2375</v>
      </c>
      <c r="D51" s="17" t="s">
        <v>2208</v>
      </c>
      <c r="E51" s="442" t="s">
        <v>2376</v>
      </c>
      <c r="F51" s="442"/>
      <c r="G51" s="14"/>
      <c r="M51" s="536"/>
    </row>
    <row r="52" spans="1:13">
      <c r="A52" t="s">
        <v>2377</v>
      </c>
      <c r="B52" s="428" t="s">
        <v>2378</v>
      </c>
      <c r="C52" t="s">
        <v>2379</v>
      </c>
      <c r="D52" s="17">
        <v>25</v>
      </c>
      <c r="E52" s="442" t="s">
        <v>2380</v>
      </c>
      <c r="G52" s="14"/>
      <c r="M52" s="536"/>
    </row>
    <row r="53" spans="1:13">
      <c r="A53" t="s">
        <v>2381</v>
      </c>
      <c r="B53" s="428" t="s">
        <v>2382</v>
      </c>
      <c r="C53" t="s">
        <v>2383</v>
      </c>
      <c r="D53" s="17" t="s">
        <v>2208</v>
      </c>
      <c r="E53" s="442" t="s">
        <v>2384</v>
      </c>
      <c r="G53" s="14"/>
      <c r="M53" s="536"/>
    </row>
    <row r="54" spans="1:13">
      <c r="A54" t="s">
        <v>2385</v>
      </c>
      <c r="B54" s="428" t="s">
        <v>2386</v>
      </c>
      <c r="C54" t="s">
        <v>2387</v>
      </c>
      <c r="D54" s="17" t="s">
        <v>2208</v>
      </c>
      <c r="E54" s="442" t="s">
        <v>2388</v>
      </c>
      <c r="G54" s="14"/>
      <c r="M54" s="536"/>
    </row>
    <row r="55" spans="1:13">
      <c r="A55" t="s">
        <v>2389</v>
      </c>
      <c r="B55" s="428" t="s">
        <v>152</v>
      </c>
      <c r="C55" t="s">
        <v>2390</v>
      </c>
      <c r="D55" s="17" t="s">
        <v>2208</v>
      </c>
      <c r="E55" t="s">
        <v>2391</v>
      </c>
      <c r="G55" s="14"/>
    </row>
    <row r="56" spans="1:13">
      <c r="A56" t="s">
        <v>2392</v>
      </c>
      <c r="B56" s="428" t="s">
        <v>2137</v>
      </c>
      <c r="C56" t="s">
        <v>2393</v>
      </c>
      <c r="D56" s="17">
        <v>40</v>
      </c>
      <c r="E56" t="s">
        <v>2394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2208</v>
      </c>
      <c r="D59" s="17" t="s">
        <v>2208</v>
      </c>
      <c r="F59" s="442"/>
      <c r="G59" s="14"/>
    </row>
    <row r="60" spans="1:13">
      <c r="A60" t="s">
        <v>2208</v>
      </c>
      <c r="D60" s="17" t="s">
        <v>2208</v>
      </c>
      <c r="F60" s="442"/>
      <c r="G60" s="14"/>
    </row>
    <row r="61" spans="1:13">
      <c r="A61" t="s">
        <v>2395</v>
      </c>
      <c r="B61" s="428" t="s">
        <v>2154</v>
      </c>
      <c r="C61" t="s">
        <v>2396</v>
      </c>
      <c r="D61" s="17" t="s">
        <v>2208</v>
      </c>
      <c r="E61" t="s">
        <v>2397</v>
      </c>
      <c r="F61" s="442"/>
      <c r="G61" s="14"/>
    </row>
    <row r="62" spans="1:13">
      <c r="A62" t="s">
        <v>2398</v>
      </c>
      <c r="B62" s="428" t="s">
        <v>179</v>
      </c>
      <c r="C62" t="s">
        <v>2399</v>
      </c>
      <c r="D62" s="17" t="s">
        <v>2208</v>
      </c>
      <c r="E62" t="s">
        <v>2400</v>
      </c>
      <c r="F62" s="442"/>
      <c r="G62" s="14"/>
    </row>
    <row r="63" spans="1:13">
      <c r="A63" t="s">
        <v>2401</v>
      </c>
      <c r="B63" s="428" t="s">
        <v>2402</v>
      </c>
      <c r="C63" t="s">
        <v>2403</v>
      </c>
      <c r="D63" s="17" t="s">
        <v>2208</v>
      </c>
      <c r="E63" t="s">
        <v>2404</v>
      </c>
      <c r="F63" s="442"/>
      <c r="G63" s="14"/>
    </row>
    <row r="64" spans="1:13">
      <c r="A64" t="s">
        <v>2405</v>
      </c>
      <c r="B64" s="428" t="s">
        <v>2406</v>
      </c>
      <c r="C64" t="s">
        <v>2407</v>
      </c>
      <c r="D64" s="17" t="s">
        <v>2208</v>
      </c>
      <c r="E64" t="s">
        <v>2408</v>
      </c>
      <c r="G64" s="14"/>
    </row>
    <row r="65" spans="1:7">
      <c r="A65" t="s">
        <v>2409</v>
      </c>
      <c r="B65" s="428" t="s">
        <v>2410</v>
      </c>
      <c r="C65" t="s">
        <v>2411</v>
      </c>
      <c r="D65" s="17" t="s">
        <v>2208</v>
      </c>
      <c r="E65" t="s">
        <v>2412</v>
      </c>
      <c r="F65" s="442"/>
      <c r="G65" s="14"/>
    </row>
    <row r="66" spans="1:7">
      <c r="A66" t="s">
        <v>2413</v>
      </c>
      <c r="B66" s="428" t="s">
        <v>2156</v>
      </c>
      <c r="C66" t="s">
        <v>2414</v>
      </c>
      <c r="D66" s="17" t="s">
        <v>2208</v>
      </c>
      <c r="E66" t="s">
        <v>2415</v>
      </c>
      <c r="F66" s="442"/>
      <c r="G66" s="14"/>
    </row>
    <row r="67" spans="1:7">
      <c r="A67" t="s">
        <v>2416</v>
      </c>
      <c r="B67" s="428" t="s">
        <v>2158</v>
      </c>
      <c r="C67" t="s">
        <v>2417</v>
      </c>
      <c r="D67" s="17" t="s">
        <v>2208</v>
      </c>
      <c r="E67" t="s">
        <v>2418</v>
      </c>
      <c r="G67" s="14"/>
    </row>
    <row r="68" spans="1:7">
      <c r="A68" t="s">
        <v>2419</v>
      </c>
      <c r="B68" s="428" t="s">
        <v>182</v>
      </c>
      <c r="C68" t="s">
        <v>2420</v>
      </c>
      <c r="D68" s="17" t="s">
        <v>2208</v>
      </c>
      <c r="E68" t="s">
        <v>2421</v>
      </c>
      <c r="F68" s="442"/>
      <c r="G68" s="14"/>
    </row>
    <row r="69" spans="1:7">
      <c r="A69" t="s">
        <v>2422</v>
      </c>
      <c r="B69" s="428" t="s">
        <v>184</v>
      </c>
      <c r="C69" t="s">
        <v>2423</v>
      </c>
      <c r="D69" s="17" t="s">
        <v>2208</v>
      </c>
      <c r="E69" t="s">
        <v>2424</v>
      </c>
      <c r="F69" s="442"/>
      <c r="G69" s="14"/>
    </row>
    <row r="70" spans="1:7">
      <c r="A70" t="s">
        <v>2425</v>
      </c>
      <c r="B70" s="428" t="s">
        <v>185</v>
      </c>
      <c r="C70" t="s">
        <v>2426</v>
      </c>
      <c r="D70" s="17" t="s">
        <v>2208</v>
      </c>
      <c r="E70" t="s">
        <v>2427</v>
      </c>
      <c r="F70" s="442"/>
      <c r="G70" s="14"/>
    </row>
    <row r="71" spans="1:7">
      <c r="A71" t="s">
        <v>2428</v>
      </c>
      <c r="B71" s="428" t="s">
        <v>2429</v>
      </c>
      <c r="C71" t="s">
        <v>2430</v>
      </c>
      <c r="D71" s="17" t="s">
        <v>2208</v>
      </c>
      <c r="E71" t="s">
        <v>2431</v>
      </c>
      <c r="F71" s="442"/>
      <c r="G71" s="14"/>
    </row>
    <row r="72" spans="1:7">
      <c r="A72" t="s">
        <v>2432</v>
      </c>
      <c r="B72" s="428" t="s">
        <v>186</v>
      </c>
      <c r="C72" t="s">
        <v>2433</v>
      </c>
      <c r="D72" s="17" t="s">
        <v>2208</v>
      </c>
      <c r="E72" t="s">
        <v>2434</v>
      </c>
      <c r="G72" s="14"/>
    </row>
    <row r="73" spans="1:7">
      <c r="A73" t="s">
        <v>2435</v>
      </c>
      <c r="B73" s="428" t="s">
        <v>2436</v>
      </c>
      <c r="C73" t="s">
        <v>2437</v>
      </c>
      <c r="D73" s="17" t="s">
        <v>2208</v>
      </c>
      <c r="E73" t="s">
        <v>2438</v>
      </c>
      <c r="F73" s="442"/>
      <c r="G73" s="14"/>
    </row>
    <row r="74" spans="1:7">
      <c r="A74" t="s">
        <v>2439</v>
      </c>
      <c r="B74" s="428" t="s">
        <v>2440</v>
      </c>
      <c r="C74" t="s">
        <v>2441</v>
      </c>
      <c r="D74" s="17" t="s">
        <v>2208</v>
      </c>
      <c r="E74" t="s">
        <v>2442</v>
      </c>
      <c r="F74" s="442"/>
      <c r="G74" s="14"/>
    </row>
    <row r="75" spans="1:7">
      <c r="A75" t="s">
        <v>2443</v>
      </c>
      <c r="B75" s="428" t="s">
        <v>187</v>
      </c>
      <c r="C75" t="s">
        <v>2444</v>
      </c>
      <c r="D75" s="17" t="s">
        <v>2208</v>
      </c>
      <c r="E75" t="s">
        <v>2445</v>
      </c>
      <c r="F75" s="442"/>
      <c r="G75" s="14"/>
    </row>
    <row r="76" spans="1:7">
      <c r="A76" t="s">
        <v>2446</v>
      </c>
      <c r="B76" s="428" t="s">
        <v>2447</v>
      </c>
      <c r="C76" t="s">
        <v>2448</v>
      </c>
      <c r="D76" s="17">
        <v>25</v>
      </c>
      <c r="E76" t="s">
        <v>2449</v>
      </c>
      <c r="F76" s="442"/>
      <c r="G76" s="14"/>
    </row>
    <row r="77" spans="1:7">
      <c r="A77" t="s">
        <v>2450</v>
      </c>
      <c r="B77" s="428" t="s">
        <v>189</v>
      </c>
      <c r="C77" t="s">
        <v>2451</v>
      </c>
      <c r="D77" s="17">
        <v>25</v>
      </c>
      <c r="E77" t="s">
        <v>2452</v>
      </c>
      <c r="F77" s="442"/>
      <c r="G77" s="14"/>
    </row>
    <row r="78" spans="1:7">
      <c r="A78" t="s">
        <v>2453</v>
      </c>
      <c r="B78" s="428" t="s">
        <v>190</v>
      </c>
      <c r="C78" t="s">
        <v>2454</v>
      </c>
      <c r="D78" s="17" t="s">
        <v>2208</v>
      </c>
      <c r="E78" t="s">
        <v>2455</v>
      </c>
      <c r="F78" s="442"/>
      <c r="G78" s="14"/>
    </row>
    <row r="79" spans="1:7">
      <c r="F79" s="442"/>
      <c r="G79" s="14"/>
    </row>
    <row r="80" spans="1:7">
      <c r="D80" s="17" t="s">
        <v>2208</v>
      </c>
      <c r="F80" s="442"/>
      <c r="G80" s="14"/>
    </row>
    <row r="81" spans="1:7">
      <c r="D81" s="17" t="s">
        <v>2208</v>
      </c>
      <c r="F81" s="442"/>
      <c r="G81" s="14"/>
    </row>
    <row r="82" spans="1:7">
      <c r="A82" t="s">
        <v>2456</v>
      </c>
      <c r="B82" s="428" t="s">
        <v>2203</v>
      </c>
      <c r="C82" t="s">
        <v>2457</v>
      </c>
      <c r="D82" s="17" t="s">
        <v>2208</v>
      </c>
      <c r="E82" t="s">
        <v>2458</v>
      </c>
    </row>
    <row r="83" spans="1:7">
      <c r="A83" t="s">
        <v>2459</v>
      </c>
      <c r="B83" s="428" t="s">
        <v>2204</v>
      </c>
      <c r="C83" t="s">
        <v>2460</v>
      </c>
      <c r="D83" s="17" t="s">
        <v>2208</v>
      </c>
      <c r="E83" t="s">
        <v>2461</v>
      </c>
    </row>
    <row r="84" spans="1:7">
      <c r="A84" t="s">
        <v>2462</v>
      </c>
      <c r="B84" s="428" t="s">
        <v>2463</v>
      </c>
      <c r="C84" t="s">
        <v>2464</v>
      </c>
      <c r="D84" s="17" t="s">
        <v>2208</v>
      </c>
      <c r="E84" t="s">
        <v>2465</v>
      </c>
    </row>
    <row r="85" spans="1:7">
      <c r="A85" t="s">
        <v>2466</v>
      </c>
      <c r="B85" s="428" t="s">
        <v>227</v>
      </c>
      <c r="C85" t="s">
        <v>2467</v>
      </c>
      <c r="D85" s="17" t="s">
        <v>2208</v>
      </c>
      <c r="E85" t="s">
        <v>2468</v>
      </c>
    </row>
    <row r="86" spans="1:7">
      <c r="A86" t="s">
        <v>2469</v>
      </c>
      <c r="B86" s="428" t="s">
        <v>231</v>
      </c>
      <c r="C86" t="s">
        <v>2470</v>
      </c>
      <c r="D86" s="17" t="s">
        <v>2208</v>
      </c>
      <c r="E86" t="s">
        <v>2471</v>
      </c>
    </row>
    <row r="87" spans="1:7">
      <c r="A87" t="s">
        <v>2472</v>
      </c>
      <c r="B87" s="428" t="s">
        <v>233</v>
      </c>
      <c r="C87" t="s">
        <v>2473</v>
      </c>
      <c r="D87" s="17" t="s">
        <v>2208</v>
      </c>
      <c r="E87" t="s">
        <v>2474</v>
      </c>
    </row>
    <row r="88" spans="1:7">
      <c r="A88" t="s">
        <v>2475</v>
      </c>
      <c r="B88" s="428" t="s">
        <v>234</v>
      </c>
      <c r="C88" t="s">
        <v>2476</v>
      </c>
      <c r="D88" s="17" t="s">
        <v>2208</v>
      </c>
      <c r="E88" t="s">
        <v>2477</v>
      </c>
    </row>
    <row r="89" spans="1:7">
      <c r="A89" t="s">
        <v>2478</v>
      </c>
      <c r="B89" s="428" t="s">
        <v>236</v>
      </c>
      <c r="C89" t="s">
        <v>2479</v>
      </c>
      <c r="D89" s="17" t="s">
        <v>2208</v>
      </c>
      <c r="E89" t="s">
        <v>2480</v>
      </c>
    </row>
    <row r="90" spans="1:7">
      <c r="A90" t="s">
        <v>2481</v>
      </c>
      <c r="B90" s="428" t="s">
        <v>237</v>
      </c>
      <c r="C90" t="s">
        <v>2482</v>
      </c>
      <c r="D90" s="17" t="s">
        <v>2208</v>
      </c>
      <c r="E90" t="s">
        <v>2483</v>
      </c>
    </row>
    <row r="91" spans="1:7">
      <c r="A91" t="s">
        <v>2484</v>
      </c>
      <c r="B91" s="428" t="s">
        <v>238</v>
      </c>
      <c r="C91" t="s">
        <v>2485</v>
      </c>
      <c r="D91" s="17" t="s">
        <v>2208</v>
      </c>
      <c r="E91" t="s">
        <v>2486</v>
      </c>
    </row>
    <row r="92" spans="1:7">
      <c r="A92" t="s">
        <v>2487</v>
      </c>
      <c r="B92" s="428" t="s">
        <v>239</v>
      </c>
      <c r="C92" t="s">
        <v>2488</v>
      </c>
      <c r="D92" s="17" t="s">
        <v>2208</v>
      </c>
      <c r="E92" t="s">
        <v>2489</v>
      </c>
    </row>
    <row r="93" spans="1:7">
      <c r="A93" t="s">
        <v>2490</v>
      </c>
      <c r="B93" s="428" t="s">
        <v>240</v>
      </c>
      <c r="C93" t="s">
        <v>2491</v>
      </c>
      <c r="D93" s="17" t="s">
        <v>2208</v>
      </c>
      <c r="E93" t="s">
        <v>2492</v>
      </c>
    </row>
    <row r="94" spans="1:7">
      <c r="A94" t="s">
        <v>2493</v>
      </c>
      <c r="B94" s="428" t="s">
        <v>244</v>
      </c>
      <c r="C94" t="s">
        <v>2494</v>
      </c>
      <c r="D94" s="17" t="s">
        <v>2208</v>
      </c>
      <c r="E94" t="s">
        <v>2495</v>
      </c>
    </row>
    <row r="95" spans="1:7">
      <c r="A95" t="s">
        <v>2496</v>
      </c>
      <c r="B95" s="428" t="s">
        <v>242</v>
      </c>
      <c r="C95" t="s">
        <v>2497</v>
      </c>
      <c r="D95" s="17" t="s">
        <v>2208</v>
      </c>
      <c r="E95" t="s">
        <v>2498</v>
      </c>
    </row>
    <row r="96" spans="1:7">
      <c r="A96" t="s">
        <v>2499</v>
      </c>
      <c r="B96" s="428" t="s">
        <v>228</v>
      </c>
      <c r="C96" t="s">
        <v>2500</v>
      </c>
      <c r="D96" s="17" t="s">
        <v>2208</v>
      </c>
      <c r="E96" t="s">
        <v>2501</v>
      </c>
    </row>
    <row r="97" spans="1:5">
      <c r="A97" t="s">
        <v>2502</v>
      </c>
      <c r="B97" s="428" t="s">
        <v>229</v>
      </c>
      <c r="C97" t="s">
        <v>2503</v>
      </c>
      <c r="D97" s="17" t="s">
        <v>2208</v>
      </c>
      <c r="E97" t="s">
        <v>2504</v>
      </c>
    </row>
    <row r="98" spans="1:5">
      <c r="A98" t="s">
        <v>2505</v>
      </c>
      <c r="B98" s="428" t="s">
        <v>193</v>
      </c>
      <c r="C98" t="s">
        <v>2506</v>
      </c>
      <c r="D98" s="17" t="s">
        <v>2208</v>
      </c>
      <c r="E98" t="s">
        <v>2507</v>
      </c>
    </row>
    <row r="99" spans="1:5">
      <c r="A99" t="s">
        <v>2508</v>
      </c>
      <c r="B99" s="428" t="s">
        <v>196</v>
      </c>
      <c r="C99" t="s">
        <v>2509</v>
      </c>
      <c r="D99" s="17" t="s">
        <v>2208</v>
      </c>
      <c r="E99" t="s">
        <v>2510</v>
      </c>
    </row>
    <row r="100" spans="1:5">
      <c r="A100" t="s">
        <v>2508</v>
      </c>
      <c r="B100" s="428" t="s">
        <v>196</v>
      </c>
      <c r="C100" t="s">
        <v>2509</v>
      </c>
      <c r="D100" s="17" t="s">
        <v>2208</v>
      </c>
      <c r="E100" t="s">
        <v>2511</v>
      </c>
    </row>
    <row r="101" spans="1:5">
      <c r="A101" t="s">
        <v>2512</v>
      </c>
      <c r="B101" s="428" t="s">
        <v>203</v>
      </c>
      <c r="C101" t="s">
        <v>2513</v>
      </c>
      <c r="D101" s="17" t="s">
        <v>2208</v>
      </c>
      <c r="E101" t="s">
        <v>2514</v>
      </c>
    </row>
    <row r="102" spans="1:5">
      <c r="A102" t="s">
        <v>2515</v>
      </c>
      <c r="B102" s="428" t="s">
        <v>204</v>
      </c>
      <c r="C102" t="s">
        <v>2516</v>
      </c>
      <c r="D102" s="17" t="s">
        <v>2208</v>
      </c>
      <c r="E102" t="s">
        <v>2517</v>
      </c>
    </row>
    <row r="103" spans="1:5">
      <c r="A103" t="s">
        <v>2518</v>
      </c>
      <c r="B103" s="428" t="s">
        <v>205</v>
      </c>
      <c r="C103" t="s">
        <v>2519</v>
      </c>
      <c r="D103" s="17" t="s">
        <v>2208</v>
      </c>
      <c r="E103" t="s">
        <v>2520</v>
      </c>
    </row>
    <row r="104" spans="1:5">
      <c r="A104" t="s">
        <v>2521</v>
      </c>
      <c r="B104" s="428" t="s">
        <v>211</v>
      </c>
      <c r="C104" t="s">
        <v>2522</v>
      </c>
      <c r="D104" s="17" t="s">
        <v>2208</v>
      </c>
      <c r="E104" t="s">
        <v>2523</v>
      </c>
    </row>
    <row r="105" spans="1:5">
      <c r="A105" t="s">
        <v>2521</v>
      </c>
      <c r="B105" s="428" t="s">
        <v>211</v>
      </c>
      <c r="C105" t="s">
        <v>2522</v>
      </c>
      <c r="D105" s="17" t="s">
        <v>2208</v>
      </c>
      <c r="E105" t="s">
        <v>2524</v>
      </c>
    </row>
    <row r="106" spans="1:5">
      <c r="A106" t="s">
        <v>2525</v>
      </c>
      <c r="B106" s="428" t="s">
        <v>212</v>
      </c>
      <c r="C106" t="s">
        <v>2526</v>
      </c>
      <c r="D106" s="17" t="s">
        <v>2208</v>
      </c>
      <c r="E106" t="s">
        <v>2527</v>
      </c>
    </row>
    <row r="107" spans="1:5">
      <c r="A107" t="s">
        <v>2528</v>
      </c>
      <c r="B107" s="428" t="s">
        <v>213</v>
      </c>
      <c r="C107" t="s">
        <v>2529</v>
      </c>
      <c r="D107" s="17" t="s">
        <v>2208</v>
      </c>
      <c r="E107" t="s">
        <v>2530</v>
      </c>
    </row>
    <row r="108" spans="1:5">
      <c r="A108" t="s">
        <v>2531</v>
      </c>
      <c r="B108" s="428" t="s">
        <v>207</v>
      </c>
      <c r="C108" t="s">
        <v>2532</v>
      </c>
      <c r="D108" s="17" t="s">
        <v>2208</v>
      </c>
      <c r="E108" t="s">
        <v>2533</v>
      </c>
    </row>
    <row r="109" spans="1:5">
      <c r="A109" t="s">
        <v>2534</v>
      </c>
      <c r="B109" s="428" t="s">
        <v>206</v>
      </c>
      <c r="C109" t="s">
        <v>2535</v>
      </c>
      <c r="D109" s="17" t="s">
        <v>2208</v>
      </c>
      <c r="E109" t="s">
        <v>2536</v>
      </c>
    </row>
    <row r="110" spans="1:5">
      <c r="A110" t="s">
        <v>2537</v>
      </c>
    </row>
    <row r="111" spans="1:5">
      <c r="D111" s="17" t="s">
        <v>2208</v>
      </c>
    </row>
    <row r="112" spans="1:5">
      <c r="D112" s="17" t="s">
        <v>2208</v>
      </c>
    </row>
    <row r="113" spans="1:5">
      <c r="D113" s="17" t="s">
        <v>2208</v>
      </c>
    </row>
    <row r="114" spans="1:5">
      <c r="A114" t="s">
        <v>2538</v>
      </c>
      <c r="B114" s="428" t="s">
        <v>2539</v>
      </c>
      <c r="C114" t="s">
        <v>2540</v>
      </c>
      <c r="D114" s="17" t="s">
        <v>2208</v>
      </c>
      <c r="E114" t="s">
        <v>2541</v>
      </c>
    </row>
    <row r="115" spans="1:5">
      <c r="A115" t="s">
        <v>2542</v>
      </c>
      <c r="B115" s="428" t="s">
        <v>2543</v>
      </c>
      <c r="C115" t="s">
        <v>2544</v>
      </c>
      <c r="D115" s="17" t="s">
        <v>2208</v>
      </c>
      <c r="E115" t="s">
        <v>2545</v>
      </c>
    </row>
    <row r="116" spans="1:5">
      <c r="A116" t="s">
        <v>2546</v>
      </c>
      <c r="B116" s="428" t="s">
        <v>2547</v>
      </c>
      <c r="C116" t="s">
        <v>2548</v>
      </c>
      <c r="D116" s="17" t="s">
        <v>2208</v>
      </c>
      <c r="E116" t="s">
        <v>2549</v>
      </c>
    </row>
    <row r="117" spans="1:5">
      <c r="A117" t="s">
        <v>2550</v>
      </c>
      <c r="B117" s="428" t="s">
        <v>2551</v>
      </c>
      <c r="C117" t="s">
        <v>2552</v>
      </c>
      <c r="D117" s="17" t="s">
        <v>2208</v>
      </c>
      <c r="E117" t="s">
        <v>2553</v>
      </c>
    </row>
    <row r="118" spans="1:5">
      <c r="A118" t="s">
        <v>2554</v>
      </c>
      <c r="B118" s="428" t="s">
        <v>2555</v>
      </c>
      <c r="C118" t="s">
        <v>2556</v>
      </c>
      <c r="D118" s="17" t="s">
        <v>2208</v>
      </c>
      <c r="E118" t="s">
        <v>2557</v>
      </c>
    </row>
    <row r="119" spans="1:5">
      <c r="C119" t="s">
        <v>2558</v>
      </c>
      <c r="D119" s="17">
        <v>25</v>
      </c>
      <c r="E119" t="s">
        <v>2559</v>
      </c>
    </row>
    <row r="120" spans="1:5">
      <c r="A120" t="s">
        <v>2560</v>
      </c>
      <c r="B120" s="428" t="s">
        <v>2561</v>
      </c>
      <c r="C120" t="s">
        <v>2562</v>
      </c>
      <c r="D120" s="17" t="s">
        <v>2208</v>
      </c>
      <c r="E120" t="s">
        <v>2563</v>
      </c>
    </row>
    <row r="121" spans="1:5">
      <c r="A121" t="s">
        <v>2564</v>
      </c>
      <c r="B121" s="428" t="s">
        <v>2565</v>
      </c>
      <c r="C121" t="s">
        <v>2566</v>
      </c>
      <c r="D121" s="17" t="s">
        <v>2208</v>
      </c>
      <c r="E121" t="s">
        <v>2567</v>
      </c>
    </row>
    <row r="122" spans="1:5">
      <c r="A122" t="s">
        <v>2568</v>
      </c>
      <c r="B122" s="428" t="s">
        <v>2569</v>
      </c>
      <c r="C122" t="s">
        <v>2570</v>
      </c>
      <c r="D122" s="17" t="s">
        <v>2208</v>
      </c>
      <c r="E122" t="s">
        <v>2571</v>
      </c>
    </row>
    <row r="123" spans="1:5">
      <c r="A123" t="s">
        <v>2572</v>
      </c>
      <c r="B123" s="428" t="s">
        <v>2573</v>
      </c>
      <c r="C123" t="s">
        <v>2574</v>
      </c>
      <c r="D123" s="17" t="s">
        <v>2208</v>
      </c>
      <c r="E123" t="s">
        <v>2575</v>
      </c>
    </row>
    <row r="124" spans="1:5">
      <c r="C124" t="s">
        <v>2574</v>
      </c>
      <c r="E124" t="s">
        <v>2575</v>
      </c>
    </row>
    <row r="127" spans="1:5">
      <c r="A127" t="s">
        <v>2576</v>
      </c>
      <c r="B127" s="428" t="s">
        <v>2577</v>
      </c>
      <c r="C127" t="s">
        <v>2578</v>
      </c>
      <c r="D127" s="17" t="s">
        <v>2208</v>
      </c>
      <c r="E127" t="s">
        <v>2579</v>
      </c>
    </row>
    <row r="128" spans="1:5">
      <c r="A128" t="s">
        <v>2580</v>
      </c>
      <c r="B128" s="428" t="s">
        <v>2581</v>
      </c>
      <c r="C128" t="s">
        <v>2582</v>
      </c>
      <c r="D128" s="17" t="s">
        <v>2208</v>
      </c>
      <c r="E128" t="s">
        <v>2583</v>
      </c>
    </row>
    <row r="129" spans="1:5">
      <c r="A129" t="s">
        <v>2584</v>
      </c>
      <c r="B129" s="428" t="s">
        <v>249</v>
      </c>
      <c r="C129" t="s">
        <v>2585</v>
      </c>
      <c r="D129" s="17" t="s">
        <v>2208</v>
      </c>
      <c r="E129" t="s">
        <v>2586</v>
      </c>
    </row>
    <row r="130" spans="1:5">
      <c r="A130" t="s">
        <v>2587</v>
      </c>
      <c r="B130" s="428" t="s">
        <v>2588</v>
      </c>
      <c r="C130" t="s">
        <v>2589</v>
      </c>
      <c r="D130" s="17" t="s">
        <v>2208</v>
      </c>
      <c r="E130" t="s">
        <v>2590</v>
      </c>
    </row>
    <row r="131" spans="1:5">
      <c r="A131" t="s">
        <v>2591</v>
      </c>
      <c r="B131" s="428" t="s">
        <v>2592</v>
      </c>
      <c r="C131" t="s">
        <v>2593</v>
      </c>
      <c r="D131" s="17" t="s">
        <v>2208</v>
      </c>
      <c r="E131" t="s">
        <v>2594</v>
      </c>
    </row>
    <row r="135" spans="1:5">
      <c r="A135" t="s">
        <v>2595</v>
      </c>
      <c r="B135" s="428" t="s">
        <v>263</v>
      </c>
      <c r="C135" t="s">
        <v>2596</v>
      </c>
      <c r="D135" s="17">
        <v>50</v>
      </c>
      <c r="E135" t="s">
        <v>2597</v>
      </c>
    </row>
    <row r="136" spans="1:5">
      <c r="A136" t="s">
        <v>2598</v>
      </c>
      <c r="B136" s="428" t="s">
        <v>282</v>
      </c>
      <c r="C136" t="s">
        <v>2599</v>
      </c>
      <c r="D136" s="17">
        <v>50</v>
      </c>
      <c r="E136" t="s">
        <v>2600</v>
      </c>
    </row>
    <row r="137" spans="1:5">
      <c r="A137" t="s">
        <v>2601</v>
      </c>
      <c r="B137" s="428" t="s">
        <v>299</v>
      </c>
      <c r="C137" t="s">
        <v>2602</v>
      </c>
      <c r="D137" s="17">
        <v>50</v>
      </c>
      <c r="E137" t="s">
        <v>2603</v>
      </c>
    </row>
    <row r="138" spans="1:5">
      <c r="A138" t="s">
        <v>2604</v>
      </c>
      <c r="B138" s="428" t="s">
        <v>309</v>
      </c>
      <c r="C138" t="s">
        <v>2605</v>
      </c>
      <c r="D138" s="17">
        <v>50</v>
      </c>
      <c r="E138" t="s">
        <v>2606</v>
      </c>
    </row>
    <row r="139" spans="1:5">
      <c r="A139" t="s">
        <v>2607</v>
      </c>
      <c r="B139" s="428" t="s">
        <v>322</v>
      </c>
      <c r="C139" t="s">
        <v>2608</v>
      </c>
      <c r="D139" s="17">
        <v>50</v>
      </c>
      <c r="E139" t="s">
        <v>2609</v>
      </c>
    </row>
    <row r="140" spans="1:5">
      <c r="A140" t="s">
        <v>2610</v>
      </c>
      <c r="B140" s="428" t="s">
        <v>324</v>
      </c>
      <c r="C140" t="s">
        <v>2611</v>
      </c>
      <c r="D140" s="17">
        <v>50</v>
      </c>
      <c r="E140" t="s">
        <v>2612</v>
      </c>
    </row>
    <row r="141" spans="1:5">
      <c r="A141" t="s">
        <v>2613</v>
      </c>
      <c r="B141" s="428" t="s">
        <v>329</v>
      </c>
      <c r="C141" t="s">
        <v>2614</v>
      </c>
      <c r="D141" s="17">
        <v>50</v>
      </c>
      <c r="E141" t="s">
        <v>2615</v>
      </c>
    </row>
    <row r="142" spans="1:5">
      <c r="A142" t="s">
        <v>2616</v>
      </c>
      <c r="B142" s="428" t="s">
        <v>344</v>
      </c>
      <c r="C142" t="s">
        <v>2617</v>
      </c>
      <c r="D142" s="17">
        <v>50</v>
      </c>
      <c r="E142" t="s">
        <v>2618</v>
      </c>
    </row>
    <row r="143" spans="1:5">
      <c r="A143" t="s">
        <v>2619</v>
      </c>
      <c r="B143" s="428" t="s">
        <v>356</v>
      </c>
      <c r="C143" t="s">
        <v>2620</v>
      </c>
      <c r="D143" s="17">
        <v>50</v>
      </c>
      <c r="E143" t="s">
        <v>2621</v>
      </c>
    </row>
    <row r="144" spans="1:5">
      <c r="A144" t="s">
        <v>2622</v>
      </c>
      <c r="B144" s="428" t="s">
        <v>368</v>
      </c>
      <c r="C144" t="s">
        <v>2623</v>
      </c>
      <c r="D144" s="17">
        <v>50</v>
      </c>
      <c r="E144" t="s">
        <v>2624</v>
      </c>
    </row>
    <row r="145" spans="1:5">
      <c r="A145" t="s">
        <v>2625</v>
      </c>
      <c r="B145" s="428" t="s">
        <v>382</v>
      </c>
      <c r="C145" t="s">
        <v>2626</v>
      </c>
      <c r="D145" s="17">
        <v>50</v>
      </c>
      <c r="E145" t="s">
        <v>2627</v>
      </c>
    </row>
    <row r="146" spans="1:5">
      <c r="A146" t="s">
        <v>2628</v>
      </c>
      <c r="B146" s="428" t="s">
        <v>393</v>
      </c>
      <c r="C146" t="s">
        <v>2629</v>
      </c>
      <c r="D146" s="17">
        <v>50</v>
      </c>
      <c r="E146" t="s">
        <v>2630</v>
      </c>
    </row>
    <row r="147" spans="1:5">
      <c r="A147" t="s">
        <v>2631</v>
      </c>
      <c r="B147" s="428" t="s">
        <v>403</v>
      </c>
      <c r="C147" t="s">
        <v>2632</v>
      </c>
      <c r="D147" s="17">
        <v>50</v>
      </c>
      <c r="E147" t="s">
        <v>2633</v>
      </c>
    </row>
    <row r="148" spans="1:5">
      <c r="A148" t="s">
        <v>2634</v>
      </c>
      <c r="B148" s="428" t="s">
        <v>410</v>
      </c>
      <c r="C148" t="s">
        <v>2635</v>
      </c>
      <c r="D148" s="17">
        <v>50</v>
      </c>
      <c r="E148" t="s">
        <v>2636</v>
      </c>
    </row>
    <row r="149" spans="1:5">
      <c r="A149" t="s">
        <v>2637</v>
      </c>
      <c r="B149" s="428" t="s">
        <v>413</v>
      </c>
      <c r="C149" t="s">
        <v>2638</v>
      </c>
      <c r="D149" s="17">
        <v>50</v>
      </c>
      <c r="E149" t="s">
        <v>2639</v>
      </c>
    </row>
    <row r="150" spans="1:5">
      <c r="A150" t="s">
        <v>2640</v>
      </c>
      <c r="B150" s="428" t="s">
        <v>419</v>
      </c>
      <c r="C150" t="s">
        <v>2641</v>
      </c>
      <c r="D150" s="17">
        <v>50</v>
      </c>
      <c r="E150" t="s">
        <v>2642</v>
      </c>
    </row>
    <row r="151" spans="1:5">
      <c r="A151" t="s">
        <v>2643</v>
      </c>
      <c r="B151" s="428" t="s">
        <v>426</v>
      </c>
      <c r="C151" t="s">
        <v>2644</v>
      </c>
      <c r="D151" s="17">
        <v>50</v>
      </c>
      <c r="E151" t="s">
        <v>2645</v>
      </c>
    </row>
    <row r="152" spans="1:5">
      <c r="A152" t="s">
        <v>2537</v>
      </c>
    </row>
    <row r="153" spans="1:5">
      <c r="A153" t="s">
        <v>2537</v>
      </c>
    </row>
    <row r="154" spans="1:5">
      <c r="A154" t="s">
        <v>2537</v>
      </c>
      <c r="E154" t="s">
        <v>2646</v>
      </c>
    </row>
    <row r="155" spans="1:5">
      <c r="A155" t="s">
        <v>2537</v>
      </c>
      <c r="E155" t="s">
        <v>309</v>
      </c>
    </row>
    <row r="156" spans="1:5">
      <c r="A156" t="s">
        <v>2647</v>
      </c>
      <c r="B156" s="428" t="s">
        <v>301</v>
      </c>
      <c r="C156" t="s">
        <v>2602</v>
      </c>
      <c r="D156" s="17">
        <v>50</v>
      </c>
      <c r="E156" t="s">
        <v>2603</v>
      </c>
    </row>
    <row r="157" spans="1:5">
      <c r="A157" t="s">
        <v>2648</v>
      </c>
      <c r="B157" s="428" t="s">
        <v>266</v>
      </c>
      <c r="C157" t="s">
        <v>2596</v>
      </c>
      <c r="D157" s="17">
        <v>50</v>
      </c>
      <c r="E157" t="s">
        <v>2597</v>
      </c>
    </row>
    <row r="158" spans="1:5">
      <c r="A158" t="s">
        <v>2649</v>
      </c>
      <c r="B158" s="428" t="s">
        <v>285</v>
      </c>
      <c r="C158" t="s">
        <v>2599</v>
      </c>
      <c r="D158" s="17">
        <v>50</v>
      </c>
      <c r="E158" t="s">
        <v>2600</v>
      </c>
    </row>
    <row r="159" spans="1:5">
      <c r="A159" t="s">
        <v>2650</v>
      </c>
      <c r="B159" s="428" t="s">
        <v>308</v>
      </c>
      <c r="C159" t="s">
        <v>2605</v>
      </c>
      <c r="D159" s="17">
        <v>50</v>
      </c>
      <c r="E159" t="s">
        <v>2603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2651</v>
      </c>
      <c r="H2" s="14"/>
      <c r="K2" s="442"/>
    </row>
    <row r="3" spans="1:15">
      <c r="A3" s="807" t="s">
        <v>2652</v>
      </c>
      <c r="D3" s="14"/>
      <c r="K3" s="442"/>
    </row>
    <row r="4" spans="1:15">
      <c r="A4" s="807" t="s">
        <v>2653</v>
      </c>
      <c r="D4" s="14"/>
      <c r="H4" s="535"/>
      <c r="K4" s="442"/>
      <c r="O4" s="536"/>
    </row>
    <row r="5" spans="1:15">
      <c r="A5" s="807" t="s">
        <v>2654</v>
      </c>
      <c r="D5" s="14"/>
      <c r="H5" s="535"/>
      <c r="K5" s="442"/>
      <c r="O5" s="536"/>
    </row>
    <row r="6" spans="1:15">
      <c r="A6" s="807" t="s">
        <v>2655</v>
      </c>
      <c r="D6" s="14"/>
      <c r="H6" s="535"/>
      <c r="I6" s="535"/>
      <c r="K6" s="442"/>
      <c r="O6" s="536"/>
    </row>
    <row r="7" spans="1:15">
      <c r="A7" s="807" t="s">
        <v>2655</v>
      </c>
      <c r="D7" s="14"/>
      <c r="H7" s="535"/>
      <c r="I7" s="535"/>
      <c r="K7" s="442"/>
      <c r="O7" s="536"/>
    </row>
    <row r="8" spans="1:15">
      <c r="A8" s="807" t="s">
        <v>2656</v>
      </c>
      <c r="D8" s="14"/>
      <c r="H8" s="535"/>
      <c r="I8" s="535"/>
      <c r="K8" s="442"/>
      <c r="O8" s="536"/>
    </row>
    <row r="9" spans="1:15">
      <c r="A9" s="807" t="s">
        <v>2657</v>
      </c>
      <c r="C9" s="504"/>
      <c r="D9" s="14"/>
      <c r="H9" s="535"/>
      <c r="K9" s="442"/>
      <c r="O9" s="536"/>
    </row>
    <row r="10" spans="1:15">
      <c r="A10" s="807" t="s">
        <v>2658</v>
      </c>
      <c r="D10" s="14"/>
      <c r="H10" s="535"/>
      <c r="I10" s="535"/>
      <c r="K10" s="442"/>
      <c r="O10" s="536"/>
    </row>
    <row r="11" spans="1:15">
      <c r="A11" s="807" t="s">
        <v>2659</v>
      </c>
      <c r="D11" s="14"/>
      <c r="H11" s="535"/>
      <c r="I11" s="535"/>
      <c r="K11" s="442"/>
      <c r="M11" s="535"/>
      <c r="O11" s="536"/>
    </row>
    <row r="12" spans="1:15">
      <c r="A12" s="810" t="s">
        <v>2660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2661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2662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2663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2664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2665</v>
      </c>
      <c r="E17" s="503"/>
      <c r="K17" s="442"/>
      <c r="O17" s="536"/>
    </row>
    <row r="18" spans="1:15">
      <c r="A18" s="575" t="s">
        <v>2666</v>
      </c>
      <c r="K18" s="442"/>
      <c r="O18" s="536"/>
    </row>
    <row r="19" spans="1:15">
      <c r="A19" s="575" t="s">
        <v>2667</v>
      </c>
      <c r="E19" s="503"/>
      <c r="K19" s="442"/>
      <c r="O19" s="536"/>
    </row>
    <row r="20" spans="1:15">
      <c r="A20" s="575" t="s">
        <v>2668</v>
      </c>
      <c r="B20">
        <v>10004123110732</v>
      </c>
      <c r="C20" s="17" t="s">
        <v>393</v>
      </c>
      <c r="D20" s="14" t="s">
        <v>2083</v>
      </c>
      <c r="E20" t="s">
        <v>2669</v>
      </c>
      <c r="F20">
        <v>1510504600</v>
      </c>
      <c r="G20" t="s">
        <v>2670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2083</v>
      </c>
      <c r="N20" t="s">
        <v>2671</v>
      </c>
      <c r="O20" s="536"/>
    </row>
    <row r="21" spans="1:15">
      <c r="A21" s="575" t="s">
        <v>2672</v>
      </c>
      <c r="B21">
        <v>10004123110731</v>
      </c>
      <c r="C21" s="17" t="s">
        <v>393</v>
      </c>
      <c r="D21" t="s">
        <v>2083</v>
      </c>
      <c r="E21" t="s">
        <v>2669</v>
      </c>
      <c r="F21">
        <v>1510515700</v>
      </c>
      <c r="G21" t="s">
        <v>2673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2083</v>
      </c>
      <c r="N21" t="s">
        <v>2671</v>
      </c>
      <c r="O21" s="536"/>
    </row>
    <row r="22" spans="1:15">
      <c r="A22" s="575" t="s">
        <v>2674</v>
      </c>
      <c r="B22">
        <v>10004123110732</v>
      </c>
      <c r="C22" s="17" t="s">
        <v>393</v>
      </c>
      <c r="D22" t="s">
        <v>2083</v>
      </c>
      <c r="E22" s="503" t="s">
        <v>2669</v>
      </c>
      <c r="F22">
        <v>1510515700</v>
      </c>
      <c r="G22" t="s">
        <v>2673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2083</v>
      </c>
      <c r="N22" t="s">
        <v>2671</v>
      </c>
      <c r="O22" s="536"/>
    </row>
    <row r="23" spans="1:15">
      <c r="A23" s="807" t="s">
        <v>2675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2676</v>
      </c>
      <c r="E24" s="503"/>
      <c r="I24">
        <f>SUM(I20:I23)</f>
        <v>1469</v>
      </c>
      <c r="O24" s="536"/>
    </row>
    <row r="25" spans="1:15">
      <c r="A25" s="807" t="s">
        <v>2677</v>
      </c>
      <c r="E25" s="503"/>
      <c r="O25" s="536"/>
    </row>
    <row r="26" spans="1:15">
      <c r="A26" s="807" t="s">
        <v>2678</v>
      </c>
      <c r="O26" s="536"/>
    </row>
    <row r="27" spans="1:15">
      <c r="A27" s="807" t="s">
        <v>2679</v>
      </c>
      <c r="O27" s="536"/>
    </row>
    <row r="28" spans="1:15">
      <c r="A28" s="807" t="s">
        <v>2680</v>
      </c>
      <c r="O28" s="536"/>
    </row>
    <row r="29" spans="1:15">
      <c r="A29" s="807" t="s">
        <v>2680</v>
      </c>
      <c r="I29">
        <f>1628-I24</f>
        <v>159</v>
      </c>
      <c r="O29" s="536"/>
    </row>
    <row r="30" spans="1:15">
      <c r="A30" s="807" t="s">
        <v>2681</v>
      </c>
      <c r="O30" s="536"/>
    </row>
    <row r="31" spans="1:15">
      <c r="A31" s="807" t="s">
        <v>2682</v>
      </c>
      <c r="O31" s="536"/>
    </row>
    <row r="32" spans="1:15">
      <c r="A32" s="807" t="s">
        <v>2683</v>
      </c>
      <c r="O32" s="536"/>
    </row>
    <row r="33" spans="1:15">
      <c r="A33" s="807" t="s">
        <v>2684</v>
      </c>
      <c r="O33" s="536"/>
    </row>
    <row r="34" spans="1:15">
      <c r="A34" s="807" t="s">
        <v>2685</v>
      </c>
      <c r="O34" s="536"/>
    </row>
    <row r="35" spans="1:15">
      <c r="A35" s="807" t="s">
        <v>2686</v>
      </c>
      <c r="O35" s="536"/>
    </row>
    <row r="36" spans="1:15">
      <c r="A36" s="807" t="s">
        <v>2687</v>
      </c>
    </row>
    <row r="37" spans="1:15">
      <c r="A37" s="807" t="s">
        <v>2688</v>
      </c>
    </row>
    <row r="38" spans="1:15">
      <c r="A38" s="807" t="s">
        <v>2689</v>
      </c>
    </row>
    <row r="39" spans="1:15">
      <c r="A39" s="807" t="s">
        <v>2690</v>
      </c>
    </row>
    <row r="40" spans="1:15">
      <c r="A40" s="807" t="s">
        <v>2691</v>
      </c>
    </row>
    <row r="41" spans="1:15">
      <c r="A41" s="807" t="s">
        <v>2692</v>
      </c>
    </row>
    <row r="42" spans="1:15">
      <c r="A42" s="807" t="s">
        <v>2693</v>
      </c>
    </row>
    <row r="43" spans="1:15">
      <c r="A43" s="807" t="s">
        <v>2694</v>
      </c>
    </row>
    <row r="44" spans="1:15">
      <c r="A44" s="807" t="s">
        <v>2694</v>
      </c>
    </row>
    <row r="45" spans="1:15">
      <c r="A45" s="809" t="s">
        <v>2695</v>
      </c>
    </row>
    <row r="46" spans="1:15">
      <c r="A46" s="809" t="s">
        <v>2696</v>
      </c>
    </row>
    <row r="47" spans="1:15">
      <c r="A47" s="807" t="s">
        <v>2697</v>
      </c>
    </row>
    <row r="48" spans="1:15">
      <c r="A48" s="807" t="s">
        <v>2697</v>
      </c>
    </row>
    <row r="49" spans="1:1">
      <c r="A49" s="807" t="s">
        <v>2698</v>
      </c>
    </row>
    <row r="50" spans="1:1">
      <c r="A50" s="807" t="s">
        <v>2699</v>
      </c>
    </row>
    <row r="51" spans="1:1">
      <c r="A51" s="807" t="s">
        <v>2700</v>
      </c>
    </row>
    <row r="52" spans="1:1">
      <c r="A52" s="807" t="s">
        <v>2700</v>
      </c>
    </row>
    <row r="53" spans="1:1">
      <c r="A53" s="807" t="s">
        <v>2701</v>
      </c>
    </row>
    <row r="54" spans="1:1">
      <c r="A54" s="807" t="s">
        <v>2702</v>
      </c>
    </row>
    <row r="55" spans="1:1">
      <c r="A55" s="807" t="s">
        <v>2703</v>
      </c>
    </row>
    <row r="56" spans="1:1">
      <c r="A56" s="807" t="s">
        <v>2704</v>
      </c>
    </row>
    <row r="57" spans="1:1">
      <c r="A57" s="807" t="s">
        <v>2705</v>
      </c>
    </row>
    <row r="58" spans="1:1">
      <c r="A58" s="807" t="s">
        <v>2705</v>
      </c>
    </row>
    <row r="59" spans="1:1">
      <c r="A59" s="807" t="s">
        <v>2706</v>
      </c>
    </row>
    <row r="60" spans="1:1">
      <c r="A60" s="807" t="s">
        <v>2706</v>
      </c>
    </row>
    <row r="61" spans="1:1">
      <c r="A61" s="807" t="s">
        <v>2707</v>
      </c>
    </row>
    <row r="62" spans="1:1">
      <c r="A62" s="807" t="s">
        <v>2708</v>
      </c>
    </row>
    <row r="63" spans="1:1">
      <c r="A63" s="807" t="s">
        <v>2709</v>
      </c>
    </row>
    <row r="64" spans="1:1">
      <c r="A64" s="807" t="s">
        <v>2710</v>
      </c>
    </row>
    <row r="65" spans="1:1">
      <c r="A65" s="807" t="s">
        <v>2711</v>
      </c>
    </row>
    <row r="66" spans="1:1">
      <c r="A66" s="807" t="s">
        <v>2711</v>
      </c>
    </row>
    <row r="67" spans="1:1">
      <c r="A67" s="807" t="s">
        <v>2712</v>
      </c>
    </row>
    <row r="68" spans="1:1">
      <c r="A68" s="807" t="s">
        <v>2713</v>
      </c>
    </row>
    <row r="69" spans="1:1">
      <c r="A69" s="807" t="s">
        <v>2713</v>
      </c>
    </row>
    <row r="70" spans="1:1">
      <c r="A70" s="807" t="s">
        <v>2714</v>
      </c>
    </row>
    <row r="71" spans="1:1">
      <c r="A71" s="807" t="s">
        <v>2714</v>
      </c>
    </row>
    <row r="72" spans="1:1">
      <c r="A72" s="807" t="s">
        <v>2715</v>
      </c>
    </row>
    <row r="73" spans="1:1">
      <c r="A73" s="807" t="s">
        <v>2716</v>
      </c>
    </row>
    <row r="74" spans="1:1">
      <c r="A74" s="807" t="s">
        <v>2717</v>
      </c>
    </row>
    <row r="75" spans="1:1">
      <c r="A75" s="807" t="s">
        <v>2718</v>
      </c>
    </row>
    <row r="76" spans="1:1">
      <c r="A76" s="807" t="s">
        <v>2719</v>
      </c>
    </row>
    <row r="77" spans="1:1">
      <c r="A77" s="807" t="s">
        <v>2720</v>
      </c>
    </row>
    <row r="78" spans="1:1">
      <c r="A78" s="807" t="s">
        <v>2721</v>
      </c>
    </row>
    <row r="79" spans="1:1">
      <c r="A79" s="807" t="s">
        <v>2722</v>
      </c>
    </row>
    <row r="80" spans="1:1">
      <c r="A80" s="807" t="s">
        <v>2723</v>
      </c>
    </row>
    <row r="81" spans="1:1">
      <c r="A81" s="807" t="s">
        <v>2724</v>
      </c>
    </row>
    <row r="82" spans="1:1">
      <c r="A82" s="807" t="s">
        <v>2725</v>
      </c>
    </row>
    <row r="83" spans="1:1">
      <c r="A83" s="807" t="s">
        <v>2726</v>
      </c>
    </row>
    <row r="84" spans="1:1">
      <c r="A84" s="807" t="s">
        <v>2727</v>
      </c>
    </row>
    <row r="85" spans="1:1">
      <c r="A85" s="807" t="s">
        <v>2727</v>
      </c>
    </row>
    <row r="86" spans="1:1">
      <c r="A86" s="807" t="s">
        <v>2728</v>
      </c>
    </row>
    <row r="87" spans="1:1">
      <c r="A87" s="807" t="s">
        <v>2729</v>
      </c>
    </row>
    <row r="88" spans="1:1">
      <c r="A88" s="807" t="s">
        <v>2730</v>
      </c>
    </row>
    <row r="89" spans="1:1">
      <c r="A89" s="807" t="s">
        <v>2731</v>
      </c>
    </row>
    <row r="90" spans="1:1">
      <c r="A90" s="807" t="s">
        <v>2732</v>
      </c>
    </row>
    <row r="91" spans="1:1">
      <c r="A91" s="807" t="s">
        <v>2733</v>
      </c>
    </row>
    <row r="92" spans="1:1">
      <c r="A92" s="807" t="s">
        <v>2734</v>
      </c>
    </row>
    <row r="93" spans="1:1">
      <c r="A93" s="807" t="s">
        <v>2735</v>
      </c>
    </row>
    <row r="94" spans="1:1">
      <c r="A94" s="807" t="s">
        <v>2736</v>
      </c>
    </row>
    <row r="95" spans="1:1">
      <c r="A95" s="807" t="s">
        <v>2737</v>
      </c>
    </row>
    <row r="96" spans="1:1">
      <c r="A96" s="807" t="s">
        <v>2737</v>
      </c>
    </row>
    <row r="97" spans="1:1">
      <c r="A97" s="807" t="s">
        <v>2738</v>
      </c>
    </row>
    <row r="98" spans="1:1">
      <c r="A98" s="807" t="s">
        <v>2738</v>
      </c>
    </row>
    <row r="99" spans="1:1">
      <c r="A99" s="807" t="s">
        <v>2739</v>
      </c>
    </row>
    <row r="100" spans="1:1">
      <c r="A100" s="807" t="s">
        <v>2739</v>
      </c>
    </row>
    <row r="101" spans="1:1">
      <c r="A101" s="807" t="s">
        <v>2740</v>
      </c>
    </row>
    <row r="102" spans="1:1">
      <c r="A102" s="807" t="s">
        <v>2741</v>
      </c>
    </row>
    <row r="103" spans="1:1">
      <c r="A103" s="807" t="s">
        <v>2741</v>
      </c>
    </row>
    <row r="104" spans="1:1">
      <c r="A104" s="807" t="s">
        <v>2742</v>
      </c>
    </row>
    <row r="105" spans="1:1">
      <c r="A105" s="807" t="s">
        <v>2743</v>
      </c>
    </row>
    <row r="106" spans="1:1">
      <c r="A106" s="807" t="s">
        <v>2744</v>
      </c>
    </row>
    <row r="107" spans="1:1">
      <c r="A107" s="807" t="s">
        <v>2744</v>
      </c>
    </row>
    <row r="108" spans="1:1">
      <c r="A108" s="807" t="s">
        <v>2745</v>
      </c>
    </row>
    <row r="109" spans="1:1">
      <c r="A109" s="807" t="s">
        <v>2746</v>
      </c>
    </row>
    <row r="110" spans="1:1">
      <c r="A110" s="807" t="s">
        <v>2746</v>
      </c>
    </row>
    <row r="111" spans="1:1">
      <c r="A111" s="807" t="s">
        <v>2747</v>
      </c>
    </row>
    <row r="112" spans="1:1">
      <c r="A112" s="807" t="s">
        <v>2748</v>
      </c>
    </row>
    <row r="113" spans="1:1">
      <c r="A113" s="807" t="s">
        <v>2749</v>
      </c>
    </row>
    <row r="114" spans="1:1">
      <c r="A114" s="807" t="s">
        <v>2750</v>
      </c>
    </row>
    <row r="115" spans="1:1">
      <c r="A115" s="807" t="s">
        <v>2751</v>
      </c>
    </row>
    <row r="116" spans="1:1">
      <c r="A116" s="807" t="s">
        <v>2752</v>
      </c>
    </row>
    <row r="117" spans="1:1">
      <c r="A117" s="807" t="s">
        <v>2753</v>
      </c>
    </row>
    <row r="118" spans="1:1">
      <c r="A118" s="807" t="s">
        <v>2754</v>
      </c>
    </row>
    <row r="119" spans="1:1">
      <c r="A119" s="807" t="s">
        <v>2755</v>
      </c>
    </row>
    <row r="120" spans="1:1">
      <c r="A120" s="807" t="s">
        <v>2756</v>
      </c>
    </row>
    <row r="121" spans="1:1">
      <c r="A121" s="807" t="s">
        <v>2757</v>
      </c>
    </row>
    <row r="122" spans="1:1">
      <c r="A122" s="807" t="s">
        <v>2758</v>
      </c>
    </row>
    <row r="123" spans="1:1">
      <c r="A123" s="807" t="s">
        <v>2759</v>
      </c>
    </row>
    <row r="124" spans="1:1">
      <c r="A124" s="807" t="s">
        <v>2760</v>
      </c>
    </row>
    <row r="125" spans="1:1">
      <c r="A125" s="807" t="s">
        <v>2761</v>
      </c>
    </row>
    <row r="126" spans="1:1">
      <c r="A126" s="807" t="s">
        <v>2762</v>
      </c>
    </row>
    <row r="127" spans="1:1">
      <c r="A127" s="807" t="s">
        <v>2763</v>
      </c>
    </row>
    <row r="128" spans="1:1">
      <c r="A128" s="807" t="s">
        <v>2764</v>
      </c>
    </row>
    <row r="129" spans="1:1">
      <c r="A129" s="807" t="s">
        <v>2765</v>
      </c>
    </row>
    <row r="130" spans="1:1">
      <c r="A130" s="807" t="s">
        <v>2766</v>
      </c>
    </row>
    <row r="131" spans="1:1">
      <c r="A131" s="807" t="s">
        <v>2767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167F7A21-A4A6-4A3A-8FC4-84BCD9AA430D}"/>
</file>

<file path=customXml/itemProps2.xml><?xml version="1.0" encoding="utf-8"?>
<ds:datastoreItem xmlns:ds="http://schemas.openxmlformats.org/officeDocument/2006/customXml" ds:itemID="{ED3E7500-9517-4E54-8546-4CD0E99EF147}"/>
</file>

<file path=customXml/itemProps3.xml><?xml version="1.0" encoding="utf-8"?>
<ds:datastoreItem xmlns:ds="http://schemas.openxmlformats.org/officeDocument/2006/customXml" ds:itemID="{453401F0-1302-410B-B72E-531641659F2A}"/>
</file>

<file path=customXml/itemProps4.xml><?xml version="1.0" encoding="utf-8"?>
<ds:datastoreItem xmlns:ds="http://schemas.openxmlformats.org/officeDocument/2006/customXml" ds:itemID="{B0D09241-EBB5-49C6-BE7D-B88E3B4BEC81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2026-05-13T07:33:18Z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