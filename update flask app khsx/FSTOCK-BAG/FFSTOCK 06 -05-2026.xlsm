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8A18352D-ED35-45D2-BAB3-908753F6AB95}" xr6:coauthVersionLast="47" xr6:coauthVersionMax="47" xr10:uidLastSave="{00000000-0000-0000-0000-000000000000}"/>
  <bookViews>
    <workbookView xWindow="-120" yWindow="-120" windowWidth="19440" windowHeight="14880" tabRatio="835" firstSheet="3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0" i="630" l="1"/>
  <c r="AQ331" i="785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F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H118" i="630" s="1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36" i="785" l="1"/>
  <c r="H119" i="630"/>
  <c r="H37" i="785"/>
  <c r="H35" i="785"/>
  <c r="H38" i="785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D298" i="630" s="1"/>
  <c r="F59" i="812"/>
  <c r="F63" i="812" s="1"/>
  <c r="F103" i="630"/>
  <c r="F152" i="785"/>
  <c r="B296" i="630" s="1"/>
  <c r="F105" i="630"/>
  <c r="F306" i="630" s="1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M41" i="812" l="1"/>
  <c r="O128" i="630"/>
  <c r="P128" i="630" s="1"/>
  <c r="M330" i="785"/>
  <c r="N330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M12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C296" i="630" s="1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C306" i="630" s="1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D300" i="630" s="1"/>
  <c r="P170" i="785"/>
  <c r="S250" i="785"/>
  <c r="S220" i="785"/>
  <c r="S255" i="785"/>
  <c r="S240" i="785"/>
  <c r="F154" i="785"/>
  <c r="D296" i="630" s="1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<sst xmlns="http://schemas.openxmlformats.org/spreadsheetml/2006/main" count="6993" uniqueCount="2793">
  <si>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</si>
  <si>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</si>
  <si>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</si>
  <si>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</si>
  <si>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</si>
  <si>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</si>
  <si>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</si>
  <si>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</si>
  <si>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</si>
  <si>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</si>
  <si>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</si>
  <si>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</si>
  <si>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</si>
  <si>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</si>
  <si>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</si>
  <si>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</si>
  <si>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</si>
  <si>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</si>
  <si>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</si>
  <si>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</si>
  <si>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</si>
  <si>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</si>
  <si>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</si>
  <si>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</si>
  <si>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</si>
  <si>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</si>
  <si>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</si>
  <si>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</si>
  <si>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</si>
  <si>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</si>
  <si>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</si>
  <si>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</si>
  <si>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</si>
  <si>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</si>
  <si>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</si>
  <si>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</si>
  <si>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</si>
  <si>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</si>
  <si>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</si>
  <si>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</si>
  <si>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</si>
  <si>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</si>
  <si>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</si>
  <si>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</si>
  <si>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</si>
  <si>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</si>
  <si>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</si>
  <si>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</si>
  <si>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</si>
  <si>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</si>
  <si>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</si>
  <si>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</si>
  <si>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</si>
  <si>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</si>
  <si>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</si>
  <si>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</si>
  <si>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</si>
  <si>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</si>
  <si>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</si>
  <si>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</si>
  <si>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</si>
  <si>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</si>
  <si>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</si>
  <si>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</si>
  <si>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</si>
  <si>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</si>
  <si>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</si>
  <si>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</si>
  <si>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</si>
  <si>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</si>
  <si>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</si>
  <si>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</si>
  <si>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</si>
  <si>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</si>
  <si>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</si>
  <si>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</si>
  <si>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</si>
  <si>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</si>
  <si>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</si>
  <si>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</si>
  <si>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</si>
  <si>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</si>
  <si>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</si>
  <si>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</si>
  <si>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</si>
  <si>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</si>
  <si>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</si>
  <si>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</si>
  <si>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</si>
  <si>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</si>
  <si>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</si>
  <si>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</si>
  <si>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</si>
  <si>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</si>
  <si>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</si>
  <si>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</si>
  <si>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</si>
  <si>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</si>
  <si>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</si>
  <si>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</si>
  <si>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</si>
  <si>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</si>
  <si>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</si>
  <si>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</si>
  <si>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</si>
  <si>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</si>
  <si>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</si>
  <si>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</si>
  <si>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</si>
  <si>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</si>
  <si>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</si>
  <si>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</si>
  <si>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</si>
  <si>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</si>
  <si>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</si>
  <si>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</si>
  <si>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</si>
  <si>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</si>
  <si>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</si>
  <si>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</si>
  <si>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</si>
  <si>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</si>
  <si>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</si>
  <si>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</si>
  <si>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</si>
  <si>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</si>
  <si>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</si>
  <si>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</si>
  <si>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</si>
  <si>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</si>
  <si>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</si>
  <si>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</si>
  <si>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</si>
  <si>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</si>
  <si>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</si>
  <si>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</si>
  <si>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</si>
  <si>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</si>
  <si>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</si>
  <si>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</si>
  <si>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</si>
  <si>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</si>
  <si>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</si>
  <si>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</si>
  <si>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</si>
  <si>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</si>
  <si>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</si>
  <si>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</si>
  <si>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</si>
  <si>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</si>
  <si>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</si>
  <si>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</si>
  <si>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</si>
  <si>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</si>
  <si>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</si>
  <si>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</si>
  <si>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</si>
  <si>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</si>
  <si>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</si>
  <si>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</si>
  <si>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</si>
  <si>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</si>
  <si>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</si>
  <si>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</si>
  <si>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</si>
  <si>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</si>
  <si>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</si>
  <si>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</si>
  <si>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</si>
  <si>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</si>
  <si>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</si>
  <si>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</si>
  <si>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</si>
  <si>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</si>
  <si>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</si>
  <si>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</si>
  <si>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</si>
  <si>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</si>
  <si>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</si>
  <si>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</si>
  <si>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</si>
  <si>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</si>
  <si>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</si>
  <si>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</si>
  <si>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</si>
  <si>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</si>
  <si>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</si>
  <si>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</si>
  <si>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</si>
  <si>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</si>
  <si>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</si>
  <si>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</si>
  <si>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</si>
  <si>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</si>
  <si>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</si>
  <si>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</si>
  <si>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</si>
  <si>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</si>
  <si>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</si>
  <si>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</si>
  <si>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</si>
  <si>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</si>
  <si>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</si>
  <si>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</si>
  <si>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</si>
  <si>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</si>
  <si>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</si>
  <si>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</si>
  <si>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</si>
  <si>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</si>
  <si>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</si>
  <si>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</si>
  <si>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</si>
  <si>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</si>
  <si>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</si>
  <si>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</si>
  <si>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</si>
  <si>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</si>
  <si>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</si>
  <si>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</si>
  <si>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</si>
  <si>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</si>
  <si>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</si>
  <si>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</si>
  <si>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</si>
  <si>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</si>
  <si>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</si>
  <si>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</si>
  <si>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</si>
  <si>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</si>
  <si>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</si>
  <si>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</si>
  <si>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</si>
  <si>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</si>
  <si>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</si>
  <si>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</si>
  <si>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</si>
  <si>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</si>
  <si>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</si>
  <si>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</si>
  <si>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</si>
  <si>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</si>
  <si>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</si>
  <si>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</si>
  <si>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</si>
  <si>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</si>
  <si>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</si>
  <si>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</si>
  <si>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</si>
  <si>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</si>
  <si>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</si>
  <si>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</si>
  <si>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</si>
  <si>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</si>
  <si>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</si>
  <si>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</si>
  <si>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</si>
  <si>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</si>
  <si>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</si>
  <si>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</si>
  <si>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</si>
  <si>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</si>
  <si>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</si>
  <si>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</si>
  <si>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</si>
  <si>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</si>
  <si>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</si>
  <si>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</si>
  <si>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</si>
  <si>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</si>
  <si>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</si>
  <si>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</si>
  <si>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</si>
  <si>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</si>
  <si>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</si>
  <si>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</si>
  <si>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</si>
  <si>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</si>
  <si>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</si>
  <si>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</si>
  <si>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</si>
  <si>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</si>
  <si>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</si>
  <si>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</si>
  <si>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</si>
  <si>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</si>
  <si>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</si>
  <si>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</si>
  <si>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</si>
  <si>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</si>
  <si>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</si>
  <si>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</si>
  <si>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</si>
  <si>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</si>
  <si>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</si>
  <si>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</si>
  <si>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</si>
  <si>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</si>
  <si>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</si>
  <si>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</si>
  <si>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</si>
  <si>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</si>
  <si>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</si>
  <si>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</si>
  <si>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</si>
  <si>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</si>
  <si>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</si>
  <si>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</si>
  <si>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</si>
  <si>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</si>
  <si>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</si>
  <si>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</si>
  <si>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</si>
  <si>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</si>
  <si>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</si>
  <si>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</si>
  <si>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</si>
  <si>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</si>
  <si>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</si>
  <si>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</si>
  <si>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</si>
  <si>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</si>
  <si>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</si>
  <si>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</si>
  <si>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</si>
  <si>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</si>
  <si>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</si>
  <si>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</si>
  <si>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</si>
  <si>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</si>
  <si>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</si>
  <si>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</si>
  <si>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</si>
  <si>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</si>
  <si>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</si>
  <si>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</si>
  <si>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</si>
  <si>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</si>
  <si>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</si>
  <si>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</si>
  <si>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</si>
  <si>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</si>
  <si>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</si>
  <si>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</si>
  <si>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</si>
  <si>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</si>
  <si>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</si>
  <si>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</si>
  <si>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</si>
  <si>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</si>
  <si>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</si>
  <si>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</si>
  <si>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</si>
  <si>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</si>
  <si>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</si>
  <si>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</si>
  <si>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</si>
  <si>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</si>
  <si>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</si>
  <si>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</si>
  <si>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</si>
  <si>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</si>
  <si>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</si>
  <si>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</si>
  <si>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</si>
  <si>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</si>
  <si>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</si>
  <si>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</si>
  <si>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</si>
  <si>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</si>
  <si>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</si>
  <si>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</si>
  <si>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</si>
  <si>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</si>
  <si>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</si>
  <si>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</si>
  <si>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</si>
  <si>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</si>
  <si>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</si>
  <si>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</si>
  <si>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</si>
  <si>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</si>
  <si>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</si>
  <si>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</si>
  <si>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</si>
  <si>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</si>
  <si>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</si>
  <si>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</si>
  <si>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</si>
  <si>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</si>
  <si>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</si>
  <si>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</si>
  <si>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</si>
  <si>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</si>
  <si>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</si>
  <si>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</si>
  <si>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</si>
  <si>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</si>
  <si>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</si>
  <si>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</si>
  <si>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</si>
  <si>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</si>
  <si>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</si>
  <si>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</si>
  <si>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</si>
  <si>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</si>
  <si>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</si>
  <si>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</si>
  <si>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</si>
  <si>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</si>
  <si>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</si>
  <si>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</si>
  <si>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</si>
  <si>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</si>
  <si>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</si>
  <si>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</si>
  <si>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</si>
  <si>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</si>
  <si>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</si>
  <si>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</si>
  <si>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</si>
  <si>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</si>
  <si>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</si>
  <si>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</si>
  <si>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</si>
  <si>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</si>
  <si>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</si>
  <si>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</si>
  <si>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</si>
  <si>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</si>
  <si>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</si>
  <si>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</si>
  <si>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</si>
  <si>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</si>
  <si>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</si>
  <si>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</si>
  <si>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</si>
  <si>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</si>
  <si>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</si>
  <si>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</si>
  <si>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</si>
  <si>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</si>
  <si>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</si>
  <si>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</si>
  <si>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</si>
  <si>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</si>
  <si>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</si>
  <si>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</si>
  <si>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</si>
  <si>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</si>
  <si>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</si>
  <si>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</si>
  <si>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</si>
  <si>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</si>
  <si>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</si>
  <si>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</si>
  <si>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</si>
  <si>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</si>
  <si>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</si>
  <si>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</si>
  <si>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</si>
  <si>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</si>
  <si>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</si>
  <si>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</si>
  <si>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</si>
  <si>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</si>
  <si>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</si>
  <si>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</si>
  <si>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</si>
  <si>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</si>
  <si>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</si>
  <si>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</si>
  <si>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</si>
  <si>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</si>
  <si>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</si>
  <si>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</si>
  <si>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06/05/2026</t>
  </si>
  <si>
    <t>SALES (BÁN HÀNG) đến ngày 06/05/2026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</si>
  <si>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</si>
  <si>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</si>
  <si>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</si>
  <si>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</si>
  <si>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</si>
  <si>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</si>
  <si>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</si>
  <si>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</si>
  <si>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</si>
  <si>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</si>
  <si>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</si>
  <si>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</si>
  <si>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</si>
  <si>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</si>
  <si>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</si>
  <si>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</si>
  <si>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</si>
  <si>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</si>
  <si>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</si>
  <si>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</si>
  <si>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</si>
  <si>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</si>
  <si>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</si>
  <si>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</si>
  <si>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</si>
  <si>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</si>
  <si>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</si>
  <si>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</si>
  <si>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</si>
  <si>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</si>
  <si>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</si>
  <si>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</si>
  <si>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</si>
  <si>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</si>
  <si>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</si>
  <si>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</si>
  <si>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</si>
  <si>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</si>
  <si>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</si>
  <si>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</si>
  <si>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</si>
  <si>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</si>
  <si>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</si>
  <si>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</si>
  <si>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</si>
  <si>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</si>
  <si>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</si>
  <si>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</si>
  <si>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</si>
  <si>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</si>
  <si>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</si>
  <si>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</si>
  <si>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</si>
  <si>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</si>
  <si>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</si>
  <si>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</si>
  <si>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</si>
  <si>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</si>
  <si>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</si>
  <si>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</si>
  <si>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</si>
  <si>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</si>
  <si>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</si>
  <si>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</si>
  <si>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</si>
  <si>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</si>
  <si>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</si>
  <si>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</si>
  <si>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</si>
  <si>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</si>
  <si>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</si>
  <si>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</si>
  <si>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</si>
  <si>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</si>
  <si>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</si>
  <si>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</si>
  <si>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</si>
  <si>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</si>
  <si>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</si>
  <si>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</si>
  <si>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</si>
  <si>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</si>
  <si>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</si>
  <si>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</si>
  <si>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</si>
  <si>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</si>
  <si>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</si>
  <si>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</si>
  <si>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</si>
  <si>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</si>
  <si>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</si>
  <si>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</si>
  <si>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</si>
  <si>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</si>
  <si>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</si>
  <si>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</si>
  <si>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</si>
  <si>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</si>
  <si>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</si>
  <si>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</si>
  <si>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</si>
  <si>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</si>
  <si>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</si>
  <si>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</si>
  <si>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</si>
  <si>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</si>
  <si>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</si>
  <si>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</si>
  <si>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</si>
  <si>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</si>
  <si>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</si>
  <si>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</si>
  <si>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</si>
  <si>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</si>
  <si>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</si>
  <si>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</si>
  <si>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</si>
  <si>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</si>
  <si>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</si>
  <si>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</si>
  <si>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</si>
  <si>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</si>
  <si>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</si>
  <si>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</si>
  <si>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</si>
  <si>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</si>
  <si>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</si>
  <si>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</si>
  <si>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</si>
  <si>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</si>
  <si>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</si>
  <si>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</si>
  <si>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</si>
  <si>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</si>
  <si>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</si>
  <si>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</si>
  <si>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</si>
  <si>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</si>
  <si>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</si>
  <si>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</si>
  <si>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</si>
  <si>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</si>
  <si>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</si>
  <si>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</si>
  <si>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</si>
  <si>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</si>
  <si>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</si>
  <si>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</si>
  <si>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</si>
  <si>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</si>
  <si>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</si>
  <si>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</si>
  <si>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</si>
  <si>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</si>
  <si>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</si>
  <si>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</si>
  <si>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</si>
  <si>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</si>
  <si>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</si>
  <si>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</si>
  <si>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</si>
  <si>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</si>
  <si>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</si>
  <si>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</si>
  <si>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</si>
  <si>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</si>
  <si>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</si>
  <si>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</si>
  <si>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</si>
  <si>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</si>
  <si>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</si>
  <si>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</si>
  <si>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</si>
  <si>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</si>
  <si>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</si>
  <si>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</si>
  <si>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</si>
  <si>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</si>
  <si>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</si>
  <si>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</si>
  <si>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</si>
  <si>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</si>
  <si>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</si>
  <si>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</si>
  <si>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</si>
  <si>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</si>
  <si>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</si>
  <si>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</si>
  <si>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</si>
  <si>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</si>
  <si>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</si>
  <si>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</si>
  <si>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</si>
  <si>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</si>
  <si>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</si>
  <si>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</si>
  <si>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</si>
  <si>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</si>
  <si>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</si>
  <si>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</si>
  <si>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</si>
  <si>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</si>
  <si>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</si>
  <si>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</si>
  <si>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</si>
  <si>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</si>
  <si>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</si>
  <si>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</si>
  <si>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</si>
  <si>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</si>
  <si>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</si>
  <si>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</si>
  <si>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</si>
  <si>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</si>
  <si>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</si>
  <si>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</si>
  <si>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</si>
  <si>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</si>
  <si>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</si>
  <si>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</si>
  <si>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</si>
  <si>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</si>
  <si>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</si>
  <si>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</si>
  <si>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</si>
  <si>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</si>
  <si>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</si>
  <si>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</si>
  <si>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</si>
  <si>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</si>
  <si>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</si>
  <si>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</si>
  <si>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</si>
  <si>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</si>
  <si>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</si>
  <si>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</si>
  <si>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</si>
  <si>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</si>
  <si>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</si>
  <si>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</si>
  <si>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</si>
  <si>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</si>
  <si>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</si>
  <si>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</si>
  <si>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</si>
  <si>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</si>
  <si>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</si>
  <si>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</si>
  <si>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</si>
  <si>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</si>
  <si>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</si>
  <si>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</si>
  <si>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</si>
  <si>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</si>
  <si>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</si>
  <si>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</si>
  <si>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</si>
  <si>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</si>
  <si>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</si>
  <si>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</si>
  <si>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</si>
  <si>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</si>
  <si>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</si>
  <si>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</si>
  <si>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</si>
  <si>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</si>
  <si>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</si>
  <si>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</si>
  <si>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</si>
  <si>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</si>
  <si>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</si>
  <si>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</si>
  <si>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</si>
  <si>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</si>
  <si>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</si>
  <si>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</si>
  <si>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</si>
  <si>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</si>
  <si>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</si>
  <si>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</si>
  <si>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</si>
  <si>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</si>
  <si>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</si>
  <si>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</si>
  <si>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</si>
  <si>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</si>
  <si>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</si>
  <si>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</si>
  <si>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</si>
  <si>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</si>
  <si>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</si>
  <si>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</si>
  <si>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</si>
  <si>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</si>
  <si>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</si>
  <si>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</si>
  <si>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</si>
  <si>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</si>
  <si>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</si>
  <si>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</si>
  <si>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</si>
  <si>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</si>
  <si>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</si>
  <si>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</si>
  <si>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</si>
  <si>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</si>
  <si>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</si>
  <si>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</si>
  <si>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</si>
  <si>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</si>
  <si>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</si>
  <si>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</si>
  <si>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</si>
  <si>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</si>
  <si>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</si>
  <si>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</si>
  <si>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</si>
  <si>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</si>
  <si>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</si>
  <si>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</si>
  <si>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</si>
  <si>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</si>
  <si>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</si>
  <si>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</si>
  <si>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</si>
  <si>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</si>
  <si>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</si>
  <si>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</si>
  <si>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</si>
  <si>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</si>
  <si>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</si>
  <si>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</si>
  <si>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</si>
  <si>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</si>
  <si>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</si>
  <si>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</si>
  <si>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</si>
  <si>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</si>
  <si>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</si>
  <si>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</si>
  <si>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</si>
  <si>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</si>
  <si>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</si>
  <si>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</si>
  <si>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</si>
  <si>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</si>
  <si>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</si>
  <si>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</si>
  <si>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</si>
  <si>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</si>
  <si>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</si>
  <si>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</si>
  <si>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</si>
  <si>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</si>
  <si>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</si>
  <si>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</si>
  <si>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</si>
  <si>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</si>
  <si>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</si>
  <si>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</si>
  <si>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</si>
  <si>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</si>
  <si>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</si>
  <si>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</si>
  <si>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</si>
  <si>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</si>
  <si>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</si>
  <si>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</si>
  <si>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</si>
  <si>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</si>
  <si>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</si>
  <si>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</si>
  <si>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</si>
  <si>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</si>
  <si>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</si>
  <si>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</si>
  <si>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</si>
  <si>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</si>
  <si>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</si>
  <si>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</si>
  <si>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</si>
  <si>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</si>
  <si>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</si>
  <si>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</si>
  <si>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</si>
  <si>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</si>
  <si>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</si>
  <si>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</si>
  <si>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</si>
  <si>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</si>
  <si>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</si>
  <si>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</si>
  <si>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</si>
  <si>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</si>
  <si>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</si>
  <si>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</si>
  <si>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</si>
  <si>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</si>
  <si>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</si>
  <si>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</si>
  <si>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</si>
  <si>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</si>
  <si>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</si>
  <si>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</si>
  <si>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</si>
  <si>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</si>
  <si>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</si>
  <si>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</si>
  <si>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</si>
  <si>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</si>
  <si>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</si>
  <si>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</si>
  <si>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</si>
  <si>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</si>
  <si>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</si>
  <si>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</si>
  <si>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</si>
  <si>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</si>
  <si>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</si>
  <si>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</si>
  <si>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</si>
  <si>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</si>
  <si>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</si>
  <si>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</si>
  <si>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</si>
  <si>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</si>
  <si>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</si>
  <si>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</si>
  <si>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</si>
  <si>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</si>
  <si>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</si>
  <si>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</si>
  <si>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</si>
  <si>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</si>
  <si>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</si>
  <si>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</si>
  <si>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</si>
  <si>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</si>
  <si>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</si>
  <si>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</si>
  <si>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</si>
  <si>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</si>
  <si>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</si>
  <si>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</si>
  <si>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</si>
  <si>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</si>
  <si>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</si>
  <si>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</si>
  <si>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</si>
  <si>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</si>
  <si>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</si>
  <si>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</si>
  <si>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</si>
  <si>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</si>
  <si>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</si>
  <si>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</si>
  <si>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</si>
  <si>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</si>
  <si>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</si>
  <si>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</si>
  <si>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</si>
  <si>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</si>
  <si>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</si>
  <si>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</si>
  <si>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</si>
  <si>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</si>
  <si>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</si>
  <si>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</si>
  <si>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</si>
  <si>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</si>
  <si>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</si>
  <si>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</si>
  <si>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</si>
  <si>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</si>
  <si>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</si>
  <si>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</si>
  <si>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</si>
  <si>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</si>
  <si>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</si>
  <si>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</si>
  <si>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</si>
  <si>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</si>
  <si>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</si>
  <si>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</si>
  <si>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</si>
  <si>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</si>
  <si>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</si>
  <si>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</si>
  <si>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</si>
  <si>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</si>
  <si>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</si>
  <si>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</si>
  <si>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</si>
  <si>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</si>
  <si>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</si>
  <si>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</si>
  <si>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</si>
  <si>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</si>
  <si>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</si>
  <si>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</si>
  <si>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</si>
  <si>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</si>
  <si>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</si>
  <si>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</si>
  <si>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</si>
  <si>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</si>
  <si>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</si>
  <si>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</si>
  <si>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</si>
  <si>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</si>
  <si>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</si>
  <si>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</si>
  <si>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</si>
  <si>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</si>
  <si>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</si>
  <si>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</si>
  <si>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</si>
  <si>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</si>
  <si>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</si>
  <si>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</si>
  <si>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</si>
  <si>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</si>
  <si>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</si>
  <si>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</si>
  <si>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</si>
  <si>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</si>
  <si>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</si>
  <si>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</si>
  <si>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</si>
  <si>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</si>
  <si>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</si>
  <si>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</si>
  <si>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</si>
  <si>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</si>
  <si>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</si>
  <si>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</si>
  <si>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</si>
  <si>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</si>
  <si>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</si>
  <si>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</si>
  <si>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</si>
  <si>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</si>
  <si>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</si>
  <si>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</si>
  <si>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</si>
  <si>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</si>
  <si>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</si>
  <si>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</si>
  <si>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</si>
  <si>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</si>
  <si>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</si>
  <si>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</si>
  <si>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</si>
  <si>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</si>
  <si>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</si>
  <si>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</si>
  <si>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</si>
  <si>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</si>
  <si>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</si>
  <si>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</si>
  <si>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</si>
  <si>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</si>
  <si>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</si>
  <si>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</si>
  <si>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</si>
  <si>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</si>
  <si>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</si>
  <si>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</si>
  <si>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</si>
  <si>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</si>
  <si>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</si>
  <si>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</si>
  <si>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</si>
  <si>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</si>
  <si>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</si>
  <si>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</si>
  <si>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</si>
  <si>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</si>
  <si>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</si>
  <si>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</si>
  <si>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</si>
  <si>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</si>
  <si>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</si>
  <si>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</si>
  <si>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</si>
  <si>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</si>
  <si>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</si>
  <si>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</si>
  <si>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</si>
  <si>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</si>
  <si>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</si>
  <si>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</si>
  <si>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</si>
  <si>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</si>
  <si>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</si>
  <si>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</si>
  <si>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</si>
  <si>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</si>
  <si>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</si>
  <si>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</si>
  <si>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</si>
  <si>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</si>
  <si>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</si>
  <si>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</si>
  <si>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</si>
  <si>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</si>
  <si>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</si>
  <si>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</si>
  <si>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</si>
  <si>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</si>
  <si>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</si>
  <si>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</si>
  <si>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</si>
  <si>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</si>
  <si>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</si>
  <si>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</si>
  <si>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</si>
  <si>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</si>
  <si>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</si>
  <si>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</si>
  <si>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</si>
  <si>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</si>
  <si>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</si>
  <si>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</si>
  <si>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</si>
  <si>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</si>
  <si>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</si>
  <si>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</si>
  <si>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</si>
  <si>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</si>
  <si>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</si>
  <si>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</si>
  <si>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</si>
  <si>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</si>
  <si>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</si>
  <si>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</si>
  <si>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</si>
  <si>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</si>
  <si>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</si>
  <si>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</si>
  <si>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</si>
  <si>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</si>
  <si>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</si>
  <si>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</si>
  <si>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</si>
  <si>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</si>
  <si>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</si>
  <si>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</si>
  <si>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</si>
  <si>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</si>
  <si>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</si>
  <si>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</si>
  <si>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</si>
  <si>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</si>
  <si>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</si>
  <si>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</si>
  <si>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</si>
  <si>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</si>
  <si>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</si>
  <si>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</si>
  <si>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</si>
  <si>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</si>
  <si>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</si>
  <si>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</si>
  <si>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</si>
  <si>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</si>
  <si>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</si>
  <si>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</si>
  <si>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</si>
  <si>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</si>
  <si>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</si>
  <si>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</si>
  <si>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</si>
  <si>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</si>
  <si>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</si>
  <si>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</si>
  <si>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</si>
  <si>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</si>
  <si>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</si>
  <si>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</si>
  <si>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</si>
  <si>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</si>
  <si>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</si>
  <si>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</si>
  <si>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</si>
  <si>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</si>
  <si>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</si>
  <si>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</si>
  <si>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</si>
  <si>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</si>
  <si>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</si>
  <si>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</si>
  <si>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</si>
  <si>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</si>
  <si>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</si>
  <si>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</si>
  <si>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</si>
  <si>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</si>
  <si>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</si>
  <si>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</si>
  <si>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</si>
  <si>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</si>
  <si>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</si>
  <si>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</si>
  <si>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</si>
  <si>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</si>
  <si>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</si>
  <si>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</si>
  <si>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</si>
  <si>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</si>
  <si>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</si>
  <si>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</si>
  <si>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</si>
  <si>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</si>
  <si>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</si>
  <si>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</si>
  <si>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</si>
  <si>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</si>
  <si>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</si>
  <si>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</si>
  <si>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</si>
  <si>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</si>
  <si>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</si>
  <si>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</si>
  <si>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</si>
  <si>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</si>
  <si>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</si>
  <si>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</si>
  <si>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</si>
  <si>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</si>
  <si>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</si>
  <si>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</si>
  <si>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</si>
  <si>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</si>
  <si>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</si>
  <si>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</si>
  <si>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</si>
  <si>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</si>
  <si>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</si>
  <si>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</si>
  <si>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</si>
  <si>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</si>
  <si>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</si>
  <si>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</si>
  <si>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</si>
  <si>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</si>
  <si>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</si>
  <si>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</si>
  <si>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</si>
  <si>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</si>
  <si>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</si>
  <si>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</si>
  <si>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</si>
  <si>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</si>
  <si>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</si>
  <si>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</si>
  <si>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</si>
  <si>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</si>
  <si>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</si>
  <si>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</si>
  <si>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</si>
  <si>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</si>
  <si>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</si>
  <si>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</si>
  <si>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</si>
  <si>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</si>
  <si>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</si>
  <si>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</si>
  <si>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</si>
  <si>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</si>
  <si>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</si>
  <si>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</si>
  <si>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</si>
  <si>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</si>
  <si>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</si>
  <si>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</si>
  <si>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</si>
  <si>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</si>
  <si>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</si>
  <si>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</si>
  <si>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</si>
  <si>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</si>
  <si>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</si>
  <si>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</si>
  <si>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</si>
  <si>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</si>
  <si>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</si>
  <si>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</si>
  <si>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</si>
  <si>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</si>
  <si>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</si>
  <si>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</si>
  <si>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</si>
  <si>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</si>
  <si>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</si>
  <si>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</si>
  <si>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</si>
  <si>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</si>
  <si>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</si>
  <si>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</si>
  <si>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</si>
  <si>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</si>
  <si>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</si>
  <si>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</si>
  <si>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</si>
  <si>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</si>
  <si>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</si>
  <si>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</si>
  <si>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</si>
  <si>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</si>
  <si>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</si>
  <si>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</si>
  <si>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</si>
  <si>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</si>
  <si>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</si>
  <si>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</si>
  <si>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</si>
  <si>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</si>
  <si>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</si>
  <si>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</si>
  <si>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</si>
  <si>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</si>
  <si>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</si>
  <si>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</si>
  <si>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</si>
  <si>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</si>
  <si>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</si>
  <si>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</si>
  <si>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</si>
  <si>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</si>
  <si>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</si>
  <si>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</si>
  <si>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</si>
  <si>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</si>
  <si>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</si>
  <si>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</si>
  <si>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</si>
  <si>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</si>
  <si>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</si>
  <si>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</si>
  <si>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</si>
  <si>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</si>
  <si>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</si>
  <si>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</si>
  <si>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</si>
  <si>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</si>
  <si>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</si>
  <si>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</si>
  <si>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</si>
  <si>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</si>
  <si>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</si>
  <si>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</si>
  <si>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</si>
  <si>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</si>
  <si>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</si>
  <si>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</si>
  <si>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</si>
  <si>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</si>
  <si>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</si>
  <si>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</si>
  <si>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</si>
  <si>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</si>
  <si>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</si>
  <si>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</si>
  <si>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</si>
  <si>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</si>
  <si>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</si>
  <si>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</si>
  <si>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</si>
  <si>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</si>
  <si>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</si>
  <si>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</si>
  <si>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</si>
  <si>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</si>
  <si>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</si>
  <si>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</si>
  <si>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</si>
  <si>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</si>
  <si>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</si>
  <si>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</si>
  <si>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</si>
  <si>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</si>
  <si>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</si>
  <si>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</si>
  <si>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</si>
  <si>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</si>
  <si>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</si>
  <si>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</si>
  <si>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</si>
  <si>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</si>
  <si>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</si>
  <si>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</si>
  <si>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</si>
  <si>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</si>
  <si>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</si>
  <si>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</si>
  <si>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</si>
  <si>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</si>
  <si>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</si>
  <si>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</si>
  <si>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</si>
  <si>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</si>
  <si>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</si>
  <si>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</si>
  <si>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</si>
  <si>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</si>
  <si>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</si>
  <si>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</si>
  <si>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</si>
  <si>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</si>
  <si>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</si>
  <si>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</si>
  <si>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</si>
  <si>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</si>
  <si>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</si>
  <si>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</si>
  <si>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</si>
  <si>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</si>
  <si>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</si>
  <si>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</si>
  <si>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</si>
  <si>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</si>
  <si>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</si>
  <si>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</si>
  <si>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</si>
  <si>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</si>
  <si>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</si>
  <si>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</si>
  <si>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</si>
  <si>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</si>
  <si>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</si>
  <si>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</si>
  <si>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</si>
  <si>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</si>
  <si>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</si>
  <si>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</si>
  <si>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</si>
  <si>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</si>
  <si>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</si>
  <si>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</si>
  <si>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</si>
  <si>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</si>
  <si>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</si>
  <si>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</si>
  <si>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</si>
  <si>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</si>
  <si>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</si>
  <si>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</si>
  <si>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</si>
  <si>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</si>
  <si>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</si>
  <si>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</si>
  <si>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</si>
  <si>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</si>
  <si>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</si>
  <si>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</si>
  <si>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</si>
  <si>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</si>
  <si>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</si>
  <si>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</si>
  <si>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</si>
  <si>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</si>
  <si>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</si>
  <si>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</si>
  <si>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</si>
  <si>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</si>
  <si>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</si>
  <si>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</si>
  <si>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</si>
  <si>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</si>
  <si>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</si>
  <si>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</si>
  <si>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</si>
  <si>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</si>
  <si>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</si>
  <si>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</si>
  <si>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</si>
  <si>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</si>
  <si>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</si>
  <si>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</si>
  <si>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</si>
  <si>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</si>
  <si>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</si>
  <si>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</si>
  <si>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</si>
  <si>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</si>
  <si>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</si>
  <si>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</si>
  <si>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</si>
  <si>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</si>
  <si>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</si>
  <si>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</si>
  <si>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</si>
  <si>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</si>
  <si>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</si>
  <si>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</si>
  <si>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</si>
  <si>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</si>
  <si>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</si>
  <si>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</si>
  <si>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</si>
  <si>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</si>
  <si>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</si>
  <si>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</si>
  <si>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</si>
  <si>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</si>
  <si>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</si>
  <si>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</si>
  <si>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</si>
  <si>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</si>
  <si>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</si>
  <si>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</si>
  <si>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</si>
  <si>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</si>
  <si>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</si>
  <si>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</si>
  <si>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</si>
  <si>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</si>
  <si>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</si>
  <si>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</si>
  <si>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</si>
  <si>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</si>
  <si>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</si>
  <si>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</si>
  <si>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</si>
  <si>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</si>
  <si>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</si>
  <si>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</si>
  <si>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</si>
  <si>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</si>
  <si>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</si>
  <si>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</si>
  <si>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</si>
  <si>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</si>
  <si>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</si>
  <si>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</si>
  <si>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</si>
  <si>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</si>
  <si>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</si>
  <si>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</si>
  <si>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</si>
  <si>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</si>
  <si>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</si>
  <si>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</si>
  <si>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</si>
  <si>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</si>
  <si>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</si>
  <si>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</si>
  <si>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</si>
  <si>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</si>
  <si>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</si>
  <si>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</si>
  <si>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</si>
  <si>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</si>
  <si>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</si>
  <si>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</si>
  <si>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</si>
  <si>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</si>
  <si>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</si>
  <si>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</si>
  <si>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</si>
  <si>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</si>
  <si>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</si>
  <si>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</si>
  <si>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</si>
  <si>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</si>
  <si>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</si>
  <si>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</si>
  <si>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</si>
  <si>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</si>
  <si>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</si>
  <si>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</si>
  <si>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</si>
  <si>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</si>
  <si>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</si>
  <si>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</si>
  <si>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</si>
  <si>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</si>
  <si>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</si>
  <si>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</si>
  <si>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</si>
  <si>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</si>
  <si>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</si>
  <si>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</si>
  <si>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</si>
  <si>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</si>
  <si>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</si>
  <si>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</si>
  <si>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</si>
  <si>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</si>
  <si>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</si>
  <si>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</si>
  <si>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</si>
  <si>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</si>
  <si>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</si>
  <si>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</si>
  <si>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</si>
  <si>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</si>
  <si>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</si>
  <si>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</si>
  <si>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</si>
  <si>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</si>
  <si>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</si>
  <si>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</si>
  <si>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</si>
  <si>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</si>
  <si>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</si>
  <si>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</si>
  <si>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</si>
  <si>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</si>
  <si>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</si>
  <si>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</si>
  <si>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</si>
  <si>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</si>
  <si>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</si>
  <si>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</si>
  <si>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</si>
  <si>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</si>
  <si>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</si>
  <si>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</si>
  <si>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</si>
  <si>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</si>
  <si>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</si>
  <si>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</si>
  <si>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</si>
  <si>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</si>
  <si>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</si>
  <si>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</si>
  <si>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</si>
  <si>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</si>
  <si>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</si>
  <si>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</si>
  <si>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</si>
  <si>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</si>
  <si>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</si>
  <si>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</si>
  <si>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</si>
  <si>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</si>
  <si>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</si>
  <si>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</si>
  <si>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</si>
  <si>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</si>
  <si>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</si>
  <si>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</si>
  <si>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</si>
  <si>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</si>
  <si>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</si>
  <si>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</si>
  <si>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</si>
  <si>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</si>
  <si>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</si>
  <si>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</si>
  <si>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</si>
  <si>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</si>
  <si>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</si>
  <si>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</si>
  <si>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</si>
  <si>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</si>
  <si>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</si>
  <si>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</si>
  <si>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</si>
  <si>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</si>
  <si>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</si>
  <si>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</si>
  <si>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</si>
  <si>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</si>
  <si>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</si>
  <si>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</si>
  <si>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</si>
  <si>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</si>
  <si>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</si>
  <si>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</si>
  <si>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</si>
  <si>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</si>
  <si>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</si>
  <si>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</si>
  <si>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</si>
  <si>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</si>
  <si>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</si>
  <si>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</si>
  <si>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</si>
  <si>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</si>
  <si>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</si>
  <si>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</si>
  <si>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</si>
  <si>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</si>
  <si>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</si>
  <si>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</si>
  <si>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</si>
  <si>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</si>
  <si>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</si>
  <si>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</si>
  <si>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</si>
  <si>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</si>
  <si>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</si>
  <si>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</si>
  <si>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</si>
  <si>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</si>
  <si>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</si>
  <si>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</si>
  <si>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</si>
  <si>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</si>
  <si>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</si>
  <si>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</si>
  <si>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</si>
  <si>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</si>
  <si>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</si>
  <si>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</si>
  <si>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</si>
  <si>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</si>
  <si>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</si>
  <si>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</si>
  <si>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</si>
  <si>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</si>
  <si>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</si>
  <si>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</si>
  <si>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</si>
  <si>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</si>
  <si>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</si>
  <si>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</si>
  <si>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</si>
  <si>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</si>
  <si>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</si>
  <si>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</si>
  <si>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</si>
  <si>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</si>
  <si>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</si>
  <si>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</si>
  <si>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</si>
  <si>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</si>
  <si>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</si>
  <si>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</si>
  <si>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</si>
  <si>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</si>
  <si>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</si>
  <si>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</si>
  <si>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</si>
  <si>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</si>
  <si>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</si>
  <si>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</si>
  <si>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</si>
  <si>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</si>
  <si>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</si>
  <si>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</si>
  <si>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</si>
  <si>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</si>
  <si>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</si>
  <si>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</si>
  <si>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</si>
  <si>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</si>
  <si>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</si>
  <si>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</si>
  <si>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</si>
  <si>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</si>
  <si>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</si>
  <si>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</si>
  <si>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</si>
  <si>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</si>
  <si>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</si>
  <si>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</si>
  <si>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</si>
  <si>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</si>
  <si>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</si>
  <si>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</si>
  <si>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</si>
  <si>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</si>
  <si>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</si>
  <si>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</si>
  <si>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</si>
  <si>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</si>
  <si>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</si>
  <si>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</si>
  <si>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</si>
  <si>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</si>
  <si>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</si>
  <si>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</si>
  <si>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</si>
  <si>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</si>
  <si>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</si>
  <si>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</si>
  <si>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</si>
  <si>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</si>
  <si>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</si>
  <si>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</si>
  <si>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</si>
  <si>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</si>
  <si>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</si>
  <si>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</si>
  <si>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</si>
  <si>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</si>
  <si>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</si>
  <si>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</si>
  <si>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</si>
  <si>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</si>
  <si>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</si>
  <si>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</si>
  <si>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</si>
  <si>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</si>
  <si>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</si>
  <si>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</si>
  <si>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</si>
  <si>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</si>
  <si>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</si>
  <si>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</si>
  <si>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</si>
  <si>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</si>
  <si>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</si>
  <si>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</si>
  <si>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</si>
  <si>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</si>
  <si>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</si>
  <si>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</si>
  <si>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</si>
  <si>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</si>
  <si>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</si>
  <si>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</si>
  <si>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</si>
  <si>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</si>
  <si>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</si>
  <si>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</si>
  <si>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</si>
  <si>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</si>
  <si>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</si>
  <si>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</si>
  <si>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</si>
  <si>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</si>
  <si>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</si>
  <si>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</si>
  <si>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</si>
  <si>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</si>
  <si>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</si>
  <si>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</si>
  <si>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</si>
  <si>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</si>
  <si>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</si>
  <si>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</si>
  <si>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</si>
  <si>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</si>
  <si>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</si>
  <si>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</si>
  <si>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</si>
  <si>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</si>
  <si>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</si>
  <si>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</si>
  <si>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</si>
  <si>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</si>
  <si>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</si>
  <si>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</si>
  <si>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</si>
  <si>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</si>
  <si>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</si>
  <si>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</si>
  <si>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</si>
  <si>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</si>
  <si>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</si>
  <si>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</si>
  <si>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</si>
  <si>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</si>
  <si>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</si>
  <si>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</si>
  <si>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</si>
  <si>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</si>
  <si>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</si>
  <si>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</si>
  <si>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</si>
  <si>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</si>
  <si>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</si>
  <si>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</si>
  <si>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</si>
  <si>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</si>
  <si>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</si>
  <si>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</si>
  <si>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</si>
  <si>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</si>
  <si>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</si>
  <si>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</si>
  <si>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</si>
  <si>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</si>
  <si>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</si>
  <si>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</si>
  <si>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</si>
  <si>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</si>
  <si>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</si>
  <si>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</si>
  <si>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</si>
  <si>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</si>
  <si>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</si>
  <si>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</si>
  <si>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</si>
  <si>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</si>
  <si>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</si>
  <si>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</si>
  <si>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</si>
  <si>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</si>
  <si>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</si>
  <si>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</si>
  <si>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</si>
  <si>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</si>
  <si>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</si>
  <si>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</si>
  <si>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</si>
  <si>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</si>
  <si>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</si>
  <si>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</si>
  <si>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</si>
  <si>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</si>
  <si>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</si>
  <si>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</si>
  <si>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</si>
  <si>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</si>
  <si>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</si>
  <si>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</si>
  <si>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</si>
  <si>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</si>
  <si>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</si>
  <si>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</si>
  <si>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</si>
  <si>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</si>
  <si>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</si>
  <si>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</si>
  <si>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</si>
  <si>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</si>
  <si>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</si>
  <si>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</si>
  <si>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</si>
  <si>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</si>
  <si>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</si>
  <si>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</si>
  <si>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</si>
  <si>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</si>
  <si>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</si>
  <si>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</si>
  <si>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</si>
  <si>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</si>
  <si>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</si>
  <si>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</si>
  <si>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</si>
  <si>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</si>
  <si>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</si>
  <si>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</si>
  <si>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</si>
  <si>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</si>
  <si>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</si>
  <si>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</si>
  <si>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</si>
  <si>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</si>
  <si>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</si>
  <si>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</si>
  <si>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</si>
  <si>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</si>
  <si>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</si>
  <si>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</si>
  <si>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</si>
  <si>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</si>
  <si>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</si>
  <si>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</si>
  <si>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</si>
  <si>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</si>
  <si>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</si>
  <si>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</si>
  <si>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</si>
  <si>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</si>
  <si>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</si>
  <si>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</si>
  <si>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</si>
  <si>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</si>
  <si>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</si>
  <si>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</si>
  <si>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</si>
  <si>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</si>
  <si>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</si>
  <si>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</si>
  <si>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</si>
  <si>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</si>
  <si>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</si>
  <si>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</si>
  <si>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</si>
  <si>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</si>
  <si>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</si>
  <si>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</si>
  <si>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</si>
  <si>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</si>
  <si>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</si>
  <si>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</si>
  <si>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</si>
  <si>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</si>
  <si>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</si>
  <si>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</si>
  <si>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</si>
  <si>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</si>
  <si>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</si>
  <si>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</si>
  <si>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</si>
  <si>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</si>
  <si>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</si>
  <si>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</si>
  <si>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</si>
  <si>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</si>
  <si>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</si>
  <si>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</si>
  <si>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</si>
  <si>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</si>
  <si>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</si>
  <si>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</si>
  <si>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</si>
  <si>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</si>
  <si>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</si>
  <si>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</si>
  <si>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</si>
  <si>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</si>
  <si>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</si>
  <si>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</si>
  <si>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</si>
  <si>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</si>
  <si>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</si>
  <si>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</si>
  <si>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</si>
  <si>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</si>
  <si>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</si>
  <si>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</si>
  <si>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</si>
  <si>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</si>
  <si>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</si>
  <si>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</si>
  <si>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</si>
  <si>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</si>
  <si>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</si>
  <si>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</si>
  <si>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</si>
  <si>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</si>
  <si>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</si>
  <si>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</si>
  <si>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</si>
  <si>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</si>
  <si>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</si>
  <si>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</si>
  <si>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</si>
  <si>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</si>
  <si>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</si>
  <si>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</si>
  <si>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</si>
  <si>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</si>
  <si>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</si>
  <si>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</si>
  <si>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</si>
  <si>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</si>
  <si>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</si>
  <si>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</si>
  <si>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</si>
  <si>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</si>
  <si>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</si>
  <si>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</si>
  <si>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</si>
  <si>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</si>
  <si>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</si>
  <si>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</si>
  <si>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</si>
  <si>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</si>
  <si>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</si>
  <si>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</si>
  <si>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</si>
  <si>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</si>
  <si>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</si>
  <si>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</si>
  <si>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</si>
  <si>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</si>
  <si>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</si>
  <si>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</si>
  <si>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</si>
  <si>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</si>
  <si>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</si>
  <si>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</si>
  <si>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</si>
  <si>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</si>
  <si>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</si>
  <si>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</si>
  <si>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</si>
  <si>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</si>
  <si>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</si>
  <si>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</si>
  <si>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</si>
  <si>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</si>
  <si>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</si>
  <si>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</si>
  <si>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</si>
  <si>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</si>
  <si>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</si>
  <si>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</si>
  <si>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</si>
  <si>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</si>
  <si>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</si>
  <si>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</si>
  <si>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TA# 511L (25Kg)</t>
  </si>
  <si>
    <t>TA# 510M (25Kg)</t>
  </si>
  <si>
    <t>TA# 301 (25Kg)</t>
  </si>
  <si>
    <t>TA# 549F (50Kg)</t>
  </si>
  <si>
    <t>TA#  550PF  (10KG)</t>
  </si>
  <si>
    <t>TA# 552SF (50KG)</t>
  </si>
  <si>
    <t>P92</t>
  </si>
  <si>
    <t>TA# 511NF (50kg)</t>
  </si>
  <si>
    <t>S13</t>
  </si>
  <si>
    <t>S54</t>
  </si>
  <si>
    <t>TA# 548F(50Kg)</t>
  </si>
  <si>
    <t>TA# 553 (25Kg)</t>
  </si>
  <si>
    <t>TA# 552S (25Kg)</t>
  </si>
  <si>
    <t>TA# 551 (25kg)</t>
  </si>
  <si>
    <t>TA# 567S (25Kg)</t>
  </si>
  <si>
    <t>TA# 548 (25Kg)</t>
  </si>
  <si>
    <t>TA# HG16 (25Kg)</t>
  </si>
  <si>
    <t>TA# 552F(50KG)</t>
  </si>
  <si>
    <t>S90</t>
  </si>
  <si>
    <t>S25</t>
  </si>
  <si>
    <t>S31</t>
  </si>
  <si>
    <t>TA# 524 (25Kg)</t>
  </si>
  <si>
    <t>TA# 584(25Kgs)</t>
  </si>
  <si>
    <t>TA# HT12S(25KG)</t>
  </si>
  <si>
    <t>TA# 553S (25KG)</t>
  </si>
  <si>
    <t>TA# 549 (25Kg)</t>
  </si>
  <si>
    <t>TA# 384(25Kgs)</t>
  </si>
  <si>
    <t>TA# 952S (25Kg)</t>
  </si>
  <si>
    <t>TA# 510 (25Kg)</t>
  </si>
  <si>
    <t>TA# 595 (25Kgs)</t>
  </si>
  <si>
    <t>TA# 521 (25Kg)</t>
  </si>
  <si>
    <t>TA# 566F(50KG)</t>
  </si>
  <si>
    <t>TA# 553MF (50KG)</t>
  </si>
  <si>
    <t>TA# 562PF (50Kg)</t>
  </si>
  <si>
    <t>TA# 567 (25Kg)</t>
  </si>
  <si>
    <t>TA# 550S (25kg)</t>
  </si>
  <si>
    <t>TA# 967 (25Kg)</t>
  </si>
  <si>
    <t>TA# 953 (25Kg)</t>
  </si>
  <si>
    <t>TA# HT11 (25Kg)</t>
  </si>
  <si>
    <t>TA# 566 (F) (Silo)</t>
  </si>
  <si>
    <t>TA# 552 (25Kg)</t>
  </si>
  <si>
    <t>TA# 566(25Kg)</t>
  </si>
  <si>
    <t>TA# 352 (25Kg)</t>
  </si>
  <si>
    <t>TA# 511 (25Kg)</t>
  </si>
  <si>
    <t>TA# HT12 (25Kg)</t>
  </si>
  <si>
    <t>TA# 540F (50Kg)</t>
  </si>
  <si>
    <t>TA# 567SF (50Kg)</t>
  </si>
  <si>
    <t>TA# 567SF_SILO</t>
  </si>
  <si>
    <t>TA# 511B (25Kg)</t>
  </si>
  <si>
    <t>TA# 511M (25Kg)</t>
  </si>
  <si>
    <t>TA# 551 (5*5=25Kg)</t>
  </si>
  <si>
    <t>TA# 552M (25Kg)</t>
  </si>
  <si>
    <t>TA# VT12 (25Kg)</t>
  </si>
  <si>
    <t>TA# 966 (25Kg)</t>
  </si>
  <si>
    <t>TA# 951 (25Kg)</t>
  </si>
  <si>
    <t>TA# 302 (25Kg)</t>
  </si>
  <si>
    <t>TA# 552SF (SILO)</t>
  </si>
  <si>
    <t>Brand Code</t>
  </si>
  <si>
    <t>Size</t>
  </si>
  <si>
    <t>Product Name</t>
  </si>
  <si>
    <t>Medicine</t>
  </si>
  <si>
    <t>Lot. No.</t>
  </si>
  <si>
    <t>Quantity</t>
  </si>
  <si>
    <t>Weight</t>
  </si>
  <si>
    <t>Thøc ¨n ch¨n nu«i # 385S (25KG)</t>
  </si>
  <si>
    <t>510</t>
  </si>
  <si>
    <t>Thøc ¨n ch¨n nu«i #  510 (25KG)</t>
  </si>
  <si>
    <t>Thøc ¨n ch¨n nu«i #  510M (25KG)</t>
  </si>
  <si>
    <t>Thøc ¨n ch¨n nu«i #  511B (25KG)</t>
  </si>
  <si>
    <t>Thøc ¨n ch¨n nu«i# 511ANF (50KG) (Thuèc)</t>
  </si>
  <si>
    <t>Thøc ¨n ch¨n nu«i # 521SPro (25KG)</t>
  </si>
  <si>
    <t>548</t>
  </si>
  <si>
    <t>Thøc ¨n ch¨n nu«i #  548 (25Kg)</t>
  </si>
  <si>
    <t>Thøc ¨n ch¨n nu«i # 550Pro (25kg)</t>
  </si>
  <si>
    <t>551</t>
  </si>
  <si>
    <t>Thøc ¨n ch¨n nu«i #  551 (25KG)</t>
  </si>
  <si>
    <t>552</t>
  </si>
  <si>
    <t>Thøc ¨n ch¨n nu«i #  552 (25KG)</t>
  </si>
  <si>
    <t>Thøc ¨n ch¨n nu«i #  552F(50KG)</t>
  </si>
  <si>
    <t>Thøc ¨n ch¨n nu«i #  552S (25KG)</t>
  </si>
  <si>
    <t>Thøc ¨n ch¨n nu«i #  552SF (50KG)</t>
  </si>
  <si>
    <t>Thøc ¨n ch¨n nu«i #  553MF (50KG)</t>
  </si>
  <si>
    <t>Thøc ¨n ch¨n nu«i #  553S (25KG)</t>
  </si>
  <si>
    <t>Thøc ¨n ch¨n nu«i #  562PF (50KG)</t>
  </si>
  <si>
    <t>Thøc ¨n ch¨n nu«i #  566F(50KG)</t>
  </si>
  <si>
    <t>Thøc ¨n ch¨n nu«i #  567S (25KG)</t>
  </si>
  <si>
    <t>Thøc ¨n ch¨n nu«i #  567SF (50KG)</t>
  </si>
  <si>
    <t>Thøc ¨n ch¨nnu«i # 885S (25Kg)</t>
  </si>
  <si>
    <t>Thøc ¨n ch¨n nu«i #  952S (25KG)</t>
  </si>
  <si>
    <t>Thøc ¨n ch¨n nu«i # GT11S (25Kg)</t>
  </si>
  <si>
    <t>Thøc ¨n ch¨n nu«i # GT12AS(25KG)</t>
  </si>
  <si>
    <t>Thøc ¨n ch¨n nu«i #  HT12S(25KG)</t>
  </si>
  <si>
    <t>6953</t>
  </si>
  <si>
    <t>Thøc ¨n ch¨n nu«i # 6953 (25KG)</t>
  </si>
  <si>
    <t>Grand Total</t>
  </si>
  <si>
    <t>Vitamin &amp; Mineral</t>
  </si>
  <si>
    <t>Packsize</t>
  </si>
  <si>
    <t>Tranform Issued</t>
  </si>
  <si>
    <t>Feed cu qua tuoi tru kho</t>
  </si>
  <si>
    <t>Thøc ¨n ch¨n nu«i #  952 (25KG)</t>
  </si>
  <si>
    <t>Production Cost of F/G</t>
  </si>
  <si>
    <t xml:space="preserve">      1</t>
  </si>
  <si>
    <t>Tranform Receive</t>
  </si>
  <si>
    <t>Thøc ¨n ch¨n nu«i #  HT12 (25KG)</t>
  </si>
  <si>
    <t>Recorder</t>
  </si>
  <si>
    <t>Approved By</t>
  </si>
  <si>
    <t>Remark</t>
  </si>
  <si>
    <t>Thøc ¨n ch¨n nu«i #  301 (25KG)</t>
  </si>
  <si>
    <t xml:space="preserve">     1</t>
  </si>
  <si>
    <t>CAM SAN XUAT NHIEU HON KE HOACH</t>
  </si>
  <si>
    <t>Thøc ¨n ch¨n nu«i #  352 (25KG)</t>
  </si>
  <si>
    <t>Quality Control</t>
  </si>
  <si>
    <t>Chief of Production</t>
  </si>
  <si>
    <t>CP-FG-04 (01/12/2005)</t>
  </si>
  <si>
    <t>FMFGSTKR130</t>
  </si>
  <si>
    <t>Thøc ¨n ch¨n nu«i # 510S (25KG)</t>
  </si>
  <si>
    <t>Thøc ¨n ch¨n nu«i #  511M (25KG)</t>
  </si>
  <si>
    <t>Thøc ¨n ch¨n nu«i # 511S (25KG)</t>
  </si>
  <si>
    <t>Thøc ¨n ch¨n nu«i #  524 (25KG)</t>
  </si>
  <si>
    <t xml:space="preserve">     2</t>
  </si>
  <si>
    <t>manh</t>
  </si>
  <si>
    <t>Thøc ¨n ch¨n nu«i#  550PF  (10KG)</t>
  </si>
  <si>
    <t>Thøc ¨n ch¨n nu«i #  944 (25KG)</t>
  </si>
  <si>
    <t>Thøc ¨n ch¨n nu«i #  984(25KGS)</t>
  </si>
  <si>
    <t>Thøc ¨n ch¨n nu«i # 991-18 (25KG)</t>
  </si>
  <si>
    <t>Thøc ¨n ch¨n nu«i #  GT12 (25KG)</t>
  </si>
  <si>
    <t>Thøc ¨n ch¨n nu«i #  VT11 (25KG)</t>
  </si>
  <si>
    <t>Thøc ¨n ch¨n nu«i # 6951(25KG)</t>
  </si>
  <si>
    <t xml:space="preserve">     16</t>
  </si>
  <si>
    <t>Remark :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</si>
  <si>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</si>
  <si>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</si>
  <si>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</si>
  <si>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</si>
  <si>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</si>
  <si>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</si>
  <si>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</si>
  <si>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</si>
  <si>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</si>
  <si>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</si>
  <si>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</si>
  <si>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</si>
  <si>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</si>
  <si>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</si>
  <si>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</si>
  <si>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</si>
  <si>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</si>
  <si>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</si>
  <si>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</si>
  <si>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</si>
  <si>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</si>
  <si>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</si>
  <si>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</si>
  <si>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</si>
  <si>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</si>
  <si>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</si>
  <si>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</si>
  <si>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</si>
  <si>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301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</si>
  <si>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</si>
  <si>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</si>
  <si>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</si>
  <si>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</si>
  <si>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</si>
  <si>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</si>
  <si>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</si>
  <si>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</si>
  <si>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</si>
  <si>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</si>
  <si>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</si>
  <si>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</si>
  <si>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</si>
  <si>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</si>
  <si>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</si>
  <si>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</si>
  <si>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</si>
  <si>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</si>
  <si>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</si>
  <si>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</si>
  <si>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</si>
  <si>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</si>
  <si>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</si>
  <si>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</si>
  <si>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</si>
  <si>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</si>
  <si>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</si>
  <si>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</si>
  <si>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</si>
  <si>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</si>
  <si>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511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</si>
  <si>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</si>
  <si>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</si>
  <si>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</si>
  <si>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</si>
  <si>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</si>
  <si>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</si>
  <si>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</si>
  <si>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</si>
  <si>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</si>
  <si>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</si>
  <si>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</si>
  <si>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</si>
  <si>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</si>
  <si>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</si>
  <si>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</si>
  <si>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</si>
  <si>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</si>
  <si>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</si>
  <si>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</si>
  <si>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</si>
  <si>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</si>
  <si>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</si>
  <si>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</si>
  <si>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</si>
  <si>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</si>
  <si>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</si>
  <si>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</si>
  <si>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</si>
  <si>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</si>
  <si>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</si>
  <si>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</si>
  <si>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</si>
  <si>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</si>
  <si>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</si>
  <si>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</si>
  <si>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</si>
  <si>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</si>
  <si>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</si>
  <si>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524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</si>
  <si>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</si>
  <si>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</si>
  <si>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</si>
  <si>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</si>
  <si>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</si>
  <si>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</si>
  <si>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</si>
  <si>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</si>
  <si>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544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</si>
  <si>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</si>
  <si>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</si>
  <si>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</si>
  <si>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</si>
  <si>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</si>
  <si>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</si>
  <si>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</si>
  <si>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1290D205480025</t>
  </si>
  <si>
    <t>BagO25- 548- 52x87-93-B-000-H</t>
  </si>
  <si>
    <t>54925</t>
  </si>
  <si>
    <t>549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</si>
  <si>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</si>
  <si>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</si>
  <si>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</si>
  <si>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</si>
  <si>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</si>
  <si>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</si>
  <si>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</si>
  <si>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</si>
  <si>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</si>
  <si>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</si>
  <si>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</si>
  <si>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</si>
  <si>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</si>
  <si>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</si>
  <si>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</si>
  <si>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</si>
  <si>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</si>
  <si>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</si>
  <si>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</si>
  <si>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</si>
  <si>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</si>
  <si>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</si>
  <si>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</si>
  <si>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</si>
  <si>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</si>
  <si>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</si>
  <si>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</si>
  <si>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</si>
  <si>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</si>
  <si>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</si>
  <si>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</si>
  <si>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</si>
  <si>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</si>
  <si>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</si>
  <si>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</si>
  <si>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</si>
  <si>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</si>
  <si>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</si>
  <si>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</si>
  <si>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</si>
  <si>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</si>
  <si>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</si>
  <si>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</si>
  <si>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</si>
  <si>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</si>
  <si>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</si>
  <si>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</si>
  <si>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</si>
  <si>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</si>
  <si>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553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</si>
  <si>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</si>
  <si>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</si>
  <si>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</si>
  <si>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</si>
  <si>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</si>
  <si>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</si>
  <si>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</si>
  <si>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</si>
  <si>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</si>
  <si>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</si>
  <si>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562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</si>
  <si>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</si>
  <si>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</si>
  <si>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</si>
  <si>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</si>
  <si>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</si>
  <si>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</si>
  <si>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566</t>
  </si>
  <si>
    <t>1290D205660025</t>
  </si>
  <si>
    <t>BagO25- 566- 52x87-93-B-000-H</t>
  </si>
  <si>
    <t>56725</t>
  </si>
  <si>
    <t>567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</si>
  <si>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</si>
  <si>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</si>
  <si>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</si>
  <si>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</si>
  <si>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</si>
  <si>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</si>
  <si>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</si>
  <si>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</si>
  <si>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</si>
  <si>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</si>
  <si>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584</t>
  </si>
  <si>
    <t>1290D205840025</t>
  </si>
  <si>
    <t>BagO25- 584- 52x87-93-B-000-H</t>
  </si>
  <si>
    <t>59425</t>
  </si>
  <si>
    <t>594</t>
  </si>
  <si>
    <t>1290D205940325</t>
  </si>
  <si>
    <t>Bag O25- 594- 52x87-93-B-000-H</t>
  </si>
  <si>
    <t>59525</t>
  </si>
  <si>
    <t>595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</si>
  <si>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</si>
  <si>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</si>
  <si>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</si>
  <si>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</si>
  <si>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</si>
  <si>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</si>
  <si>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</si>
  <si>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</si>
  <si>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</si>
  <si>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884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</si>
  <si>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</si>
  <si>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</si>
  <si>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</si>
  <si>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</si>
  <si>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</si>
  <si>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</si>
  <si>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</si>
  <si>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</si>
  <si>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</si>
  <si>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</si>
  <si>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949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</si>
  <si>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</si>
  <si>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</si>
  <si>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</si>
  <si>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</si>
  <si>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</si>
  <si>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</si>
  <si>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</si>
  <si>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951</t>
  </si>
  <si>
    <t>1290D209510025</t>
  </si>
  <si>
    <t>BagO25- 951- 52x87-93-A-000-H</t>
  </si>
  <si>
    <t>95225</t>
  </si>
  <si>
    <t>952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</si>
  <si>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</si>
  <si>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</si>
  <si>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</si>
  <si>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</si>
  <si>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</si>
  <si>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</si>
  <si>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</si>
  <si>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</si>
  <si>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</si>
  <si>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</si>
  <si>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</si>
  <si>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</si>
  <si>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953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</si>
  <si>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</si>
  <si>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</si>
  <si>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</si>
  <si>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</si>
  <si>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</si>
  <si>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</si>
  <si>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966</t>
  </si>
  <si>
    <t>1290D209660025</t>
  </si>
  <si>
    <t>BagO25- 966- 52x87-93-A-000-H</t>
  </si>
  <si>
    <t>96725</t>
  </si>
  <si>
    <t>967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</si>
  <si>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</si>
  <si>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</si>
  <si>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</si>
  <si>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</si>
  <si>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</si>
  <si>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</si>
  <si>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984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</si>
  <si>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</si>
  <si>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</si>
  <si>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</si>
  <si>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</si>
  <si>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</si>
  <si>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</si>
  <si>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</si>
  <si>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</si>
  <si>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</si>
  <si>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</si>
  <si>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</si>
  <si>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</si>
  <si>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</si>
  <si>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</si>
  <si>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</si>
  <si>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</si>
  <si>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</si>
  <si>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</si>
  <si>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</si>
  <si>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</si>
  <si>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</si>
  <si>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</si>
  <si>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</si>
  <si>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</si>
  <si>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</si>
  <si>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</si>
  <si>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</si>
  <si>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</si>
  <si>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</si>
  <si>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</si>
  <si>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</si>
  <si>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</si>
  <si>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</si>
  <si>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</si>
  <si>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</si>
  <si>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</si>
  <si>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</si>
  <si>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</si>
  <si>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</si>
  <si>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</si>
  <si>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</si>
  <si>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</si>
  <si>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</si>
  <si>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</si>
  <si>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</si>
  <si>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</si>
  <si>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</si>
  <si>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</si>
  <si>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</si>
  <si>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</si>
  <si>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</si>
  <si>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</si>
  <si>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</si>
  <si>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</si>
  <si>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</si>
  <si>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</si>
  <si>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</si>
  <si>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</si>
  <si>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</si>
  <si>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</si>
  <si>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</si>
  <si>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</si>
  <si>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</si>
  <si>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</si>
  <si>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</si>
  <si>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</si>
  <si>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</si>
  <si>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</si>
  <si>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</si>
  <si>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</si>
  <si>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</si>
  <si>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</si>
  <si>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</si>
  <si>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</si>
  <si>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</si>
  <si>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</si>
  <si>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</si>
  <si>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</si>
  <si>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</si>
  <si>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</si>
  <si>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</si>
  <si>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</si>
  <si>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</si>
  <si>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</si>
  <si>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</si>
  <si>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</si>
  <si>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</si>
  <si>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</si>
  <si>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</si>
  <si>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</si>
  <si>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</si>
  <si>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</si>
  <si>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</si>
  <si>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</si>
  <si>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</si>
  <si>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6895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</si>
  <si>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</si>
  <si>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</si>
  <si>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</si>
  <si>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</si>
  <si>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</si>
  <si>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</si>
  <si>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</si>
  <si>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6924</t>
  </si>
  <si>
    <t>1290K369240025</t>
  </si>
  <si>
    <t>BagO25- 6924- 52x87-93-P-000-D</t>
  </si>
  <si>
    <t>694925</t>
  </si>
  <si>
    <t>6949</t>
  </si>
  <si>
    <t>1290D269490025</t>
  </si>
  <si>
    <t>BagO25- 6949- 52x87-93-P-000-D</t>
  </si>
  <si>
    <t>12901869510025  </t>
  </si>
  <si>
    <t>BagO25- 6951- 52x87-93-P-000-D</t>
  </si>
  <si>
    <t>695225</t>
  </si>
  <si>
    <t>6952</t>
  </si>
  <si>
    <t>1290D269520025</t>
  </si>
  <si>
    <t>BagO25- 6952- 52x87-93-P-000-D</t>
  </si>
  <si>
    <t>695325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</si>
  <si>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</si>
  <si>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</si>
  <si>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</si>
  <si>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</si>
  <si>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</si>
  <si>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</si>
  <si>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</si>
  <si>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6995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</si>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</sst>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41" fontId="10" fillId="0" borderId="9" xfId="0" applyNumberFormat="1" applyFont="1" applyBorder="1" applyAlignment="1">
      <alignment horizontal="left" vertical="top"/>
    </xf>
    <xf numFmtId="41" fontId="35" fillId="0" borderId="0" xfId="0" applyNumberFormat="1" applyFont="1" applyAlignment="1">
      <alignment horizontal="left" vertical="top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41" fontId="82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10" zoomScale="80" zoomScaleNormal="80" workbookViewId="0">
      <pane xSplit="5" topLeftCell="F1" activePane="topRight" state="frozen"/>
      <selection pane="topRight" activeCell="AC41" sqref="AC41:AC57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1094" t="s">
        <v>13</v>
      </c>
      <c r="B2" s="1094"/>
      <c r="C2" s="1094"/>
      <c r="D2" s="1094"/>
      <c r="E2" s="1094"/>
      <c r="F2" s="109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1094" t="s">
        <v>14</v>
      </c>
      <c r="B3" s="1094"/>
      <c r="C3" s="1094"/>
      <c r="D3" s="1094"/>
      <c r="E3" s="1094"/>
      <c r="F3" s="1094"/>
      <c r="G3" s="291"/>
      <c r="J3" s="63"/>
      <c r="K3" s="63"/>
      <c r="M3" s="466"/>
      <c r="N3" s="718" t="s">
        <v>15</v>
      </c>
      <c r="O3" s="1108">
        <f>+BRAN!O3</f>
        <v>46148</v>
      </c>
      <c r="P3" s="1108"/>
      <c r="Q3" s="1108"/>
      <c r="R3" s="1108"/>
      <c r="S3" s="1108"/>
      <c r="T3" s="1108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925" t="s">
        <v>22</v>
      </c>
      <c r="B9" s="916" t="s">
        <v>23</v>
      </c>
      <c r="C9" s="916" t="s">
        <v>24</v>
      </c>
      <c r="D9" s="928" t="s">
        <v>25</v>
      </c>
      <c r="E9" s="61" t="s">
        <v>26</v>
      </c>
      <c r="F9" s="931" t="s">
        <v>27</v>
      </c>
      <c r="G9" s="936"/>
      <c r="H9" s="932"/>
      <c r="I9" s="931" t="s">
        <v>28</v>
      </c>
      <c r="J9" s="936"/>
      <c r="K9" s="936"/>
      <c r="L9" s="936"/>
      <c r="M9" s="931" t="s">
        <v>29</v>
      </c>
      <c r="N9" s="932"/>
      <c r="O9" s="183" t="s">
        <v>30</v>
      </c>
      <c r="P9" s="183"/>
      <c r="Q9" s="183"/>
      <c r="R9" s="183" t="s">
        <v>31</v>
      </c>
      <c r="S9" s="928" t="s">
        <v>32</v>
      </c>
      <c r="T9" s="1049" t="s">
        <v>33</v>
      </c>
      <c r="U9" s="881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926"/>
      <c r="B10" s="917"/>
      <c r="C10" s="917"/>
      <c r="D10" s="929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931" t="s">
        <v>40</v>
      </c>
      <c r="J10" s="936"/>
      <c r="K10" s="512" t="s">
        <v>41</v>
      </c>
      <c r="L10" s="681" t="s">
        <v>42</v>
      </c>
      <c r="M10" s="931" t="s">
        <v>43</v>
      </c>
      <c r="N10" s="932"/>
      <c r="O10" s="683" t="s">
        <v>44</v>
      </c>
      <c r="P10" s="184"/>
      <c r="Q10" s="184"/>
      <c r="R10" s="683" t="s">
        <v>45</v>
      </c>
      <c r="S10" s="929"/>
      <c r="T10" s="1050"/>
      <c r="U10" s="882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927"/>
      <c r="B11" s="918"/>
      <c r="C11" s="918"/>
      <c r="D11" s="930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930"/>
      <c r="T11" s="1051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57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58">
        <f>E12+F12+H12-I12-L12+G12-K12</f>
        <v>0</v>
      </c>
      <c r="N12" s="652">
        <f>M12*25</f>
        <v>0</v>
      </c>
      <c r="O12" s="1159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>
        <v>0</v>
      </c>
      <c r="AA12" s="646">
        <v>0</v>
      </c>
      <c r="AB12" s="645">
        <v>0</v>
      </c>
      <c r="AC12" s="646">
        <v>0</v>
      </c>
      <c r="AD12" s="645"/>
      <c r="AE12" s="646"/>
      <c r="AF12" s="645"/>
      <c r="AG12" s="646"/>
      <c r="AH12" s="645"/>
      <c r="AI12" s="646"/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57">
        <v>25</v>
      </c>
      <c r="E13" s="561">
        <v>0</v>
      </c>
      <c r="F13" s="100">
        <f>SUMIF(pro!$A:$A,$V:$V,pro!$N:$N)</f>
        <v>262</v>
      </c>
      <c r="G13" s="425"/>
      <c r="H13" s="100">
        <f>SUMIF(CBIN!$A:$A,'PRO-NASA'!$V:$V,CBIN!$G:$G)</f>
        <v>0</v>
      </c>
      <c r="I13" s="100">
        <f>SUMIF(data!$D:$D,$B13&amp;$D13,data!$J:$J)</f>
        <v>150</v>
      </c>
      <c r="J13" s="351">
        <f>SUMIF(data!$D:$D,$B13&amp;$D13,data!$K:$K)</f>
        <v>3750</v>
      </c>
      <c r="K13" s="100">
        <v>0</v>
      </c>
      <c r="L13" s="100">
        <f>SUMIF(CBOUT!$A:$A,BRAN!$V:$V,CBOUT!$G:$G)</f>
        <v>0</v>
      </c>
      <c r="M13" s="1158">
        <f>E13+F13+H13-I13-L13+G13-K13</f>
        <v>112</v>
      </c>
      <c r="N13" s="652">
        <f>M13*25</f>
        <v>2800</v>
      </c>
      <c r="O13" s="1159">
        <f>SUM(X13:BB13)</f>
        <v>3750</v>
      </c>
      <c r="P13" s="804"/>
      <c r="Q13" s="804"/>
      <c r="R13" s="100">
        <f>O13/INTGRATE!$N$293</f>
        <v>750</v>
      </c>
      <c r="S13" s="665">
        <f t="shared" si="0"/>
        <v>3.7333333333333334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>
        <v>0</v>
      </c>
      <c r="AA13" s="646">
        <v>0</v>
      </c>
      <c r="AB13" s="645">
        <v>0</v>
      </c>
      <c r="AC13" s="646">
        <v>3750</v>
      </c>
      <c r="AD13" s="645"/>
      <c r="AE13" s="646"/>
      <c r="AF13" s="645"/>
      <c r="AG13" s="646"/>
      <c r="AH13" s="645"/>
      <c r="AI13" s="646"/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57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>
        <v>0</v>
      </c>
      <c r="AA14" s="646">
        <v>0</v>
      </c>
      <c r="AB14" s="645">
        <v>0</v>
      </c>
      <c r="AC14" s="646">
        <v>0</v>
      </c>
      <c r="AD14" s="645"/>
      <c r="AE14" s="646"/>
      <c r="AF14" s="645"/>
      <c r="AG14" s="646"/>
      <c r="AH14" s="645"/>
      <c r="AI14" s="646"/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12</v>
      </c>
      <c r="F15" s="100">
        <f>SUMIF(pro!$A:$A,$V:$V,pro!$N:$N)</f>
        <v>1055</v>
      </c>
      <c r="G15" s="100"/>
      <c r="H15" s="100">
        <f>SUMIF(CBIN!$A:$A,'PRO-NASA'!$V:$V,CBIN!$G:$G)</f>
        <v>0</v>
      </c>
      <c r="I15" s="100">
        <f>SUMIF(data!$D:$D,$B15&amp;$D15,data!$J:$J)</f>
        <v>160</v>
      </c>
      <c r="J15" s="351">
        <f>SUMIF(data!$D:$D,$B15&amp;$D15,data!$K:$K)</f>
        <v>4000</v>
      </c>
      <c r="K15" s="100">
        <f>SUMIF(AJOUT!$A:$A,'PRO-NASA'!$V:$V,AJOUT!$L:$L)</f>
        <v>1</v>
      </c>
      <c r="L15" s="100">
        <f>SUMIF(CBOUT!$A:$A,'PRO-NASA'!$V:$V,CBOUT!$G:$G)</f>
        <v>0</v>
      </c>
      <c r="M15" s="1158">
        <f t="shared" ref="M15:M23" si="3">E15+F15+H15-I15-L15+G15-K15</f>
        <v>906</v>
      </c>
      <c r="N15" s="652">
        <f>M15*D15</f>
        <v>22650</v>
      </c>
      <c r="O15" s="1159">
        <f t="shared" ref="O15:O26" si="4">SUM(X15:BB15)</f>
        <v>26450</v>
      </c>
      <c r="P15" s="804"/>
      <c r="Q15" s="804"/>
      <c r="R15" s="100">
        <f>O15/INTGRATE!$N$293</f>
        <v>5290</v>
      </c>
      <c r="S15" s="665">
        <f t="shared" ref="S15:S26" si="5">IF(R15=0,0,N15/R15)</f>
        <v>4.2816635160680532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26450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58">
        <f t="shared" si="3"/>
        <v>0</v>
      </c>
      <c r="N16" s="652">
        <f>+M16*25</f>
        <v>0</v>
      </c>
      <c r="O16" s="1159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>
        <v>0</v>
      </c>
      <c r="AA16" s="100">
        <v>0</v>
      </c>
      <c r="AB16" s="100">
        <v>0</v>
      </c>
      <c r="AC16" s="100">
        <v>0</v>
      </c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58">
        <f>E17+F17+H17-I17-L17+G17-K17</f>
        <v>0</v>
      </c>
      <c r="N17" s="652">
        <f>+M17*25</f>
        <v>0</v>
      </c>
      <c r="O17" s="1159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>
        <v>0</v>
      </c>
      <c r="AA17" s="100">
        <v>0</v>
      </c>
      <c r="AB17" s="100">
        <v>0</v>
      </c>
      <c r="AC17" s="100">
        <v>0</v>
      </c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0</v>
      </c>
      <c r="K18" s="100">
        <v>0</v>
      </c>
      <c r="L18" s="100">
        <f>SUMIF(CBOUT!$A:$A,'PRO-NASA'!$V:$V,CBOUT!$G:$G)</f>
        <v>0</v>
      </c>
      <c r="M18" s="1158">
        <v>0</v>
      </c>
      <c r="N18" s="652">
        <f>+M18*25</f>
        <v>0</v>
      </c>
      <c r="O18" s="1159">
        <f>SUM(X18:BB18)</f>
        <v>24180</v>
      </c>
      <c r="P18" s="804"/>
      <c r="Q18" s="804"/>
      <c r="R18" s="100">
        <f>O18/INTGRATE!$N$293</f>
        <v>4836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24180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1114</v>
      </c>
      <c r="F19" s="100">
        <f>SUMIF(pro!$A:$A,$V:$V,pro!$N:$N)</f>
        <v>0</v>
      </c>
      <c r="G19" s="100"/>
      <c r="H19" s="100">
        <f>SUMIF(CBIN!$A:$A,'PRO-NASA'!$V:$V,CBIN!$G:$G)</f>
        <v>0</v>
      </c>
      <c r="I19" s="100">
        <f>SUMIF(data!$D:$D,$B19&amp;$D19,data!$J:$J)</f>
        <v>395</v>
      </c>
      <c r="J19" s="351">
        <f>SUMIF(data!$D:$D,$B19&amp;$D19,data!$K:$K)</f>
        <v>9875</v>
      </c>
      <c r="K19" s="100">
        <f>SUMIF(AJOUT!$A:$A,'PRO-NASA'!$V:$V,AJOUT!$L:$L)</f>
        <v>0</v>
      </c>
      <c r="L19" s="100">
        <f>SUMIF(CBOUT!$A:$A,'PRO-NASA'!$V:$V,CBOUT!$G:$G)</f>
        <v>0</v>
      </c>
      <c r="M19" s="1158">
        <f t="shared" si="3"/>
        <v>719</v>
      </c>
      <c r="N19" s="652">
        <f>M19*D19</f>
        <v>17975</v>
      </c>
      <c r="O19" s="1159">
        <f t="shared" si="4"/>
        <v>17050</v>
      </c>
      <c r="P19" s="804"/>
      <c r="Q19" s="804"/>
      <c r="R19" s="100">
        <f>O19/INTGRATE!$N$293</f>
        <v>3410</v>
      </c>
      <c r="S19" s="665">
        <f t="shared" si="5"/>
        <v>5.2712609970674489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17050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58"/>
      <c r="N20" s="652"/>
      <c r="O20" s="1159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>
        <v>0</v>
      </c>
      <c r="AA20" s="100">
        <v>0</v>
      </c>
      <c r="AB20" s="100">
        <v>0</v>
      </c>
      <c r="AC20" s="100">
        <v>0</v>
      </c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58">
        <f>E21+F21+H21-I21-L21+G21-K21</f>
        <v>0</v>
      </c>
      <c r="N21" s="652">
        <f>M21*D21</f>
        <v>0</v>
      </c>
      <c r="O21" s="1159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>
        <v>0</v>
      </c>
      <c r="AA21" s="100">
        <v>0</v>
      </c>
      <c r="AB21" s="100">
        <v>0</v>
      </c>
      <c r="AC21" s="100">
        <v>0</v>
      </c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58">
        <f t="shared" si="3"/>
        <v>0</v>
      </c>
      <c r="N22" s="652">
        <f>M22*D22</f>
        <v>0</v>
      </c>
      <c r="O22" s="1159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>
        <v>0</v>
      </c>
      <c r="AA22" s="100">
        <v>0</v>
      </c>
      <c r="AB22" s="100">
        <v>0</v>
      </c>
      <c r="AC22" s="100">
        <v>0</v>
      </c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308</v>
      </c>
      <c r="F23" s="100">
        <f>SUMIF(pro!$A:$A,$V:$V,pro!$N:$N)</f>
        <v>0</v>
      </c>
      <c r="G23" s="100"/>
      <c r="H23" s="100">
        <f>SUMIF(CBIN!$A:$A,'PRO-NASA'!$V:$V,CBIN!$G:$G)</f>
        <v>0</v>
      </c>
      <c r="I23" s="100">
        <f>SUMIF(data!$D:$D,$B23&amp;$D23,data!$J:$J)</f>
        <v>95</v>
      </c>
      <c r="J23" s="351">
        <f>SUMIF(data!$D:$D,$B23&amp;$D23,data!$K:$K)</f>
        <v>2375</v>
      </c>
      <c r="K23" s="100">
        <f>SUMIF(AJOUT!$A:$A,'PRO-NASA'!$V:$V,AJOUT!$L:$L)</f>
        <v>0</v>
      </c>
      <c r="L23" s="100">
        <f>SUMIF(CBOUT!$A:$A,'PRO-NASA'!$V:$V,CBOUT!$G:$G)</f>
        <v>0</v>
      </c>
      <c r="M23" s="1158">
        <f t="shared" si="3"/>
        <v>213</v>
      </c>
      <c r="N23" s="652">
        <f>M23*D23</f>
        <v>5325</v>
      </c>
      <c r="O23" s="1159">
        <f t="shared" si="4"/>
        <v>18975</v>
      </c>
      <c r="P23" s="804"/>
      <c r="Q23" s="804"/>
      <c r="R23" s="100">
        <f>O23/INTGRATE!$N$293</f>
        <v>3795</v>
      </c>
      <c r="S23" s="665">
        <f t="shared" si="5"/>
        <v>1.4031620553359683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18975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58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/>
      <c r="AE24" s="100"/>
      <c r="AF24" s="100"/>
      <c r="AG24" s="100"/>
      <c r="AH24" s="425"/>
      <c r="AI24" s="100"/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1524</v>
      </c>
      <c r="F25" s="100">
        <f>SUMIF(pro!$A:$A,$V:$V,pro!$N:$N)</f>
        <v>0</v>
      </c>
      <c r="G25" s="100"/>
      <c r="H25" s="100">
        <f>SUMIF(CBIN!$A:$A,'PRO-NASA'!$V:$V,CBIN!$G:$G)</f>
        <v>0</v>
      </c>
      <c r="I25" s="100">
        <f>SUMIF(data!$D:$D,$B25&amp;$D25,data!$J:$J)</f>
        <v>113</v>
      </c>
      <c r="J25" s="351">
        <f>SUMIF(data!$D:$D,$B25&amp;$D25,data!$K:$K)</f>
        <v>2825</v>
      </c>
      <c r="K25" s="100">
        <f>SUMIF(AJOUT!$A:$A,'PRO-NASA'!$V:$V,AJOUT!$L:$L)</f>
        <v>0</v>
      </c>
      <c r="L25" s="100">
        <f>SUMIF(CBOUT!$A:$A,'PRO-NASA'!$V:$V,CBOUT!$G:$G)</f>
        <v>0</v>
      </c>
      <c r="M25" s="1158">
        <f>E25+F25+H25-I25-L25+G25-K25</f>
        <v>1411</v>
      </c>
      <c r="N25" s="652">
        <f>M25*D25</f>
        <v>35275</v>
      </c>
      <c r="O25" s="1159">
        <f t="shared" si="4"/>
        <v>33200</v>
      </c>
      <c r="P25" s="804"/>
      <c r="Q25" s="804"/>
      <c r="R25" s="100">
        <f>O25/INTGRATE!$N$293</f>
        <v>6640</v>
      </c>
      <c r="S25" s="665">
        <f t="shared" si="5"/>
        <v>5.3125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33200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58">
        <f>E26+F26+H26-I26-L26+G26-K26</f>
        <v>0</v>
      </c>
      <c r="N26" s="652">
        <f>M26*D26</f>
        <v>0</v>
      </c>
      <c r="O26" s="1159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>
        <v>0</v>
      </c>
      <c r="AA26" s="100">
        <v>0</v>
      </c>
      <c r="AB26" s="100">
        <v>0</v>
      </c>
      <c r="AC26" s="100">
        <v>0</v>
      </c>
      <c r="AD26" s="100"/>
      <c r="AE26" s="100"/>
      <c r="AF26" s="100"/>
      <c r="AG26" s="100"/>
      <c r="AH26" s="425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1102" t="s">
        <v>69</v>
      </c>
      <c r="B27" s="1103"/>
      <c r="C27" s="1103"/>
      <c r="D27" s="1104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1105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50</v>
      </c>
      <c r="AA27" s="557">
        <f t="shared" si="7"/>
        <v>41030</v>
      </c>
      <c r="AB27" s="557">
        <f t="shared" si="7"/>
        <v>18250</v>
      </c>
      <c r="AC27" s="557">
        <f t="shared" si="7"/>
        <v>22825</v>
      </c>
      <c r="AD27" s="557">
        <f t="shared" si="7"/>
        <v>0</v>
      </c>
      <c r="AE27" s="557">
        <f t="shared" si="7"/>
        <v>0</v>
      </c>
      <c r="AF27" s="557">
        <f t="shared" si="7"/>
        <v>0</v>
      </c>
      <c r="AG27" s="557">
        <f t="shared" si="7"/>
        <v>0</v>
      </c>
      <c r="AH27" s="557">
        <f t="shared" si="7"/>
        <v>0</v>
      </c>
      <c r="AI27" s="557">
        <f t="shared" si="7"/>
        <v>0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119855</v>
      </c>
      <c r="BF27" s="437"/>
    </row>
    <row r="28" spans="1:58" s="63" customFormat="1" ht="15" customHeight="1">
      <c r="A28" s="1102" t="s">
        <v>70</v>
      </c>
      <c r="B28" s="1103"/>
      <c r="C28" s="1103"/>
      <c r="D28" s="1104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106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1102" t="s">
        <v>71</v>
      </c>
      <c r="B29" s="1103"/>
      <c r="C29" s="1103"/>
      <c r="D29" s="1104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106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1102" t="s">
        <v>72</v>
      </c>
      <c r="B30" s="1103"/>
      <c r="C30" s="1103"/>
      <c r="D30" s="1104"/>
      <c r="E30" s="64">
        <f>SUM(E12:E26)</f>
        <v>2958</v>
      </c>
      <c r="F30" s="64">
        <f t="shared" ref="F30:R30" si="9">SUM(F12:F26)</f>
        <v>1317</v>
      </c>
      <c r="G30" s="64">
        <f t="shared" si="9"/>
        <v>0</v>
      </c>
      <c r="H30" s="64">
        <f t="shared" si="9"/>
        <v>0</v>
      </c>
      <c r="I30" s="64">
        <f t="shared" si="9"/>
        <v>913</v>
      </c>
      <c r="J30" s="64">
        <f t="shared" si="9"/>
        <v>22825</v>
      </c>
      <c r="K30" s="64">
        <f t="shared" si="9"/>
        <v>1</v>
      </c>
      <c r="L30" s="64">
        <f t="shared" si="9"/>
        <v>0</v>
      </c>
      <c r="M30" s="64">
        <f t="shared" si="9"/>
        <v>3361</v>
      </c>
      <c r="N30" s="64">
        <f t="shared" si="9"/>
        <v>84025</v>
      </c>
      <c r="O30" s="64">
        <f t="shared" si="9"/>
        <v>123605</v>
      </c>
      <c r="P30" s="64">
        <f t="shared" si="9"/>
        <v>0</v>
      </c>
      <c r="Q30" s="64">
        <f t="shared" si="9"/>
        <v>0</v>
      </c>
      <c r="R30" s="64">
        <f t="shared" si="9"/>
        <v>24721</v>
      </c>
      <c r="S30" s="64">
        <f>SUM(S15:S26)</f>
        <v>16.26858656847147</v>
      </c>
      <c r="T30" s="1106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1102" t="s">
        <v>73</v>
      </c>
      <c r="B31" s="1103"/>
      <c r="C31" s="1103"/>
      <c r="D31" s="1104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106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872" t="s">
        <v>74</v>
      </c>
      <c r="B32" s="873"/>
      <c r="C32" s="873"/>
      <c r="D32" s="874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106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1109" t="s">
        <v>75</v>
      </c>
      <c r="B33" s="1110"/>
      <c r="C33" s="1110"/>
      <c r="D33" s="1111"/>
      <c r="E33" s="127">
        <f>SUM(E27:E31)</f>
        <v>2958</v>
      </c>
      <c r="F33" s="127">
        <f>SUM(F27:F31)-F32</f>
        <v>1317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913</v>
      </c>
      <c r="J33" s="127">
        <f t="shared" si="12"/>
        <v>22825</v>
      </c>
      <c r="K33" s="127">
        <f t="shared" si="12"/>
        <v>1</v>
      </c>
      <c r="L33" s="127">
        <f t="shared" si="12"/>
        <v>0</v>
      </c>
      <c r="M33" s="127">
        <f t="shared" si="12"/>
        <v>3361</v>
      </c>
      <c r="N33" s="127">
        <f>+SUM(N28:N31)</f>
        <v>84025</v>
      </c>
      <c r="O33" s="1112">
        <f>SUM(O15:O26)</f>
        <v>119855</v>
      </c>
      <c r="P33" s="186"/>
      <c r="Q33" s="186"/>
      <c r="R33" s="1095">
        <f>SUM(R15:R26)</f>
        <v>23971</v>
      </c>
      <c r="S33" s="1097" t="s">
        <v>76</v>
      </c>
      <c r="T33" s="1106"/>
      <c r="U33" s="1160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1099" t="s">
        <v>77</v>
      </c>
      <c r="B34" s="1100"/>
      <c r="C34" s="1100"/>
      <c r="D34" s="1101"/>
      <c r="E34" s="121">
        <f>E28*10+E29*25+E30*25+E31*40+E32</f>
        <v>73950</v>
      </c>
      <c r="F34" s="121">
        <f t="shared" ref="F34:M34" si="13">F28*10+F29*25+F30*25+F31*40+F32</f>
        <v>32925</v>
      </c>
      <c r="G34" s="121">
        <f t="shared" si="13"/>
        <v>0</v>
      </c>
      <c r="H34" s="121">
        <f t="shared" si="13"/>
        <v>0</v>
      </c>
      <c r="I34" s="121">
        <f t="shared" si="13"/>
        <v>22825</v>
      </c>
      <c r="J34" s="121">
        <f>+J33</f>
        <v>22825</v>
      </c>
      <c r="K34" s="121">
        <f t="shared" si="13"/>
        <v>25</v>
      </c>
      <c r="L34" s="121">
        <f t="shared" si="13"/>
        <v>0</v>
      </c>
      <c r="M34" s="121">
        <f t="shared" si="13"/>
        <v>84025</v>
      </c>
      <c r="N34" s="121">
        <f>+N33</f>
        <v>84025</v>
      </c>
      <c r="O34" s="1113"/>
      <c r="P34" s="187"/>
      <c r="Q34" s="187"/>
      <c r="R34" s="1096"/>
      <c r="S34" s="1098"/>
      <c r="T34" s="1107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925" t="s">
        <v>22</v>
      </c>
      <c r="B38" s="916" t="s">
        <v>23</v>
      </c>
      <c r="C38" s="916" t="s">
        <v>24</v>
      </c>
      <c r="D38" s="928" t="s">
        <v>25</v>
      </c>
      <c r="E38" s="61" t="s">
        <v>26</v>
      </c>
      <c r="F38" s="931" t="s">
        <v>27</v>
      </c>
      <c r="G38" s="936"/>
      <c r="H38" s="932"/>
      <c r="I38" s="931" t="s">
        <v>28</v>
      </c>
      <c r="J38" s="936"/>
      <c r="K38" s="936"/>
      <c r="L38" s="936"/>
      <c r="M38" s="931" t="s">
        <v>29</v>
      </c>
      <c r="N38" s="932"/>
      <c r="O38" s="183" t="s">
        <v>30</v>
      </c>
      <c r="P38" s="183"/>
      <c r="Q38" s="183"/>
      <c r="R38" s="183" t="s">
        <v>31</v>
      </c>
      <c r="S38" s="928" t="s">
        <v>32</v>
      </c>
      <c r="T38" s="1049" t="s">
        <v>33</v>
      </c>
      <c r="U38" s="881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926"/>
      <c r="B39" s="917"/>
      <c r="C39" s="917"/>
      <c r="D39" s="929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931" t="s">
        <v>40</v>
      </c>
      <c r="J39" s="936"/>
      <c r="K39" s="512" t="s">
        <v>41</v>
      </c>
      <c r="L39" s="681" t="s">
        <v>42</v>
      </c>
      <c r="M39" s="931" t="s">
        <v>43</v>
      </c>
      <c r="N39" s="932"/>
      <c r="O39" s="683" t="s">
        <v>44</v>
      </c>
      <c r="P39" s="184"/>
      <c r="Q39" s="184"/>
      <c r="R39" s="683" t="s">
        <v>45</v>
      </c>
      <c r="S39" s="929"/>
      <c r="T39" s="1050"/>
      <c r="U39" s="882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927"/>
      <c r="B40" s="918"/>
      <c r="C40" s="918"/>
      <c r="D40" s="930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930"/>
      <c r="T40" s="1051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1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>
        <v>0</v>
      </c>
      <c r="AA41" s="100">
        <v>0</v>
      </c>
      <c r="AB41" s="100">
        <v>0</v>
      </c>
      <c r="AC41" s="100">
        <v>0</v>
      </c>
      <c r="AD41" s="351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1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>
        <v>0</v>
      </c>
      <c r="AA42" s="100">
        <v>0</v>
      </c>
      <c r="AB42" s="100">
        <v>0</v>
      </c>
      <c r="AC42" s="100">
        <v>0</v>
      </c>
      <c r="AD42" s="351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1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>
        <v>0</v>
      </c>
      <c r="AA43" s="100">
        <v>0</v>
      </c>
      <c r="AB43" s="100">
        <v>0</v>
      </c>
      <c r="AC43" s="100">
        <v>0</v>
      </c>
      <c r="AD43" s="351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1048</v>
      </c>
      <c r="F44" s="100">
        <f>SUMIF(pro!$A:$A,$V:$V,pro!$N:$N)</f>
        <v>0</v>
      </c>
      <c r="G44" s="351"/>
      <c r="H44" s="100"/>
      <c r="I44" s="351">
        <f>SUMIF(data!$D:$D,$B44&amp;$D44,data!$J:$J)</f>
        <v>139</v>
      </c>
      <c r="J44" s="351">
        <f>SUMIF(data!$D:$D,$B44&amp;$D44,data!$K:$K)</f>
        <v>3475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909</v>
      </c>
      <c r="N44" s="351">
        <f t="shared" ref="N44:N57" si="17">M44*D44</f>
        <v>22725</v>
      </c>
      <c r="O44" s="1161">
        <f t="shared" ref="O44:O57" si="18">SUM(X44:BB44)</f>
        <v>7200</v>
      </c>
      <c r="P44" s="665"/>
      <c r="Q44" s="665"/>
      <c r="R44" s="804">
        <f>O44/INTGRATE!$N$293</f>
        <v>1440</v>
      </c>
      <c r="S44" s="665">
        <f t="shared" ref="S44:S57" si="19">IF(R44=0,0,N44/R44)</f>
        <v>15.78125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>
        <v>0</v>
      </c>
      <c r="AA44" s="100">
        <v>2100</v>
      </c>
      <c r="AB44" s="100">
        <v>0</v>
      </c>
      <c r="AC44" s="100">
        <v>3475</v>
      </c>
      <c r="AD44" s="351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7200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1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>
        <v>0</v>
      </c>
      <c r="AA45" s="100">
        <v>0</v>
      </c>
      <c r="AB45" s="100">
        <v>0</v>
      </c>
      <c r="AC45" s="100">
        <v>0</v>
      </c>
      <c r="AD45" s="351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1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>
        <v>0</v>
      </c>
      <c r="AA46" s="100">
        <v>0</v>
      </c>
      <c r="AB46" s="100">
        <v>0</v>
      </c>
      <c r="AC46" s="100">
        <v>0</v>
      </c>
      <c r="AD46" s="351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58</v>
      </c>
      <c r="F47" s="100">
        <f>SUMIF(pro!$A:$A,$V:$V,pro!$N:$N)</f>
        <v>0</v>
      </c>
      <c r="G47" s="351"/>
      <c r="H47" s="100"/>
      <c r="I47" s="351">
        <f>SUMIF(data!$D:$D,$B47&amp;$D47,data!$J:$J)</f>
        <v>0</v>
      </c>
      <c r="J47" s="351">
        <f>SUMIF(data!$D:$D,$B47&amp;$D47,data!$K:$K)</f>
        <v>0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58</v>
      </c>
      <c r="N47" s="351">
        <f t="shared" si="17"/>
        <v>1450</v>
      </c>
      <c r="O47" s="1161">
        <f t="shared" si="18"/>
        <v>11300</v>
      </c>
      <c r="P47" s="665"/>
      <c r="Q47" s="665"/>
      <c r="R47" s="804">
        <f>O47/INTGRATE!$N$293</f>
        <v>2260</v>
      </c>
      <c r="S47" s="665">
        <f t="shared" si="19"/>
        <v>0.6415929203539823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>
        <v>0</v>
      </c>
      <c r="AA47" s="100">
        <v>2925</v>
      </c>
      <c r="AB47" s="100">
        <v>7125</v>
      </c>
      <c r="AC47" s="100">
        <v>0</v>
      </c>
      <c r="AD47" s="1162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11300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929</v>
      </c>
      <c r="F48" s="100">
        <f>SUMIF(pro!$A:$A,$V:$V,pro!$N:$N)</f>
        <v>0</v>
      </c>
      <c r="G48" s="351"/>
      <c r="H48" s="100"/>
      <c r="I48" s="351">
        <f>SUMIF(data!$D:$D,$B48&amp;$D48,data!$J:$J)</f>
        <v>134</v>
      </c>
      <c r="J48" s="351">
        <f>SUMIF(data!$D:$D,$B48&amp;$D48,data!$K:$K)</f>
        <v>3350</v>
      </c>
      <c r="K48" s="100">
        <f>SUMIF(AJOUT!$A:$A,'PRO-NASA'!$V:$V,AJOUT!$L:$L)</f>
        <v>1</v>
      </c>
      <c r="L48" s="100">
        <f>SUMIF(CBOUT!$A:$A,'PRO-NASA'!$V:$V,CBOUT!$G:$G)</f>
        <v>0</v>
      </c>
      <c r="M48" s="650">
        <f t="shared" ref="M48:M50" si="20">E48+F48+H48-I48-L48+G48-K48</f>
        <v>794</v>
      </c>
      <c r="N48" s="351">
        <f t="shared" ref="N48:N50" si="21">M48*D48</f>
        <v>19850</v>
      </c>
      <c r="O48" s="1161">
        <f t="shared" ref="O48:O50" si="22">SUM(X48:BB48)</f>
        <v>7300</v>
      </c>
      <c r="P48" s="665"/>
      <c r="Q48" s="665"/>
      <c r="R48" s="804">
        <f>O48/INTGRATE!$N$293</f>
        <v>1460</v>
      </c>
      <c r="S48" s="665">
        <f t="shared" ref="S48:S50" si="23">IF(R48=0,0,N48/R48)</f>
        <v>13.595890410958905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>
        <v>1025</v>
      </c>
      <c r="AA48" s="100">
        <v>1500</v>
      </c>
      <c r="AB48" s="100">
        <v>1175</v>
      </c>
      <c r="AC48" s="100">
        <v>3350</v>
      </c>
      <c r="AD48" s="1162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7300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11</v>
      </c>
      <c r="F49" s="100">
        <f>SUMIF(pro!$A:$A,$V:$V,pro!$N:$N)</f>
        <v>0</v>
      </c>
      <c r="G49" s="351"/>
      <c r="H49" s="100"/>
      <c r="I49" s="351">
        <f>SUMIF(data!$D:$D,$B49&amp;$D49,data!$J:$J)</f>
        <v>0</v>
      </c>
      <c r="J49" s="351">
        <f>SUMIF(data!$D:$D,$B49&amp;$D49,data!$K:$K)</f>
        <v>0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11</v>
      </c>
      <c r="N49" s="351">
        <f t="shared" ref="N49" si="25">M49*D49</f>
        <v>275</v>
      </c>
      <c r="O49" s="1161">
        <f t="shared" ref="O49" si="26">SUM(X49:BB49)</f>
        <v>0</v>
      </c>
      <c r="P49" s="665"/>
      <c r="Q49" s="665"/>
      <c r="R49" s="804">
        <f>O49/INTGRATE!$N$293</f>
        <v>0</v>
      </c>
      <c r="S49" s="665">
        <f t="shared" ref="S49" si="27">IF(R49=0,0,N49/R49)</f>
        <v>0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>
        <v>0</v>
      </c>
      <c r="AA49" s="100">
        <v>0</v>
      </c>
      <c r="AB49" s="100">
        <v>0</v>
      </c>
      <c r="AC49" s="100">
        <v>0</v>
      </c>
      <c r="AD49" s="1162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815</v>
      </c>
      <c r="F50" s="100">
        <f>SUMIF(pro!$A:$A,$V:$V,pro!$N:$N)</f>
        <v>0</v>
      </c>
      <c r="G50" s="351"/>
      <c r="H50" s="100"/>
      <c r="I50" s="351">
        <f>SUMIF(data!$D:$D,$B50&amp;$D50,data!$J:$J)</f>
        <v>160</v>
      </c>
      <c r="J50" s="351">
        <f>SUMIF(data!$D:$D,$B50&amp;$D50,data!$K:$K)</f>
        <v>4000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655</v>
      </c>
      <c r="N50" s="351">
        <f t="shared" si="21"/>
        <v>16375</v>
      </c>
      <c r="O50" s="1161">
        <f t="shared" si="22"/>
        <v>9750</v>
      </c>
      <c r="P50" s="665"/>
      <c r="Q50" s="665"/>
      <c r="R50" s="804">
        <f>O50/INTGRATE!$N$293</f>
        <v>1950</v>
      </c>
      <c r="S50" s="665">
        <f t="shared" si="23"/>
        <v>8.3974358974358978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>
        <v>875</v>
      </c>
      <c r="AA50" s="100">
        <v>2250</v>
      </c>
      <c r="AB50" s="100">
        <v>875</v>
      </c>
      <c r="AC50" s="100">
        <v>4000</v>
      </c>
      <c r="AD50" s="1162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9750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0</v>
      </c>
      <c r="F51" s="100">
        <f>SUMIF(pro!$A:$A,$V:$V,pro!$N:$N)</f>
        <v>651</v>
      </c>
      <c r="G51" s="351"/>
      <c r="H51" s="100"/>
      <c r="I51" s="351">
        <f>SUMIF(data!$D:$D,$B51&amp;$D51,data!$J:$J)</f>
        <v>40</v>
      </c>
      <c r="J51" s="351">
        <f>SUMIF(data!$D:$D,$B51&amp;$D51,data!$K:$K)</f>
        <v>1000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611</v>
      </c>
      <c r="N51" s="351">
        <f t="shared" si="17"/>
        <v>15275</v>
      </c>
      <c r="O51" s="1161">
        <f t="shared" si="18"/>
        <v>3075</v>
      </c>
      <c r="P51" s="665"/>
      <c r="Q51" s="665"/>
      <c r="R51" s="804">
        <f>O51/INTGRATE!$N$293</f>
        <v>615</v>
      </c>
      <c r="S51" s="665">
        <f t="shared" si="19"/>
        <v>24.837398373983739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>
        <v>500</v>
      </c>
      <c r="AA51" s="100">
        <v>375</v>
      </c>
      <c r="AB51" s="100">
        <v>200</v>
      </c>
      <c r="AC51" s="100">
        <v>1000</v>
      </c>
      <c r="AD51" s="1162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3075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1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>
        <v>0</v>
      </c>
      <c r="AA52" s="100">
        <v>0</v>
      </c>
      <c r="AB52" s="100">
        <v>0</v>
      </c>
      <c r="AC52" s="100">
        <v>0</v>
      </c>
      <c r="AD52" s="351"/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40</v>
      </c>
      <c r="F53" s="100">
        <f>SUMIF(pro!$A:$A,$V:$V,pro!$N:$N)</f>
        <v>0</v>
      </c>
      <c r="G53" s="351"/>
      <c r="H53" s="100"/>
      <c r="I53" s="351">
        <f>SUMIF(data!$D:$D,$B53&amp;$D53,data!$J:$J)</f>
        <v>10</v>
      </c>
      <c r="J53" s="351">
        <f>SUMIF(data!$D:$D,$B53&amp;$D53,data!$K:$K)</f>
        <v>250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30</v>
      </c>
      <c r="N53" s="351">
        <f t="shared" si="17"/>
        <v>750</v>
      </c>
      <c r="O53" s="1161">
        <f t="shared" si="18"/>
        <v>8175</v>
      </c>
      <c r="P53" s="665"/>
      <c r="Q53" s="665"/>
      <c r="R53" s="804">
        <f>O53/INTGRATE!$N$293</f>
        <v>1635</v>
      </c>
      <c r="S53" s="665">
        <f t="shared" si="19"/>
        <v>0.45871559633027525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>
        <v>500</v>
      </c>
      <c r="AA53" s="100">
        <v>6750</v>
      </c>
      <c r="AB53" s="100">
        <v>0</v>
      </c>
      <c r="AC53" s="100">
        <v>250</v>
      </c>
      <c r="AD53" s="351"/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8175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187</v>
      </c>
      <c r="F54" s="100">
        <f>SUMIF(pro!$A:$A,$V:$V,pro!$N:$N)</f>
        <v>0</v>
      </c>
      <c r="G54" s="351"/>
      <c r="H54" s="100"/>
      <c r="I54" s="351">
        <f>SUMIF(data!$D:$D,$B54&amp;$D54,data!$J:$J)</f>
        <v>10</v>
      </c>
      <c r="J54" s="351">
        <f>SUMIF(data!$D:$D,$B54&amp;$D54,data!$K:$K)</f>
        <v>250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177</v>
      </c>
      <c r="N54" s="351">
        <f>M54*D54</f>
        <v>4425</v>
      </c>
      <c r="O54" s="1161">
        <f>SUM(X54:BB54)</f>
        <v>250</v>
      </c>
      <c r="P54" s="665"/>
      <c r="Q54" s="665"/>
      <c r="R54" s="804">
        <f>O54/INTGRATE!$N$293</f>
        <v>50</v>
      </c>
      <c r="S54" s="665">
        <f>IF(R54=0,0,N54/R54)</f>
        <v>88.5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>
        <v>0</v>
      </c>
      <c r="AA54" s="100">
        <v>0</v>
      </c>
      <c r="AB54" s="100">
        <v>0</v>
      </c>
      <c r="AC54" s="100">
        <v>250</v>
      </c>
      <c r="AD54" s="351"/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250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1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>
        <v>0</v>
      </c>
      <c r="AA55" s="100">
        <v>0</v>
      </c>
      <c r="AB55" s="100">
        <v>0</v>
      </c>
      <c r="AC55" s="100">
        <v>0</v>
      </c>
      <c r="AD55" s="351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225</v>
      </c>
      <c r="F56" s="100">
        <f>SUMIF(pro!$A:$A,$V:$V,pro!$N:$N)</f>
        <v>0</v>
      </c>
      <c r="G56" s="351"/>
      <c r="H56" s="100"/>
      <c r="I56" s="351">
        <f>SUMIF(data!$D:$D,$B56&amp;$D56,data!$J:$J)</f>
        <v>70</v>
      </c>
      <c r="J56" s="351">
        <f>SUMIF(data!$D:$D,$B56&amp;$D56,data!$K:$K)</f>
        <v>1750</v>
      </c>
      <c r="K56" s="100">
        <f>SUMIF(AJOUT!$A:$A,'PRO-NASA'!$V:$V,AJOUT!$L:$L)</f>
        <v>0</v>
      </c>
      <c r="L56" s="100">
        <v>0</v>
      </c>
      <c r="M56" s="650">
        <f t="shared" si="16"/>
        <v>155</v>
      </c>
      <c r="N56" s="351">
        <f t="shared" si="17"/>
        <v>3875</v>
      </c>
      <c r="O56" s="1161">
        <f t="shared" si="18"/>
        <v>5375</v>
      </c>
      <c r="P56" s="665"/>
      <c r="Q56" s="665"/>
      <c r="R56" s="804">
        <f>O56/INTGRATE!$N$293</f>
        <v>1075</v>
      </c>
      <c r="S56" s="665">
        <f t="shared" si="19"/>
        <v>3.6046511627906979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>
        <v>125</v>
      </c>
      <c r="AA56" s="100">
        <v>500</v>
      </c>
      <c r="AB56" s="100">
        <v>1750</v>
      </c>
      <c r="AC56" s="100">
        <v>1750</v>
      </c>
      <c r="AD56" s="351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5375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135</v>
      </c>
      <c r="F57" s="100">
        <f>SUMIF(pro!$A:$A,$V:$V,pro!$N:$N)</f>
        <v>0</v>
      </c>
      <c r="G57" s="351"/>
      <c r="H57" s="100"/>
      <c r="I57" s="351">
        <f>SUMIF(data!$D:$D,$B57&amp;$D57,data!$J:$J)</f>
        <v>25</v>
      </c>
      <c r="J57" s="351">
        <f>SUMIF(data!$D:$D,$B57&amp;$D57,data!$K:$K)</f>
        <v>625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110</v>
      </c>
      <c r="N57" s="351">
        <f t="shared" si="17"/>
        <v>2750</v>
      </c>
      <c r="O57" s="1161">
        <f t="shared" si="18"/>
        <v>2750</v>
      </c>
      <c r="P57" s="665"/>
      <c r="Q57" s="665"/>
      <c r="R57" s="804">
        <f>O57/INTGRATE!$N$293</f>
        <v>550</v>
      </c>
      <c r="S57" s="665">
        <f t="shared" si="19"/>
        <v>5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>
        <v>500</v>
      </c>
      <c r="AA57" s="157">
        <v>250</v>
      </c>
      <c r="AB57" s="157">
        <v>0</v>
      </c>
      <c r="AC57" s="157">
        <v>625</v>
      </c>
      <c r="AD57" s="1162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2"/>
      <c r="AX57" s="157"/>
      <c r="AY57" s="157"/>
      <c r="AZ57" s="157"/>
      <c r="BA57" s="157"/>
      <c r="BB57" s="157"/>
      <c r="BC57" s="668">
        <f t="shared" si="15"/>
        <v>2750</v>
      </c>
    </row>
    <row r="58" spans="1:149" s="59" customFormat="1" ht="15" customHeight="1">
      <c r="A58" s="1114" t="s">
        <v>71</v>
      </c>
      <c r="B58" s="1115"/>
      <c r="C58" s="1115"/>
      <c r="D58" s="1116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3525</v>
      </c>
      <c r="AA58" s="670">
        <f t="shared" si="28"/>
        <v>16650</v>
      </c>
      <c r="AB58" s="670">
        <f t="shared" si="28"/>
        <v>11125</v>
      </c>
      <c r="AC58" s="670">
        <f t="shared" si="28"/>
        <v>14700</v>
      </c>
      <c r="AD58" s="670">
        <f t="shared" si="28"/>
        <v>0</v>
      </c>
      <c r="AE58" s="670">
        <f t="shared" si="28"/>
        <v>0</v>
      </c>
      <c r="AF58" s="670">
        <f t="shared" si="28"/>
        <v>0</v>
      </c>
      <c r="AG58" s="670">
        <f t="shared" si="28"/>
        <v>0</v>
      </c>
      <c r="AH58" s="670">
        <f t="shared" si="28"/>
        <v>0</v>
      </c>
      <c r="AI58" s="670">
        <f t="shared" si="28"/>
        <v>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55175</v>
      </c>
      <c r="BF58" s="439"/>
    </row>
    <row r="59" spans="1:149" s="59" customFormat="1" ht="15" customHeight="1">
      <c r="A59" s="1114" t="s">
        <v>72</v>
      </c>
      <c r="B59" s="1115"/>
      <c r="C59" s="1115"/>
      <c r="D59" s="1116"/>
      <c r="E59" s="113">
        <f t="shared" ref="E59:S59" si="29">SUM(E41:E57)</f>
        <v>3448</v>
      </c>
      <c r="F59" s="113">
        <f t="shared" si="29"/>
        <v>651</v>
      </c>
      <c r="G59" s="113">
        <f t="shared" si="29"/>
        <v>0</v>
      </c>
      <c r="H59" s="113">
        <f t="shared" si="29"/>
        <v>0</v>
      </c>
      <c r="I59" s="113">
        <f t="shared" si="29"/>
        <v>588</v>
      </c>
      <c r="J59" s="113">
        <f t="shared" si="29"/>
        <v>14700</v>
      </c>
      <c r="K59" s="113">
        <f t="shared" si="29"/>
        <v>1</v>
      </c>
      <c r="L59" s="113">
        <f t="shared" si="29"/>
        <v>0</v>
      </c>
      <c r="M59" s="113">
        <f t="shared" si="29"/>
        <v>3510</v>
      </c>
      <c r="N59" s="113">
        <f t="shared" si="29"/>
        <v>87750</v>
      </c>
      <c r="O59" s="113">
        <f t="shared" si="29"/>
        <v>55175</v>
      </c>
      <c r="P59" s="113">
        <f t="shared" si="29"/>
        <v>0</v>
      </c>
      <c r="Q59" s="113">
        <f t="shared" si="29"/>
        <v>0</v>
      </c>
      <c r="R59" s="113">
        <f t="shared" si="29"/>
        <v>11035</v>
      </c>
      <c r="S59" s="113">
        <f t="shared" si="29"/>
        <v>160.8169343618535</v>
      </c>
      <c r="T59" s="1105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1114" t="s">
        <v>73</v>
      </c>
      <c r="B60" s="1115"/>
      <c r="C60" s="1115"/>
      <c r="D60" s="1116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1106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872" t="s">
        <v>74</v>
      </c>
      <c r="B61" s="873"/>
      <c r="C61" s="873"/>
      <c r="D61" s="874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1106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1119" t="s">
        <v>75</v>
      </c>
      <c r="B62" s="1120"/>
      <c r="C62" s="1120"/>
      <c r="D62" s="1121"/>
      <c r="E62" s="73">
        <f>SUM(E58:E60)</f>
        <v>3448</v>
      </c>
      <c r="F62" s="73">
        <f>SUM(F58:F60)-F61</f>
        <v>651</v>
      </c>
      <c r="G62" s="73">
        <f>SUM(G58:G60)</f>
        <v>0</v>
      </c>
      <c r="H62" s="73">
        <f t="shared" ref="H62:N62" si="30">SUM(H58:H60)</f>
        <v>0</v>
      </c>
      <c r="I62" s="73">
        <f>SUM(I58:I60)</f>
        <v>588</v>
      </c>
      <c r="J62" s="73">
        <f t="shared" si="30"/>
        <v>14700</v>
      </c>
      <c r="K62" s="73">
        <f>SUM(K58:K60)</f>
        <v>1</v>
      </c>
      <c r="L62" s="73">
        <f t="shared" si="30"/>
        <v>0</v>
      </c>
      <c r="M62" s="478">
        <f t="shared" si="30"/>
        <v>3510</v>
      </c>
      <c r="N62" s="73">
        <f t="shared" si="30"/>
        <v>87750</v>
      </c>
      <c r="O62" s="1112">
        <f>SUM(O43:O57)</f>
        <v>55175</v>
      </c>
      <c r="P62" s="186"/>
      <c r="Q62" s="186"/>
      <c r="R62" s="1095">
        <f>SUM(R43:R57)</f>
        <v>11035</v>
      </c>
      <c r="S62" s="1095" t="s">
        <v>83</v>
      </c>
      <c r="T62" s="1117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1122" t="s">
        <v>77</v>
      </c>
      <c r="B63" s="1123"/>
      <c r="C63" s="1123"/>
      <c r="D63" s="1124"/>
      <c r="E63" s="70">
        <f>SUM(E58:E59)*25+E60*40</f>
        <v>86200</v>
      </c>
      <c r="F63" s="70">
        <f t="shared" ref="F63:M63" si="31">SUM(F58:F59)*25+F60*40</f>
        <v>16275</v>
      </c>
      <c r="G63" s="70">
        <f>SUM(G58:G59)*25+G60*40</f>
        <v>0</v>
      </c>
      <c r="H63" s="70">
        <f t="shared" si="31"/>
        <v>0</v>
      </c>
      <c r="I63" s="70">
        <f>SUM(I58:I59)*25+I60*40</f>
        <v>14700</v>
      </c>
      <c r="J63" s="70">
        <f>SUM(J58:J59)+J60</f>
        <v>14700</v>
      </c>
      <c r="K63" s="70">
        <f>+K62*25</f>
        <v>25</v>
      </c>
      <c r="L63" s="70">
        <f t="shared" si="31"/>
        <v>0</v>
      </c>
      <c r="M63" s="480">
        <f t="shared" si="31"/>
        <v>87750</v>
      </c>
      <c r="N63" s="70">
        <f>SUM(N58:N59)+N60</f>
        <v>87750</v>
      </c>
      <c r="O63" s="1113"/>
      <c r="P63" s="187"/>
      <c r="Q63" s="187"/>
      <c r="R63" s="1096"/>
      <c r="S63" s="1096"/>
      <c r="T63" s="1118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V221" activePane="bottomRight" state="frozen"/>
      <selection pane="bottomRight" activeCell="Y239" sqref="Y239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094" t="s">
        <v>13</v>
      </c>
      <c r="B2" s="1094"/>
      <c r="C2" s="1094"/>
      <c r="D2" s="1094"/>
      <c r="E2" s="1094"/>
      <c r="F2" s="109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1094" t="s">
        <v>14</v>
      </c>
      <c r="B3" s="1094"/>
      <c r="C3" s="1094"/>
      <c r="D3" s="1094"/>
      <c r="E3" s="1094"/>
      <c r="F3" s="1094"/>
      <c r="G3" s="291"/>
      <c r="J3" s="63"/>
      <c r="K3" s="63"/>
      <c r="M3" s="466"/>
      <c r="N3" s="718" t="s">
        <v>15</v>
      </c>
      <c r="O3" s="1108">
        <v>46148</v>
      </c>
      <c r="P3" s="1108"/>
      <c r="Q3" s="1108"/>
      <c r="R3" s="1108"/>
      <c r="S3" s="1108"/>
      <c r="T3" s="1108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925" t="s">
        <v>22</v>
      </c>
      <c r="B10" s="916" t="s">
        <v>23</v>
      </c>
      <c r="C10" s="916" t="s">
        <v>24</v>
      </c>
      <c r="D10" s="928" t="s">
        <v>25</v>
      </c>
      <c r="E10" s="61" t="s">
        <v>26</v>
      </c>
      <c r="F10" s="931" t="s">
        <v>27</v>
      </c>
      <c r="G10" s="936"/>
      <c r="H10" s="932"/>
      <c r="I10" s="931" t="s">
        <v>28</v>
      </c>
      <c r="J10" s="936"/>
      <c r="K10" s="936"/>
      <c r="L10" s="936"/>
      <c r="M10" s="931" t="s">
        <v>29</v>
      </c>
      <c r="N10" s="932"/>
      <c r="O10" s="183" t="s">
        <v>30</v>
      </c>
      <c r="P10" s="183"/>
      <c r="Q10" s="183"/>
      <c r="R10" s="183" t="s">
        <v>31</v>
      </c>
      <c r="S10" s="928" t="s">
        <v>32</v>
      </c>
      <c r="T10" s="1049" t="s">
        <v>33</v>
      </c>
      <c r="U10" s="881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926"/>
      <c r="B11" s="917"/>
      <c r="C11" s="917"/>
      <c r="D11" s="929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931" t="s">
        <v>40</v>
      </c>
      <c r="J11" s="936"/>
      <c r="K11" s="512" t="s">
        <v>41</v>
      </c>
      <c r="L11" s="681" t="s">
        <v>42</v>
      </c>
      <c r="M11" s="1074" t="s">
        <v>43</v>
      </c>
      <c r="N11" s="1125"/>
      <c r="O11" s="683" t="s">
        <v>44</v>
      </c>
      <c r="P11" s="184"/>
      <c r="Q11" s="184"/>
      <c r="R11" s="683" t="s">
        <v>45</v>
      </c>
      <c r="S11" s="929"/>
      <c r="T11" s="1050"/>
      <c r="U11" s="882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927"/>
      <c r="B12" s="918"/>
      <c r="C12" s="918"/>
      <c r="D12" s="930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930"/>
      <c r="T12" s="1051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>
        <v>0</v>
      </c>
      <c r="AA13" s="100">
        <v>0</v>
      </c>
      <c r="AB13" s="100">
        <v>0</v>
      </c>
      <c r="AC13" s="100">
        <v>0</v>
      </c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>
        <f>SUM(N16,N26:N41)</f>
        <v>65625</v>
      </c>
      <c r="Q14" s="804">
        <f>SUM(O16,O26:O41)</f>
        <v>40480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>
        <v>0</v>
      </c>
      <c r="AA14" s="100">
        <v>0</v>
      </c>
      <c r="AB14" s="100">
        <v>0</v>
      </c>
      <c r="AC14" s="100">
        <v>0</v>
      </c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58">
        <f t="shared" ref="M15:M34" si="5">E15+F15+H15-I15-L15+G15-K15</f>
        <v>0</v>
      </c>
      <c r="N15" s="652">
        <f t="shared" ref="N15:N85" si="6">M15*25</f>
        <v>0</v>
      </c>
      <c r="O15" s="1159">
        <f t="shared" ref="O15:O85" si="7">SUM(X15:BB15)</f>
        <v>0</v>
      </c>
      <c r="P15" s="804">
        <f>SUM(N18:N20,N55,N57:N58,N81:N81,N88:N95,N56,N82,N54)</f>
        <v>211050</v>
      </c>
      <c r="Q15" s="804">
        <f>SUM(O18:O20,O55,O57:O58,O81:O81,O88:O95,O56,O82,O54)</f>
        <v>283220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>
        <v>0</v>
      </c>
      <c r="AA15" s="100">
        <v>0</v>
      </c>
      <c r="AB15" s="100">
        <v>0</v>
      </c>
      <c r="AC15" s="100">
        <v>0</v>
      </c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326155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58">
        <f t="shared" si="5"/>
        <v>0</v>
      </c>
      <c r="N16" s="652">
        <f t="shared" si="6"/>
        <v>0</v>
      </c>
      <c r="O16" s="1159">
        <f t="shared" si="7"/>
        <v>0</v>
      </c>
      <c r="P16" s="804">
        <f>SUM(N13:N149)-P13-P14-P15-P17-P18-P19</f>
        <v>351225</v>
      </c>
      <c r="Q16" s="804">
        <f>SUM(O13:O149)-Q13-Q14-Q15-Q17-Q18-Q19</f>
        <v>779175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>
        <v>0</v>
      </c>
      <c r="AA16" s="100">
        <v>0</v>
      </c>
      <c r="AB16" s="100">
        <v>0</v>
      </c>
      <c r="AC16" s="100">
        <v>0</v>
      </c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3">
        <f>+SUM(BC13:BC14)+SUM(BC23:BC24)+SUM(BC39:BC39)+SUM(BC109:BC131)+SUM(BC177:BC183)+SUM(BC255:BC264)+SUM(BC295:BC297)+SUM(BC323:BC325)-BC117-BC122-BC123-BC179-BC181-BC261-BC260-BC125-BC124</f>
        <v>852235</v>
      </c>
      <c r="BG16" s="38"/>
      <c r="BH16" s="436" t="s">
        <v>93</v>
      </c>
      <c r="BI16" s="1163">
        <f>+BF15+BF16+BF17</f>
        <v>1550090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58">
        <f t="shared" si="5"/>
        <v>0</v>
      </c>
      <c r="N17" s="652">
        <f t="shared" si="6"/>
        <v>0</v>
      </c>
      <c r="O17" s="1159">
        <f t="shared" si="7"/>
        <v>0</v>
      </c>
      <c r="P17" s="804">
        <f>+N17+SUM(N43:N46,N113:N125,N97:N102)-N114+SUM(N103:N108)</f>
        <v>210925</v>
      </c>
      <c r="Q17" s="804">
        <f>+O17+SUM(O43:O46,O113:O125,O97:O102)-O114+SUM(O103:O108)</f>
        <v>530510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>
        <v>0</v>
      </c>
      <c r="AA17" s="100">
        <v>0</v>
      </c>
      <c r="AB17" s="100">
        <v>0</v>
      </c>
      <c r="AC17" s="100">
        <v>0</v>
      </c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3">
        <f>+BC15+BC25+SUM(BC132:BC143)+SUM(BC184:BC186)+SUM(BC265:BC273)+SUM(BC298:BC299)</f>
        <v>371700</v>
      </c>
      <c r="BG17" s="38"/>
      <c r="BH17" s="436" t="s">
        <v>95</v>
      </c>
      <c r="BI17" s="1164"/>
      <c r="BJ17" s="1164"/>
      <c r="BK17" s="1164"/>
      <c r="BL17" s="1164"/>
      <c r="BM17" s="1164"/>
      <c r="BN17" s="1164"/>
      <c r="BO17" s="1164"/>
      <c r="BP17" s="1164"/>
      <c r="BQ17" s="1164"/>
      <c r="BR17" s="1164"/>
      <c r="BS17" s="1164"/>
      <c r="BT17" s="1164"/>
      <c r="BU17" s="1164"/>
      <c r="BV17" s="1164"/>
      <c r="BW17" s="1164"/>
      <c r="BX17" s="1164"/>
      <c r="BY17" s="1164"/>
      <c r="BZ17" s="1164"/>
      <c r="CA17" s="1164"/>
      <c r="CB17" s="1164"/>
      <c r="CC17" s="1164"/>
      <c r="CD17" s="1164"/>
      <c r="CE17" s="1164"/>
      <c r="CF17" s="1164"/>
      <c r="CG17" s="1164"/>
      <c r="CH17" s="1164"/>
      <c r="CI17" s="1164"/>
      <c r="CJ17" s="1164"/>
      <c r="CK17" s="1164"/>
      <c r="CL17" s="1164"/>
      <c r="CM17" s="1164"/>
      <c r="CN17" s="1164"/>
      <c r="CO17" s="1164"/>
      <c r="CP17" s="1164"/>
      <c r="CQ17" s="1164"/>
      <c r="CR17" s="1164"/>
      <c r="CS17" s="1164"/>
      <c r="CT17" s="1164"/>
      <c r="CU17" s="1164"/>
      <c r="CV17" s="1164"/>
      <c r="CW17" s="1164"/>
      <c r="CX17" s="1164"/>
      <c r="CY17" s="1164"/>
      <c r="CZ17" s="1164"/>
      <c r="DA17" s="1164"/>
      <c r="DB17" s="1164"/>
      <c r="DC17" s="1164"/>
      <c r="DD17" s="1164"/>
      <c r="DE17" s="1164"/>
      <c r="DF17" s="1164"/>
      <c r="DG17" s="1164"/>
      <c r="DH17" s="1164"/>
      <c r="DI17" s="1164"/>
      <c r="DJ17" s="1164"/>
      <c r="DK17" s="1164"/>
      <c r="DL17" s="1164"/>
      <c r="DM17" s="1164"/>
      <c r="DN17" s="1164"/>
      <c r="DO17" s="1164"/>
      <c r="DP17" s="1164"/>
      <c r="DQ17" s="1164"/>
      <c r="DR17" s="1164"/>
      <c r="DS17" s="1164"/>
      <c r="DT17" s="1164"/>
      <c r="DU17" s="1164"/>
      <c r="DV17" s="1164"/>
      <c r="DW17" s="1164"/>
      <c r="DX17" s="1164"/>
      <c r="DY17" s="1164"/>
      <c r="DZ17" s="1164"/>
      <c r="EA17" s="1164"/>
      <c r="EB17" s="1164"/>
      <c r="EC17" s="1164"/>
      <c r="ED17" s="1164"/>
      <c r="EE17" s="1164"/>
      <c r="EF17" s="1164"/>
      <c r="EG17" s="1164"/>
      <c r="EH17" s="1164"/>
      <c r="EI17" s="1164"/>
      <c r="EJ17" s="1164"/>
      <c r="EK17" s="1164"/>
      <c r="EL17" s="1164"/>
      <c r="EM17" s="1164"/>
      <c r="EN17" s="1164"/>
      <c r="EO17" s="1164"/>
      <c r="EP17" s="1164"/>
      <c r="EQ17" s="1164"/>
      <c r="ER17" s="1164"/>
      <c r="ES17" s="1164"/>
      <c r="ET17" s="1164"/>
      <c r="EU17" s="1164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58">
        <f>E18+F18+H18-I18-L18+G18-K18</f>
        <v>0</v>
      </c>
      <c r="N18" s="652">
        <f t="shared" si="6"/>
        <v>0</v>
      </c>
      <c r="O18" s="1159">
        <f t="shared" si="7"/>
        <v>0</v>
      </c>
      <c r="P18" s="804">
        <f>+SUM(N63:N74,N59:N60,N47:N52)</f>
        <v>34075</v>
      </c>
      <c r="Q18" s="804">
        <f>+SUM(O63:O74,O59:O60,O47:O52)</f>
        <v>112650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>
        <v>0</v>
      </c>
      <c r="AA18" s="100">
        <v>0</v>
      </c>
      <c r="AB18" s="100">
        <v>0</v>
      </c>
      <c r="AC18" s="100">
        <v>0</v>
      </c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2" si="8">SUM(X18:BB18)</f>
        <v>0</v>
      </c>
      <c r="BD18" s="786">
        <f t="shared" ref="BD18:BD82" si="9">COUNTIF(X18:BB18,"&gt;0")</f>
        <v>0</v>
      </c>
      <c r="BE18" s="786">
        <f t="shared" ref="BE18:BE82" si="10">IFERROR(BC18/BD18,0)</f>
        <v>0</v>
      </c>
      <c r="BF18" s="1163">
        <f>BC226+BC225+BC50+BC219+BC220+BC49+BC46+BC53+BC45+BC231+BC229+BC42+BC47++BC48+BC51++BC52+BC55+BC56+BC60+BC168+BC316+BC169+BC221+BC228+BC223+BC217+BC222+BC218+BC227+BC224+BC54+BC230</f>
        <v>328120</v>
      </c>
      <c r="BG18" s="38"/>
      <c r="BH18" s="436" t="s">
        <v>97</v>
      </c>
      <c r="BI18" s="1164"/>
      <c r="BJ18" s="1164"/>
      <c r="BK18" s="1164"/>
      <c r="BL18" s="1164"/>
      <c r="BM18" s="1164"/>
      <c r="BN18" s="1164"/>
      <c r="BO18" s="1164"/>
      <c r="BP18" s="1164"/>
      <c r="BQ18" s="1164"/>
      <c r="BR18" s="1164"/>
      <c r="BS18" s="1164"/>
      <c r="BT18" s="1164"/>
      <c r="BU18" s="1164"/>
      <c r="BV18" s="1164"/>
      <c r="BW18" s="1164"/>
      <c r="BX18" s="1164"/>
      <c r="BY18" s="1164"/>
      <c r="BZ18" s="1164"/>
      <c r="CA18" s="1164"/>
      <c r="CB18" s="1164"/>
      <c r="CC18" s="1164"/>
      <c r="CD18" s="1164"/>
      <c r="CE18" s="1164"/>
      <c r="CF18" s="1164"/>
      <c r="CG18" s="1164"/>
      <c r="CH18" s="1164"/>
      <c r="CI18" s="1164"/>
      <c r="CJ18" s="1164"/>
      <c r="CK18" s="1164"/>
      <c r="CL18" s="1164"/>
      <c r="CM18" s="1164"/>
      <c r="CN18" s="1164"/>
      <c r="CO18" s="1164"/>
      <c r="CP18" s="1164"/>
      <c r="CQ18" s="1164"/>
      <c r="CR18" s="1164"/>
      <c r="CS18" s="1164"/>
      <c r="CT18" s="1164"/>
      <c r="CU18" s="1164"/>
      <c r="CV18" s="1164"/>
      <c r="CW18" s="1164"/>
      <c r="CX18" s="1164"/>
      <c r="CY18" s="1164"/>
      <c r="CZ18" s="1164"/>
      <c r="DA18" s="1164"/>
      <c r="DB18" s="1164"/>
      <c r="DC18" s="1164"/>
      <c r="DD18" s="1164"/>
      <c r="DE18" s="1164"/>
      <c r="DF18" s="1164"/>
      <c r="DG18" s="1164"/>
      <c r="DH18" s="1164"/>
      <c r="DI18" s="1164"/>
      <c r="DJ18" s="1164"/>
      <c r="DK18" s="1164"/>
      <c r="DL18" s="1164"/>
      <c r="DM18" s="1164"/>
      <c r="DN18" s="1164"/>
      <c r="DO18" s="1164"/>
      <c r="DP18" s="1164"/>
      <c r="DQ18" s="1164"/>
      <c r="DR18" s="1164"/>
      <c r="DS18" s="1164"/>
      <c r="DT18" s="1164"/>
      <c r="DU18" s="1164"/>
      <c r="DV18" s="1164"/>
      <c r="DW18" s="1164"/>
      <c r="DX18" s="1164"/>
      <c r="DY18" s="1164"/>
      <c r="DZ18" s="1164"/>
      <c r="EA18" s="1164"/>
      <c r="EB18" s="1164"/>
      <c r="EC18" s="1164"/>
      <c r="ED18" s="1164"/>
      <c r="EE18" s="1164"/>
      <c r="EF18" s="1164"/>
      <c r="EG18" s="1164"/>
      <c r="EH18" s="1164"/>
      <c r="EI18" s="1164"/>
      <c r="EJ18" s="1164"/>
      <c r="EK18" s="1164"/>
      <c r="EL18" s="1164"/>
      <c r="EM18" s="1164"/>
      <c r="EN18" s="1164"/>
      <c r="EO18" s="1164"/>
      <c r="EP18" s="1164"/>
      <c r="EQ18" s="1164"/>
      <c r="ER18" s="1164"/>
      <c r="ES18" s="1164"/>
      <c r="ET18" s="1164"/>
      <c r="EU18" s="1164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58">
        <f>E19+F19+H19-I19-L19+G19-K19</f>
        <v>0</v>
      </c>
      <c r="N19" s="652">
        <f t="shared" si="6"/>
        <v>0</v>
      </c>
      <c r="O19" s="1159">
        <f t="shared" si="7"/>
        <v>0</v>
      </c>
      <c r="P19" s="804">
        <f>+N42+N51+N52+N61+N62</f>
        <v>62425</v>
      </c>
      <c r="Q19" s="804">
        <f>+O42+O51+O52+O61+O62</f>
        <v>128060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>
        <v>0</v>
      </c>
      <c r="AA19" s="100">
        <v>0</v>
      </c>
      <c r="AB19" s="100">
        <v>0</v>
      </c>
      <c r="AC19" s="100">
        <v>0</v>
      </c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3"/>
      <c r="BG19" s="38"/>
      <c r="BH19" s="436"/>
      <c r="BI19" s="1164"/>
      <c r="BJ19" s="1164"/>
      <c r="BK19" s="1164"/>
      <c r="BL19" s="1164"/>
      <c r="BM19" s="1164"/>
      <c r="BN19" s="1164"/>
      <c r="BO19" s="1164"/>
      <c r="BP19" s="1164"/>
      <c r="BQ19" s="1164"/>
      <c r="BR19" s="1164"/>
      <c r="BS19" s="1164"/>
      <c r="BT19" s="1164"/>
      <c r="BU19" s="1164"/>
      <c r="BV19" s="1164"/>
      <c r="BW19" s="1164"/>
      <c r="BX19" s="1164"/>
      <c r="BY19" s="1164"/>
      <c r="BZ19" s="1164"/>
      <c r="CA19" s="1164"/>
      <c r="CB19" s="1164"/>
      <c r="CC19" s="1164"/>
      <c r="CD19" s="1164"/>
      <c r="CE19" s="1164"/>
      <c r="CF19" s="1164"/>
      <c r="CG19" s="1164"/>
      <c r="CH19" s="1164"/>
      <c r="CI19" s="1164"/>
      <c r="CJ19" s="1164"/>
      <c r="CK19" s="1164"/>
      <c r="CL19" s="1164"/>
      <c r="CM19" s="1164"/>
      <c r="CN19" s="1164"/>
      <c r="CO19" s="1164"/>
      <c r="CP19" s="1164"/>
      <c r="CQ19" s="1164"/>
      <c r="CR19" s="1164"/>
      <c r="CS19" s="1164"/>
      <c r="CT19" s="1164"/>
      <c r="CU19" s="1164"/>
      <c r="CV19" s="1164"/>
      <c r="CW19" s="1164"/>
      <c r="CX19" s="1164"/>
      <c r="CY19" s="1164"/>
      <c r="CZ19" s="1164"/>
      <c r="DA19" s="1164"/>
      <c r="DB19" s="1164"/>
      <c r="DC19" s="1164"/>
      <c r="DD19" s="1164"/>
      <c r="DE19" s="1164"/>
      <c r="DF19" s="1164"/>
      <c r="DG19" s="1164"/>
      <c r="DH19" s="1164"/>
      <c r="DI19" s="1164"/>
      <c r="DJ19" s="1164"/>
      <c r="DK19" s="1164"/>
      <c r="DL19" s="1164"/>
      <c r="DM19" s="1164"/>
      <c r="DN19" s="1164"/>
      <c r="DO19" s="1164"/>
      <c r="DP19" s="1164"/>
      <c r="DQ19" s="1164"/>
      <c r="DR19" s="1164"/>
      <c r="DS19" s="1164"/>
      <c r="DT19" s="1164"/>
      <c r="DU19" s="1164"/>
      <c r="DV19" s="1164"/>
      <c r="DW19" s="1164"/>
      <c r="DX19" s="1164"/>
      <c r="DY19" s="1164"/>
      <c r="DZ19" s="1164"/>
      <c r="EA19" s="1164"/>
      <c r="EB19" s="1164"/>
      <c r="EC19" s="1164"/>
      <c r="ED19" s="1164"/>
      <c r="EE19" s="1164"/>
      <c r="EF19" s="1164"/>
      <c r="EG19" s="1164"/>
      <c r="EH19" s="1164"/>
      <c r="EI19" s="1164"/>
      <c r="EJ19" s="1164"/>
      <c r="EK19" s="1164"/>
      <c r="EL19" s="1164"/>
      <c r="EM19" s="1164"/>
      <c r="EN19" s="1164"/>
      <c r="EO19" s="1164"/>
      <c r="EP19" s="1164"/>
      <c r="EQ19" s="1164"/>
      <c r="ER19" s="1164"/>
      <c r="ES19" s="1164"/>
      <c r="ET19" s="1164"/>
      <c r="EU19" s="1164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81</v>
      </c>
      <c r="F20" s="100">
        <f>SUMIF(pro!$A:$A,$V:$V,pro!$N:$N)</f>
        <v>0</v>
      </c>
      <c r="G20" s="100"/>
      <c r="H20" s="100">
        <f>SUMIF(CBIN!$A:$A,BRAN!$V:$V,CBIN!$G:$G)</f>
        <v>0</v>
      </c>
      <c r="I20" s="100">
        <f>SUMIF(data!$D:$D,$B20&amp;$D20,data!$J:$J)</f>
        <v>25</v>
      </c>
      <c r="J20" s="100">
        <f>SUMIF(data!$D:$D,$B20&amp;$D20,data!$K:$K)</f>
        <v>625</v>
      </c>
      <c r="K20" s="100">
        <f>SUMIF(AJOUT!$A:$A,BRAN!$V:$V,AJOUT!$L:$L)</f>
        <v>0</v>
      </c>
      <c r="L20" s="100">
        <f>SUMIF(CBOUT!$A:$A,BRAN!$V:$V,CBOUT!$G:$G)</f>
        <v>0</v>
      </c>
      <c r="M20" s="1158">
        <f>E20+F20+H20-I20-L20+G20-K20</f>
        <v>56</v>
      </c>
      <c r="N20" s="652">
        <f t="shared" si="6"/>
        <v>1400</v>
      </c>
      <c r="O20" s="1159">
        <f t="shared" si="7"/>
        <v>1550</v>
      </c>
      <c r="P20" s="804"/>
      <c r="Q20" s="804"/>
      <c r="R20" s="100">
        <f>O20/INTGRATE!$N$293</f>
        <v>310</v>
      </c>
      <c r="S20" s="665">
        <f t="shared" si="0"/>
        <v>4.5161290322580649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>
        <v>0</v>
      </c>
      <c r="AA20" s="100">
        <v>0</v>
      </c>
      <c r="AB20" s="100">
        <v>925</v>
      </c>
      <c r="AC20" s="100">
        <v>625</v>
      </c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1550</v>
      </c>
      <c r="BD20" s="786">
        <f t="shared" si="9"/>
        <v>2</v>
      </c>
      <c r="BE20" s="786">
        <f t="shared" si="10"/>
        <v>775</v>
      </c>
      <c r="BF20" s="1163">
        <f>BC70+BC213+BC215+BC318+BC212+BC214+BC71+BC207+BC65+BC66+BC292+BC30+BC33+BC63+BC64+BC67+BC72+BC73+BC74+BC34+BC35+BC68+BC206+BC32+BC216+BC314+BC317+BC315+BC210+BC208+BC69+BC290+BC211+BC293+BC31+BC291+BC209</f>
        <v>117100</v>
      </c>
      <c r="BG20" s="38" t="s">
        <v>100</v>
      </c>
      <c r="BH20" s="436" t="s">
        <v>101</v>
      </c>
      <c r="BI20" s="1163">
        <f>+BF18+BF20+BF21</f>
        <v>484595</v>
      </c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1164"/>
      <c r="CF20" s="1164"/>
      <c r="CG20" s="1164"/>
      <c r="CH20" s="1164"/>
      <c r="CI20" s="1164"/>
      <c r="CJ20" s="1164"/>
      <c r="CK20" s="1164"/>
      <c r="CL20" s="1164"/>
      <c r="CM20" s="1164"/>
      <c r="CN20" s="1164"/>
      <c r="CO20" s="1164"/>
      <c r="CP20" s="1164"/>
      <c r="CQ20" s="1164"/>
      <c r="CR20" s="1164"/>
      <c r="CS20" s="1164"/>
      <c r="CT20" s="1164"/>
      <c r="CU20" s="1164"/>
      <c r="CV20" s="1164"/>
      <c r="CW20" s="1164"/>
      <c r="CX20" s="1164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4"/>
      <c r="DJ20" s="1164"/>
      <c r="DK20" s="1164"/>
      <c r="DL20" s="1164"/>
      <c r="DM20" s="1164"/>
      <c r="DN20" s="1164"/>
      <c r="DO20" s="1164"/>
      <c r="DP20" s="1164"/>
      <c r="DQ20" s="1164"/>
      <c r="DR20" s="1164"/>
      <c r="DS20" s="1164"/>
      <c r="DT20" s="1164"/>
      <c r="DU20" s="1164"/>
      <c r="DV20" s="1164"/>
      <c r="DW20" s="1164"/>
      <c r="DX20" s="1164"/>
      <c r="DY20" s="1164"/>
      <c r="DZ20" s="1164"/>
      <c r="EA20" s="1164"/>
      <c r="EB20" s="1164"/>
      <c r="EC20" s="1164"/>
      <c r="ED20" s="1164"/>
      <c r="EE20" s="1164"/>
      <c r="EF20" s="1164"/>
      <c r="EG20" s="1164"/>
      <c r="EH20" s="1164"/>
      <c r="EI20" s="1164"/>
      <c r="EJ20" s="1164"/>
      <c r="EK20" s="1164"/>
      <c r="EL20" s="1164"/>
      <c r="EM20" s="1164"/>
      <c r="EN20" s="1164"/>
      <c r="EO20" s="1164"/>
      <c r="EP20" s="1164"/>
      <c r="EQ20" s="1164"/>
      <c r="ER20" s="1164"/>
      <c r="ES20" s="1164"/>
      <c r="ET20" s="1164"/>
      <c r="EU20" s="1164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5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58">
        <f>E21+F21+H21-I21-L21+G21-K21</f>
        <v>0</v>
      </c>
      <c r="N21" s="652">
        <f t="shared" si="6"/>
        <v>0</v>
      </c>
      <c r="O21" s="1159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6"/>
      <c r="V21" s="836" t="str">
        <f t="shared" si="1"/>
        <v>571 (5*5)25</v>
      </c>
      <c r="W21" s="823">
        <v>411001</v>
      </c>
      <c r="X21" s="388"/>
      <c r="Y21" s="388">
        <v>0</v>
      </c>
      <c r="Z21" s="100">
        <v>0</v>
      </c>
      <c r="AA21" s="100">
        <v>0</v>
      </c>
      <c r="AB21" s="100">
        <v>0</v>
      </c>
      <c r="AC21" s="100">
        <v>0</v>
      </c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3">
        <f>+BC17+BC43+BC44+BC57+BC58+BC59</f>
        <v>39375</v>
      </c>
      <c r="BG21" s="38" t="s">
        <v>103</v>
      </c>
      <c r="BH21" s="436" t="s">
        <v>104</v>
      </c>
      <c r="BI21" s="436"/>
      <c r="BJ21" s="1167"/>
      <c r="BK21" s="1167"/>
      <c r="BL21" s="1167"/>
      <c r="BM21" s="1167"/>
      <c r="BN21" s="1167"/>
      <c r="BO21" s="1167"/>
      <c r="BP21" s="1167"/>
      <c r="BQ21" s="1167"/>
      <c r="BR21" s="1167"/>
      <c r="BS21" s="1167"/>
      <c r="BT21" s="1167"/>
      <c r="BU21" s="1167"/>
      <c r="BV21" s="1167"/>
      <c r="BW21" s="1167"/>
      <c r="BX21" s="1167"/>
      <c r="BY21" s="1167"/>
      <c r="BZ21" s="1167"/>
      <c r="CA21" s="1167"/>
      <c r="CB21" s="1167"/>
      <c r="CC21" s="1167"/>
      <c r="CD21" s="1167"/>
      <c r="CE21" s="1167"/>
      <c r="CF21" s="1167"/>
      <c r="CG21" s="1167"/>
      <c r="CH21" s="1167"/>
      <c r="CI21" s="1167"/>
      <c r="CJ21" s="1167"/>
      <c r="CK21" s="1167"/>
      <c r="CL21" s="1167"/>
      <c r="CM21" s="1167"/>
      <c r="CN21" s="1167"/>
      <c r="CO21" s="1167"/>
      <c r="CP21" s="1167"/>
      <c r="CQ21" s="1167"/>
      <c r="CR21" s="1167"/>
      <c r="CS21" s="1167"/>
      <c r="CT21" s="1167"/>
      <c r="CU21" s="1167"/>
      <c r="CV21" s="1167"/>
      <c r="CW21" s="1167"/>
      <c r="CX21" s="1167"/>
      <c r="CY21" s="1167"/>
      <c r="CZ21" s="1167"/>
      <c r="DA21" s="1167"/>
      <c r="DB21" s="1167"/>
      <c r="DC21" s="1167"/>
      <c r="DD21" s="1167"/>
      <c r="DE21" s="1167"/>
      <c r="DF21" s="1167"/>
      <c r="DG21" s="1167"/>
      <c r="DH21" s="1167"/>
      <c r="DI21" s="1167"/>
      <c r="DJ21" s="1167"/>
      <c r="DK21" s="1167"/>
      <c r="DL21" s="1167"/>
      <c r="DM21" s="1167"/>
      <c r="DN21" s="1167"/>
      <c r="DO21" s="1167"/>
      <c r="DP21" s="1167"/>
      <c r="DQ21" s="1167"/>
      <c r="DR21" s="1167"/>
      <c r="DS21" s="1167"/>
      <c r="DT21" s="1167"/>
      <c r="DU21" s="1167"/>
      <c r="DV21" s="1167"/>
      <c r="DW21" s="1167"/>
      <c r="DX21" s="1167"/>
      <c r="DY21" s="1167"/>
      <c r="DZ21" s="1167"/>
      <c r="EA21" s="1167"/>
      <c r="EB21" s="1167"/>
      <c r="EC21" s="1167"/>
      <c r="ED21" s="1167"/>
      <c r="EE21" s="1167"/>
      <c r="EF21" s="1167"/>
      <c r="EG21" s="1167"/>
      <c r="EH21" s="1167"/>
      <c r="EI21" s="1167"/>
      <c r="EJ21" s="1167"/>
      <c r="EK21" s="1167"/>
      <c r="EL21" s="1167"/>
      <c r="EM21" s="1167"/>
      <c r="EN21" s="1167"/>
      <c r="EO21" s="1167"/>
      <c r="EP21" s="1167"/>
      <c r="EQ21" s="1167"/>
      <c r="ER21" s="1167"/>
      <c r="ES21" s="1167"/>
      <c r="ET21" s="1167"/>
      <c r="EU21" s="1167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5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58">
        <f t="shared" si="5"/>
        <v>0</v>
      </c>
      <c r="N22" s="652">
        <f t="shared" si="6"/>
        <v>0</v>
      </c>
      <c r="O22" s="1159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6"/>
      <c r="V22" s="836" t="str">
        <f t="shared" si="1"/>
        <v>572 (5*5)25</v>
      </c>
      <c r="W22" s="823">
        <v>412001</v>
      </c>
      <c r="X22" s="388"/>
      <c r="Y22" s="388">
        <v>0</v>
      </c>
      <c r="Z22" s="100">
        <v>0</v>
      </c>
      <c r="AA22" s="100">
        <v>0</v>
      </c>
      <c r="AB22" s="100">
        <v>0</v>
      </c>
      <c r="AC22" s="100">
        <v>0</v>
      </c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68">
        <f>+BC75+BC81+BC86+BC245+BC249+BC82+BC83+BC171+BC84+BC85+BC172+BC170+BC319+BC320+BC247+BC246+BC248</f>
        <v>161375</v>
      </c>
      <c r="BG22" s="598"/>
      <c r="BH22" s="599" t="s">
        <v>108</v>
      </c>
      <c r="BI22" s="85">
        <f>+BF22+BF23+BF27+BF29</f>
        <v>175050</v>
      </c>
      <c r="BJ22" s="1167"/>
      <c r="BK22" s="1167"/>
      <c r="BL22" s="1167"/>
      <c r="BM22" s="1167"/>
      <c r="BN22" s="1167"/>
      <c r="BO22" s="1167"/>
      <c r="BP22" s="1167"/>
      <c r="BQ22" s="1167"/>
      <c r="BR22" s="1167"/>
      <c r="BS22" s="1167"/>
      <c r="BT22" s="1167"/>
      <c r="BU22" s="1167"/>
      <c r="BV22" s="1167"/>
      <c r="BW22" s="1167"/>
      <c r="BX22" s="1167"/>
      <c r="BY22" s="1167"/>
      <c r="BZ22" s="1167"/>
      <c r="CA22" s="1167"/>
      <c r="CB22" s="1167"/>
      <c r="CC22" s="1167"/>
      <c r="CD22" s="1167"/>
      <c r="CE22" s="1167"/>
      <c r="CF22" s="1167"/>
      <c r="CG22" s="1167"/>
      <c r="CH22" s="1167"/>
      <c r="CI22" s="1167"/>
      <c r="CJ22" s="1167"/>
      <c r="CK22" s="1167"/>
      <c r="CL22" s="1167"/>
      <c r="CM22" s="1167"/>
      <c r="CN22" s="1167"/>
      <c r="CO22" s="1167"/>
      <c r="CP22" s="1167"/>
      <c r="CQ22" s="1167"/>
      <c r="CR22" s="1167"/>
      <c r="CS22" s="1167"/>
      <c r="CT22" s="1167"/>
      <c r="CU22" s="1167"/>
      <c r="CV22" s="1167"/>
      <c r="CW22" s="1167"/>
      <c r="CX22" s="1167"/>
      <c r="CY22" s="1167"/>
      <c r="CZ22" s="1167"/>
      <c r="DA22" s="1167"/>
      <c r="DB22" s="1167"/>
      <c r="DC22" s="1167"/>
      <c r="DD22" s="1167"/>
      <c r="DE22" s="1167"/>
      <c r="DF22" s="1167"/>
      <c r="DG22" s="1167"/>
      <c r="DH22" s="1167"/>
      <c r="DI22" s="1167"/>
      <c r="DJ22" s="1167"/>
      <c r="DK22" s="1167"/>
      <c r="DL22" s="1167"/>
      <c r="DM22" s="1167"/>
      <c r="DN22" s="1167"/>
      <c r="DO22" s="1167"/>
      <c r="DP22" s="1167"/>
      <c r="DQ22" s="1167"/>
      <c r="DR22" s="1167"/>
      <c r="DS22" s="1167"/>
      <c r="DT22" s="1167"/>
      <c r="DU22" s="1167"/>
      <c r="DV22" s="1167"/>
      <c r="DW22" s="1167"/>
      <c r="DX22" s="1167"/>
      <c r="DY22" s="1167"/>
      <c r="DZ22" s="1167"/>
      <c r="EA22" s="1167"/>
      <c r="EB22" s="1167"/>
      <c r="EC22" s="1167"/>
      <c r="ED22" s="1167"/>
      <c r="EE22" s="1167"/>
      <c r="EF22" s="1167"/>
      <c r="EG22" s="1167"/>
      <c r="EH22" s="1167"/>
      <c r="EI22" s="1167"/>
      <c r="EJ22" s="1167"/>
      <c r="EK22" s="1167"/>
      <c r="EL22" s="1167"/>
      <c r="EM22" s="1167"/>
      <c r="EN22" s="1167"/>
      <c r="EO22" s="1167"/>
      <c r="EP22" s="1167"/>
      <c r="EQ22" s="1167"/>
      <c r="ER22" s="1167"/>
      <c r="ES22" s="1167"/>
      <c r="ET22" s="1167"/>
      <c r="EU22" s="1167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58">
        <f t="shared" si="5"/>
        <v>0</v>
      </c>
      <c r="N23" s="652">
        <f t="shared" si="6"/>
        <v>0</v>
      </c>
      <c r="O23" s="1159">
        <f t="shared" si="7"/>
        <v>0</v>
      </c>
      <c r="P23" s="804">
        <f>P15+P168+P216+P295+P319</f>
        <v>237250</v>
      </c>
      <c r="Q23" s="804">
        <f>Q15+Q168+Q216+Q295+Q319</f>
        <v>298145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>
        <v>0</v>
      </c>
      <c r="AA23" s="100">
        <v>0</v>
      </c>
      <c r="AB23" s="100">
        <v>0</v>
      </c>
      <c r="AC23" s="100">
        <v>0</v>
      </c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+BC87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58">
        <f t="shared" si="5"/>
        <v>0</v>
      </c>
      <c r="N24" s="652">
        <f t="shared" si="6"/>
        <v>0</v>
      </c>
      <c r="O24" s="1159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+BC26+BC29+BC27+BC232+BC61+BC62+BC28</f>
        <v>45810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58">
        <f t="shared" si="5"/>
        <v>0</v>
      </c>
      <c r="N25" s="652">
        <f t="shared" si="6"/>
        <v>0</v>
      </c>
      <c r="O25" s="1159">
        <f t="shared" si="7"/>
        <v>0</v>
      </c>
      <c r="P25" s="804">
        <f>+P17+P170+P232+P296+P323</f>
        <v>270250</v>
      </c>
      <c r="Q25" s="804">
        <f>+Q17+Q170+Q232+Q296+Q323</f>
        <v>645210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>
        <v>0</v>
      </c>
      <c r="AA25" s="100">
        <v>0</v>
      </c>
      <c r="AB25" s="100">
        <v>0</v>
      </c>
      <c r="AC25" s="100">
        <v>0</v>
      </c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161795</v>
      </c>
      <c r="BH25" s="436" t="s">
        <v>116</v>
      </c>
      <c r="BI25" s="85">
        <f>+BF24+BF25+BF26-BF32</f>
        <v>200095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711</v>
      </c>
      <c r="F26" s="100">
        <f>SUMIF(pro!$A:$A,$V:$V,pro!$N:$N)</f>
        <v>0</v>
      </c>
      <c r="G26" s="100"/>
      <c r="H26" s="100">
        <f>SUMIF(CBIN!$A:$A,BRAN!$V:$V,CBIN!$G:$G)</f>
        <v>0</v>
      </c>
      <c r="I26" s="100">
        <f>SUMIF(data!$D:$D,$B26&amp;$D26,data!$J:$J)</f>
        <v>45</v>
      </c>
      <c r="J26" s="100">
        <f>SUMIF(data!$D:$D,$B26&amp;$D26,data!$K:$K)</f>
        <v>1125</v>
      </c>
      <c r="K26" s="100">
        <f>SUMIF(AJOUT!$A:$A,BRAN!$V:$V,AJOUT!$L:$L)</f>
        <v>1</v>
      </c>
      <c r="L26" s="100">
        <f>SUMIF(CBOUT!$A:$A,BRAN!$V:$V,CBOUT!$G:$G)</f>
        <v>0</v>
      </c>
      <c r="M26" s="1158">
        <f t="shared" si="5"/>
        <v>665</v>
      </c>
      <c r="N26" s="652">
        <f t="shared" si="6"/>
        <v>16625</v>
      </c>
      <c r="O26" s="1159">
        <f t="shared" si="7"/>
        <v>20775</v>
      </c>
      <c r="P26" s="804"/>
      <c r="Q26" s="804"/>
      <c r="R26" s="100">
        <f>O26/INTGRATE!$N$293</f>
        <v>4155</v>
      </c>
      <c r="S26" s="665">
        <f t="shared" si="0"/>
        <v>4.0012033694344167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20775</v>
      </c>
      <c r="BD26" s="786">
        <f t="shared" si="9"/>
        <v>4</v>
      </c>
      <c r="BE26" s="786">
        <f t="shared" si="10"/>
        <v>5193.75</v>
      </c>
      <c r="BF26" s="85">
        <f>+BC190+BC191+BC330</f>
        <v>6450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58">
        <f t="shared" si="5"/>
        <v>0</v>
      </c>
      <c r="N27" s="652">
        <f t="shared" si="6"/>
        <v>0</v>
      </c>
      <c r="O27" s="1159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>
        <v>0</v>
      </c>
      <c r="AA27" s="100">
        <v>0</v>
      </c>
      <c r="AB27" s="100">
        <v>0</v>
      </c>
      <c r="AC27" s="100">
        <v>0</v>
      </c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+BC78+BC275+BC174+BC79+BC77+BC80+BC175+BC274+BC173</f>
        <v>13675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58">
        <f t="shared" ref="M28" si="11">E28+F28+H28-I28-L28+G28-K28</f>
        <v>0</v>
      </c>
      <c r="N28" s="652">
        <f t="shared" ref="N28" si="12">M28*25</f>
        <v>0</v>
      </c>
      <c r="O28" s="1159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>
        <v>0</v>
      </c>
      <c r="AA28" s="100">
        <v>0</v>
      </c>
      <c r="AB28" s="100">
        <v>0</v>
      </c>
      <c r="AC28" s="100">
        <v>0</v>
      </c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597</v>
      </c>
      <c r="F29" s="100">
        <f>SUMIF(pro!$A:$A,$V:$V,pro!$N:$N)</f>
        <v>0</v>
      </c>
      <c r="G29" s="100"/>
      <c r="H29" s="100">
        <f>SUMIF(CBIN!$A:$A,BRAN!$V:$V,CBIN!$G:$G)</f>
        <v>0</v>
      </c>
      <c r="I29" s="100">
        <f>SUMIF(data!$D:$D,$B29&amp;$D29,data!$J:$J)</f>
        <v>8</v>
      </c>
      <c r="J29" s="100">
        <f>SUMIF(data!$D:$D,$B29&amp;$D29,data!$K:$K)</f>
        <v>200</v>
      </c>
      <c r="K29" s="100">
        <f>SUMIF(AJOUT!$A:$A,BRAN!$V:$V,AJOUT!$L:$L)</f>
        <v>0</v>
      </c>
      <c r="L29" s="100">
        <f>SUMIF(CBOUT!$A:$A,BRAN!$V:$V,CBOUT!$G:$G)</f>
        <v>0</v>
      </c>
      <c r="M29" s="1158">
        <f t="shared" si="5"/>
        <v>589</v>
      </c>
      <c r="N29" s="652">
        <f t="shared" si="6"/>
        <v>14725</v>
      </c>
      <c r="O29" s="1159">
        <f t="shared" si="7"/>
        <v>4200</v>
      </c>
      <c r="P29" s="804"/>
      <c r="Q29" s="804"/>
      <c r="R29" s="100">
        <f>O29/INTGRATE!$N$293</f>
        <v>840</v>
      </c>
      <c r="S29" s="665">
        <f t="shared" si="0"/>
        <v>17.529761904761905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4200</v>
      </c>
      <c r="BD29" s="786">
        <f t="shared" si="9"/>
        <v>3</v>
      </c>
      <c r="BE29" s="786">
        <f t="shared" si="10"/>
        <v>1400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58">
        <f t="shared" si="5"/>
        <v>0</v>
      </c>
      <c r="N30" s="652">
        <f t="shared" si="6"/>
        <v>0</v>
      </c>
      <c r="O30" s="1159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>
        <v>0</v>
      </c>
      <c r="AA30" s="100">
        <v>0</v>
      </c>
      <c r="AB30" s="100">
        <v>0</v>
      </c>
      <c r="AC30" s="100">
        <v>0</v>
      </c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384160</v>
      </c>
      <c r="BG30" s="38"/>
      <c r="BH30" s="436" t="s">
        <v>121</v>
      </c>
      <c r="BI30" s="85">
        <f>+BI16-BF30</f>
        <v>1165930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58"/>
      <c r="N31" s="652">
        <f t="shared" si="6"/>
        <v>0</v>
      </c>
      <c r="O31" s="1159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>
        <v>0</v>
      </c>
      <c r="AA31" s="100">
        <v>0</v>
      </c>
      <c r="AB31" s="100">
        <v>0</v>
      </c>
      <c r="AC31" s="100">
        <v>0</v>
      </c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58">
        <f>E32+F32+H32-I32-L32+G32-K32</f>
        <v>0</v>
      </c>
      <c r="N32" s="652">
        <f t="shared" si="6"/>
        <v>0</v>
      </c>
      <c r="O32" s="1159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>
        <v>0</v>
      </c>
      <c r="AA32" s="100">
        <v>0</v>
      </c>
      <c r="AB32" s="100">
        <v>0</v>
      </c>
      <c r="AC32" s="100">
        <v>0</v>
      </c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+BC62</f>
        <v>13960</v>
      </c>
      <c r="BG32" s="38"/>
      <c r="BH32" s="436" t="s">
        <v>122</v>
      </c>
      <c r="BI32" s="85">
        <f>BF24-BF32</f>
        <v>31850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58">
        <f t="shared" si="5"/>
        <v>0</v>
      </c>
      <c r="N33" s="652">
        <f t="shared" si="6"/>
        <v>0</v>
      </c>
      <c r="O33" s="1159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>
        <v>0</v>
      </c>
      <c r="AA33" s="100">
        <v>0</v>
      </c>
      <c r="AB33" s="100">
        <v>0</v>
      </c>
      <c r="AC33" s="100">
        <v>0</v>
      </c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BC70+BC213+BC50+BC212+BC219+BC34+BC64+BC67+BC73+BC48+BC52+BC35+BC216+BC315+BC210+BC208+BC290+BC31+BC291+BC292+BC209+BC207+BC222+BC218+BC227+BC224+BC231</f>
        <v>41970</v>
      </c>
      <c r="BG33" s="38"/>
      <c r="BH33" s="436" t="s">
        <v>123</v>
      </c>
      <c r="BI33" s="85">
        <f>+BI20-BF33</f>
        <v>442625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58">
        <f t="shared" si="5"/>
        <v>0</v>
      </c>
      <c r="N34" s="652">
        <f t="shared" si="6"/>
        <v>0</v>
      </c>
      <c r="O34" s="1159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>
        <v>0</v>
      </c>
      <c r="AA34" s="100">
        <v>0</v>
      </c>
      <c r="AB34" s="100">
        <v>0</v>
      </c>
      <c r="AC34" s="100">
        <v>0</v>
      </c>
      <c r="AD34" s="100"/>
      <c r="AE34" s="100"/>
      <c r="AF34" s="100"/>
      <c r="AG34" s="100"/>
      <c r="AH34" s="425"/>
      <c r="AI34" s="100"/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BC84+BC85+BC247+BC246</f>
        <v>0</v>
      </c>
      <c r="BG34" s="38"/>
      <c r="BH34" s="436" t="s">
        <v>124</v>
      </c>
      <c r="BI34" s="85">
        <f>+BI22-BF34</f>
        <v>175050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59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>
        <v>0</v>
      </c>
      <c r="AA35" s="100">
        <v>0</v>
      </c>
      <c r="AB35" s="100">
        <v>0</v>
      </c>
      <c r="AC35" s="100">
        <v>0</v>
      </c>
      <c r="AD35" s="100"/>
      <c r="AE35" s="100"/>
      <c r="AF35" s="100"/>
      <c r="AG35" s="100"/>
      <c r="AH35" s="425"/>
      <c r="AI35" s="100"/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+BC239+BC238+BC242</f>
        <v>58120</v>
      </c>
      <c r="BG35" s="38"/>
      <c r="BH35" s="436" t="s">
        <v>126</v>
      </c>
      <c r="BI35" s="85">
        <f>+BF25-BF35</f>
        <v>103675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50</v>
      </c>
      <c r="F36" s="100">
        <f>SUMIF(pro!$A:$A,$V:$V,pro!$N:$N)</f>
        <v>0</v>
      </c>
      <c r="G36" s="100"/>
      <c r="H36" s="100">
        <f>SUMIF(CBIN!$A:$A,BRAN!$V:$V,CBIN!$G:$G)</f>
        <v>0</v>
      </c>
      <c r="I36" s="100">
        <f>SUMIF(data!$D:$D,$B36&amp;$D36,data!$J:$J)</f>
        <v>0</v>
      </c>
      <c r="J36" s="100">
        <f>SUMIF(data!$D:$D,$B36&amp;$D36,data!$K:$K)</f>
        <v>0</v>
      </c>
      <c r="K36" s="100">
        <f>SUMIF(AJOUT!$A:$A,BRAN!$V:$V,AJOUT!$L:$L)</f>
        <v>0</v>
      </c>
      <c r="L36" s="100">
        <f>SUMIF(CBOUT!$A:$A,BRAN!$V:$V,CBOUT!$G:$G)</f>
        <v>0</v>
      </c>
      <c r="M36" s="1158">
        <f t="shared" ref="M36:M63" si="18">E36+F36+H36-I36-L36+G36-K36</f>
        <v>50</v>
      </c>
      <c r="N36" s="652">
        <f>+M36*D36</f>
        <v>500</v>
      </c>
      <c r="O36" s="1159">
        <f t="shared" si="7"/>
        <v>580</v>
      </c>
      <c r="P36" s="804"/>
      <c r="Q36" s="804"/>
      <c r="R36" s="100">
        <f>O36/INTGRATE!$N$293</f>
        <v>116</v>
      </c>
      <c r="S36" s="665">
        <f t="shared" si="0"/>
        <v>4.3103448275862073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>
        <v>0</v>
      </c>
      <c r="AA36" s="100">
        <v>280</v>
      </c>
      <c r="AB36" s="100">
        <v>0</v>
      </c>
      <c r="AC36" s="100">
        <v>0</v>
      </c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580</v>
      </c>
      <c r="BD36" s="786">
        <f t="shared" si="9"/>
        <v>2</v>
      </c>
      <c r="BE36" s="786">
        <f t="shared" si="10"/>
        <v>290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58">
        <f t="shared" si="18"/>
        <v>0</v>
      </c>
      <c r="N37" s="652">
        <f t="shared" si="6"/>
        <v>0</v>
      </c>
      <c r="O37" s="1159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>
        <v>0</v>
      </c>
      <c r="AA37" s="100">
        <v>0</v>
      </c>
      <c r="AB37" s="100">
        <v>0</v>
      </c>
      <c r="AC37" s="100">
        <v>0</v>
      </c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2423790</v>
      </c>
      <c r="BI37" s="85">
        <f>+BH37-BJ37</f>
        <v>1925580</v>
      </c>
      <c r="BJ37" s="85">
        <f>BF34+BF33+BF32+BF30+BF35</f>
        <v>498210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58">
        <f t="shared" si="18"/>
        <v>0</v>
      </c>
      <c r="N38" s="652">
        <f t="shared" si="6"/>
        <v>0</v>
      </c>
      <c r="O38" s="1159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>
        <v>0</v>
      </c>
      <c r="AA38" s="100">
        <v>0</v>
      </c>
      <c r="AB38" s="100">
        <v>0</v>
      </c>
      <c r="AC38" s="100">
        <v>0</v>
      </c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+BH37-BC332</f>
        <v>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305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47</v>
      </c>
      <c r="J39" s="100">
        <f>SUMIF(data!$D:$D,$B39&amp;$D39,data!$K:$K)</f>
        <v>1175</v>
      </c>
      <c r="K39" s="100">
        <f>SUMIF(AJOUT!$A:$A,BRAN!$V:$V,AJOUT!$L:$L)</f>
        <v>1</v>
      </c>
      <c r="L39" s="100">
        <f>SUMIF(CBOUT!$A:$A,BRAN!$V:$V,CBOUT!$G:$G)</f>
        <v>0</v>
      </c>
      <c r="M39" s="1158">
        <f t="shared" si="18"/>
        <v>257</v>
      </c>
      <c r="N39" s="652">
        <f t="shared" si="6"/>
        <v>6425</v>
      </c>
      <c r="O39" s="1159">
        <f t="shared" si="7"/>
        <v>2050</v>
      </c>
      <c r="P39" s="804"/>
      <c r="Q39" s="804"/>
      <c r="R39" s="100">
        <f>O39/INTGRATE!$N$293</f>
        <v>410</v>
      </c>
      <c r="S39" s="665">
        <f t="shared" si="0"/>
        <v>15.670731707317072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/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2050</v>
      </c>
      <c r="BD39" s="786">
        <f t="shared" si="9"/>
        <v>3</v>
      </c>
      <c r="BE39" s="786">
        <f t="shared" si="10"/>
        <v>683.33333333333337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69">
        <v>25</v>
      </c>
      <c r="E40" s="100">
        <v>900</v>
      </c>
      <c r="F40" s="100">
        <f>SUMIF(pro!$A:$A,$V:$V,pro!$N:$N)</f>
        <v>0</v>
      </c>
      <c r="G40" s="100"/>
      <c r="H40" s="100">
        <f>SUMIF(CBIN!$A:$A,BRAN!$V:$V,CBIN!$G:$G)</f>
        <v>0</v>
      </c>
      <c r="I40" s="100">
        <f>SUMIF(data!$D:$D,$B40&amp;$D40,data!$J:$J)</f>
        <v>120</v>
      </c>
      <c r="J40" s="100">
        <f>SUMIF(data!$D:$D,$B40&amp;$D40,data!$K:$K)</f>
        <v>3000</v>
      </c>
      <c r="K40" s="100">
        <f>SUMIF(AJOUT!$A:$A,BRAN!$V:$V,AJOUT!$L:$L)</f>
        <v>0</v>
      </c>
      <c r="L40" s="100">
        <f>SUMIF(CBOUT!$A:$A,BRAN!$V:$V,CBOUT!$G:$G)</f>
        <v>0</v>
      </c>
      <c r="M40" s="1158">
        <f t="shared" si="18"/>
        <v>780</v>
      </c>
      <c r="N40" s="652">
        <f t="shared" si="6"/>
        <v>19500</v>
      </c>
      <c r="O40" s="1159">
        <f t="shared" si="7"/>
        <v>12875</v>
      </c>
      <c r="P40" s="804"/>
      <c r="Q40" s="804"/>
      <c r="R40" s="100">
        <f>O40/INTGRATE!$N$293</f>
        <v>2575</v>
      </c>
      <c r="S40" s="665">
        <f t="shared" si="0"/>
        <v>7.5728155339805827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12875</v>
      </c>
      <c r="BD40" s="786">
        <f t="shared" si="9"/>
        <v>4</v>
      </c>
      <c r="BE40" s="786">
        <f t="shared" si="10"/>
        <v>3218.75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69">
        <v>25</v>
      </c>
      <c r="E41" s="100">
        <v>154</v>
      </c>
      <c r="F41" s="100">
        <f>SUMIF(pro!$A:$A,$V:$V,pro!$N:$N)</f>
        <v>160</v>
      </c>
      <c r="G41" s="100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100">
        <f>SUMIF(AJOUT!$A:$A,BRAN!$V:$V,AJOUT!$L:$L)</f>
        <v>0</v>
      </c>
      <c r="L41" s="100">
        <f>SUMIF(CBOUT!$A:$A,BRAN!$V:$V,CBOUT!$G:$G)</f>
        <v>0</v>
      </c>
      <c r="M41" s="1158">
        <f t="shared" si="18"/>
        <v>314</v>
      </c>
      <c r="N41" s="652">
        <f t="shared" si="6"/>
        <v>7850</v>
      </c>
      <c r="O41" s="1159">
        <f t="shared" si="7"/>
        <v>0</v>
      </c>
      <c r="P41" s="804"/>
      <c r="Q41" s="804"/>
      <c r="R41" s="100">
        <f>O41/INTGRATE!$N$293</f>
        <v>0</v>
      </c>
      <c r="S41" s="665">
        <f t="shared" si="0"/>
        <v>0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>
        <v>0</v>
      </c>
      <c r="AA41" s="100">
        <v>0</v>
      </c>
      <c r="AB41" s="100">
        <v>0</v>
      </c>
      <c r="AC41" s="100">
        <v>0</v>
      </c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0</v>
      </c>
      <c r="BD41" s="786">
        <f t="shared" si="9"/>
        <v>0</v>
      </c>
      <c r="BE41" s="786">
        <f t="shared" si="10"/>
        <v>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2332</v>
      </c>
      <c r="F42" s="100">
        <f>SUMIF(pro!$A:$A,$V:$V,pro!$N:$N)</f>
        <v>123</v>
      </c>
      <c r="G42" s="100"/>
      <c r="H42" s="100">
        <f>SUMIF(CBIN!$A:$A,BRAN!$V:$V,CBIN!$G:$G)</f>
        <v>0</v>
      </c>
      <c r="I42" s="100">
        <f>SUMIF(data!$D:$D,$B42&amp;$D42,data!$J:$J)</f>
        <v>699</v>
      </c>
      <c r="J42" s="100">
        <f>SUMIF(data!$D:$D,$B42&amp;$D42,data!$K:$K)</f>
        <v>17475</v>
      </c>
      <c r="K42" s="100">
        <f>SUMIF(AJOUT!$A:$A,BRAN!$V:$V,AJOUT!$L:$L)</f>
        <v>0</v>
      </c>
      <c r="L42" s="100">
        <f>SUMIF(CBOUT!$A:$A,BRAN!$V:$V,CBOUT!$G:$G)</f>
        <v>0</v>
      </c>
      <c r="M42" s="1158">
        <f t="shared" si="18"/>
        <v>1756</v>
      </c>
      <c r="N42" s="652">
        <f t="shared" si="6"/>
        <v>43900</v>
      </c>
      <c r="O42" s="1159">
        <f t="shared" si="7"/>
        <v>107225</v>
      </c>
      <c r="P42" s="804"/>
      <c r="Q42" s="804"/>
      <c r="R42" s="100">
        <f>O42/INTGRATE!$N$293</f>
        <v>21445</v>
      </c>
      <c r="S42" s="665">
        <f t="shared" si="0"/>
        <v>2.0470972254604805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107225</v>
      </c>
      <c r="BD42" s="786">
        <f t="shared" si="9"/>
        <v>5</v>
      </c>
      <c r="BE42" s="786">
        <f t="shared" si="10"/>
        <v>21445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58">
        <f t="shared" si="18"/>
        <v>0</v>
      </c>
      <c r="N43" s="652">
        <f t="shared" si="6"/>
        <v>0</v>
      </c>
      <c r="O43" s="1159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>
        <v>0</v>
      </c>
      <c r="AA43" s="100">
        <v>0</v>
      </c>
      <c r="AB43" s="100">
        <v>0</v>
      </c>
      <c r="AC43" s="100">
        <v>0</v>
      </c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153</v>
      </c>
      <c r="F44" s="100">
        <f>SUMIF(pro!$A:$A,$V:$V,pro!$N:$N)</f>
        <v>617</v>
      </c>
      <c r="G44" s="100"/>
      <c r="H44" s="100">
        <f>SUMIF(CBIN!$A:$A,BRAN!$V:$V,CBIN!$G:$G)</f>
        <v>0</v>
      </c>
      <c r="I44" s="100">
        <f>SUMIF(data!$D:$D,$B44&amp;$D44,data!$J:$J)</f>
        <v>90</v>
      </c>
      <c r="J44" s="100">
        <f>SUMIF(data!$D:$D,$B44&amp;$D44,data!$K:$K)</f>
        <v>2250</v>
      </c>
      <c r="K44" s="100">
        <f>SUMIF(AJOUT!$A:$A,BRAN!$V:$V,AJOUT!$L:$L)</f>
        <v>0</v>
      </c>
      <c r="L44" s="100">
        <f>SUMIF(CBOUT!$A:$A,BRAN!$V:$V,CBOUT!$G:$G)</f>
        <v>0</v>
      </c>
      <c r="M44" s="1158">
        <f t="shared" si="18"/>
        <v>680</v>
      </c>
      <c r="N44" s="652">
        <f t="shared" si="6"/>
        <v>17000</v>
      </c>
      <c r="O44" s="1159">
        <f t="shared" si="7"/>
        <v>13875</v>
      </c>
      <c r="P44" s="804"/>
      <c r="Q44" s="804"/>
      <c r="R44" s="100">
        <f>O44/INTGRATE!$N$293</f>
        <v>2775</v>
      </c>
      <c r="S44" s="665">
        <f t="shared" si="0"/>
        <v>6.1261261261261257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13875</v>
      </c>
      <c r="BD44" s="786">
        <f t="shared" si="9"/>
        <v>5</v>
      </c>
      <c r="BE44" s="786">
        <f t="shared" si="10"/>
        <v>2775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350</v>
      </c>
      <c r="F45" s="100">
        <f>SUMIF(pro!$A:$A,$V:$V,pro!$N:$N)</f>
        <v>0</v>
      </c>
      <c r="G45" s="100"/>
      <c r="H45" s="100">
        <f>SUMIF(CBIN!$A:$A,BRAN!$V:$V,CBIN!$G:$G)</f>
        <v>0</v>
      </c>
      <c r="I45" s="100">
        <f>SUMIF(data!$D:$D,$B45&amp;$D45,data!$J:$J)</f>
        <v>340</v>
      </c>
      <c r="J45" s="100">
        <f>SUMIF(data!$D:$D,$B45&amp;$D45,data!$K:$K)</f>
        <v>8500</v>
      </c>
      <c r="K45" s="100">
        <f>SUMIF(AJOUT!$A:$A,BRAN!$V:$V,AJOUT!$L:$L)</f>
        <v>1</v>
      </c>
      <c r="L45" s="100">
        <f>SUMIF(CBOUT!$A:$A,BRAN!$V:$V,CBOUT!$G:$G)</f>
        <v>0</v>
      </c>
      <c r="M45" s="1158">
        <f t="shared" si="18"/>
        <v>9</v>
      </c>
      <c r="N45" s="652">
        <f t="shared" si="6"/>
        <v>225</v>
      </c>
      <c r="O45" s="1159">
        <f t="shared" si="7"/>
        <v>8500</v>
      </c>
      <c r="P45" s="804"/>
      <c r="Q45" s="804"/>
      <c r="R45" s="100">
        <f>O45/INTGRATE!$N$293</f>
        <v>1700</v>
      </c>
      <c r="S45" s="665">
        <f t="shared" si="0"/>
        <v>0.13235294117647059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>
        <v>0</v>
      </c>
      <c r="AA45" s="100">
        <v>0</v>
      </c>
      <c r="AB45" s="100">
        <v>0</v>
      </c>
      <c r="AC45" s="100">
        <v>8500</v>
      </c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8500</v>
      </c>
      <c r="BD45" s="786">
        <f t="shared" si="9"/>
        <v>1</v>
      </c>
      <c r="BE45" s="786">
        <f t="shared" si="10"/>
        <v>8500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58"/>
      <c r="N46" s="652"/>
      <c r="O46" s="1159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>
        <v>0</v>
      </c>
      <c r="AA46" s="100">
        <v>0</v>
      </c>
      <c r="AB46" s="100">
        <v>0</v>
      </c>
      <c r="AC46" s="100">
        <v>0</v>
      </c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808</v>
      </c>
      <c r="F47" s="100">
        <f>SUMIF(pro!$A:$A,$V:$V,pro!$N:$N)</f>
        <v>0</v>
      </c>
      <c r="G47" s="100"/>
      <c r="H47" s="100">
        <f>SUMIF(CBIN!$A:$A,BRAN!$V:$V,CBIN!$G:$G)</f>
        <v>0</v>
      </c>
      <c r="I47" s="100">
        <f>SUMIF(data!$D:$D,$B47&amp;$D47,data!$J:$J)</f>
        <v>630</v>
      </c>
      <c r="J47" s="100">
        <f>SUMIF(data!$D:$D,$B47&amp;$D47,data!$K:$K)</f>
        <v>15750</v>
      </c>
      <c r="K47" s="100">
        <f>SUMIF(AJOUT!$A:$A,BRAN!$V:$V,AJOUT!$L:$L)</f>
        <v>0</v>
      </c>
      <c r="L47" s="100">
        <f>SUMIF(CBOUT!$A:$A,BRAN!$V:$V,CBOUT!$G:$G)</f>
        <v>0</v>
      </c>
      <c r="M47" s="1158">
        <f t="shared" si="18"/>
        <v>178</v>
      </c>
      <c r="N47" s="652">
        <f t="shared" si="6"/>
        <v>4450</v>
      </c>
      <c r="O47" s="1159">
        <f t="shared" si="7"/>
        <v>18875</v>
      </c>
      <c r="P47" s="804"/>
      <c r="Q47" s="804"/>
      <c r="R47" s="100">
        <f>O47/INTGRATE!$N$293</f>
        <v>3775</v>
      </c>
      <c r="S47" s="665">
        <f t="shared" si="0"/>
        <v>1.1788079470198676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18875</v>
      </c>
      <c r="BD47" s="786">
        <f t="shared" si="9"/>
        <v>4</v>
      </c>
      <c r="BE47" s="786">
        <f t="shared" si="10"/>
        <v>4718.75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59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>
        <v>0</v>
      </c>
      <c r="AA48" s="100">
        <v>0</v>
      </c>
      <c r="AB48" s="100">
        <v>0</v>
      </c>
      <c r="AC48" s="100">
        <v>0</v>
      </c>
      <c r="AD48" s="100"/>
      <c r="AE48" s="100"/>
      <c r="AF48" s="100"/>
      <c r="AG48" s="100"/>
      <c r="AH48" s="425"/>
      <c r="AI48" s="100"/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769</v>
      </c>
      <c r="F49" s="100">
        <f>SUMIF(pro!$A:$A,$V:$V,pro!$N:$N)</f>
        <v>0</v>
      </c>
      <c r="G49" s="425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100">
        <f>SUMIF(AJOUT!$A:$A,BRAN!$V:$V,AJOUT!$L:$L)</f>
        <v>1</v>
      </c>
      <c r="L49" s="100">
        <f>SUMIF(CBOUT!$A:$A,BRAN!$V:$V,CBOUT!$G:$G)</f>
        <v>0</v>
      </c>
      <c r="M49" s="1158">
        <f>E49+F49+H49-I49-L49+G49-K49</f>
        <v>768</v>
      </c>
      <c r="N49" s="652">
        <f>M49*25</f>
        <v>19200</v>
      </c>
      <c r="O49" s="1159">
        <f>SUM(X49:BB49)</f>
        <v>6000</v>
      </c>
      <c r="P49" s="804"/>
      <c r="Q49" s="804"/>
      <c r="R49" s="100">
        <f>O49/INTGRATE!$N$293</f>
        <v>1200</v>
      </c>
      <c r="S49" s="665">
        <f t="shared" si="0"/>
        <v>16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>
        <v>0</v>
      </c>
      <c r="AA49" s="100">
        <v>6000</v>
      </c>
      <c r="AB49" s="100">
        <v>0</v>
      </c>
      <c r="AC49" s="100">
        <v>0</v>
      </c>
      <c r="AD49" s="100"/>
      <c r="AE49" s="100"/>
      <c r="AF49" s="100"/>
      <c r="AG49" s="100"/>
      <c r="AH49" s="425"/>
      <c r="AI49" s="100"/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6000</v>
      </c>
      <c r="BD49" s="786">
        <f t="shared" si="9"/>
        <v>1</v>
      </c>
      <c r="BE49" s="786">
        <f t="shared" si="10"/>
        <v>6000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58">
        <v>0</v>
      </c>
      <c r="N50" s="652">
        <f>M50*25</f>
        <v>0</v>
      </c>
      <c r="O50" s="1159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>
        <v>0</v>
      </c>
      <c r="AA50" s="100">
        <v>0</v>
      </c>
      <c r="AB50" s="100">
        <v>0</v>
      </c>
      <c r="AC50" s="100">
        <v>0</v>
      </c>
      <c r="AD50" s="100"/>
      <c r="AE50" s="100"/>
      <c r="AF50" s="100"/>
      <c r="AG50" s="100"/>
      <c r="AH50" s="425"/>
      <c r="AI50" s="100"/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58">
        <f t="shared" si="18"/>
        <v>0</v>
      </c>
      <c r="N51" s="652">
        <f t="shared" si="6"/>
        <v>0</v>
      </c>
      <c r="O51" s="1159">
        <f t="shared" si="7"/>
        <v>0</v>
      </c>
      <c r="P51" s="804"/>
      <c r="Q51" s="804"/>
      <c r="R51" s="100">
        <f>O51/INTGRATE!$N$293</f>
        <v>0</v>
      </c>
      <c r="S51" s="665">
        <f t="shared" ref="S51:S105" si="19">IF(R51=0,0,N51/R51)</f>
        <v>0</v>
      </c>
      <c r="T51" s="505"/>
      <c r="U51" s="136"/>
      <c r="V51" s="836" t="str">
        <f t="shared" ref="V51:V106" si="20">B51&amp;D51</f>
        <v>511A25</v>
      </c>
      <c r="W51" s="823">
        <v>113001</v>
      </c>
      <c r="X51" s="386"/>
      <c r="Y51" s="386">
        <v>0</v>
      </c>
      <c r="Z51" s="100">
        <v>0</v>
      </c>
      <c r="AA51" s="100">
        <v>0</v>
      </c>
      <c r="AB51" s="100">
        <v>0</v>
      </c>
      <c r="AC51" s="100">
        <v>0</v>
      </c>
      <c r="AD51" s="100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59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>
        <v>0</v>
      </c>
      <c r="AA52" s="100">
        <v>0</v>
      </c>
      <c r="AB52" s="100">
        <v>0</v>
      </c>
      <c r="AC52" s="100">
        <v>0</v>
      </c>
      <c r="AD52" s="100"/>
      <c r="AE52" s="100"/>
      <c r="AF52" s="100"/>
      <c r="AG52" s="100"/>
      <c r="AH52" s="425"/>
      <c r="AI52" s="100"/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59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>
        <v>0</v>
      </c>
      <c r="AA53" s="100">
        <v>0</v>
      </c>
      <c r="AB53" s="100">
        <v>0</v>
      </c>
      <c r="AC53" s="100">
        <v>0</v>
      </c>
      <c r="AD53" s="100"/>
      <c r="AE53" s="100"/>
      <c r="AF53" s="100"/>
      <c r="AG53" s="100"/>
      <c r="AH53" s="425"/>
      <c r="AI53" s="100"/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941</v>
      </c>
      <c r="F54" s="100">
        <f>SUMIF(pro!$A:$A,$V:$V,pro!$N:$N)</f>
        <v>0</v>
      </c>
      <c r="G54" s="100"/>
      <c r="H54" s="100">
        <f>SUMIF(CBIN!$A:$A,BRAN!$V:$V,CBIN!$G:$G)</f>
        <v>0</v>
      </c>
      <c r="I54" s="100">
        <f>SUMIF(data!$D:$D,$B54&amp;$D54,data!$J:$J)</f>
        <v>0</v>
      </c>
      <c r="J54" s="100">
        <f>SUMIF(data!$D:$D,$B54&amp;$D54,data!$K:$K)</f>
        <v>0</v>
      </c>
      <c r="K54" s="100">
        <f>SUMIF(AJOUT!$A:$A,BRAN!$V:$V,AJOUT!$L:$L)</f>
        <v>0</v>
      </c>
      <c r="L54" s="100">
        <f>SUMIF(CBOUT!$A:$A,BRAN!$V:$V,CBOUT!$G:$G)</f>
        <v>0</v>
      </c>
      <c r="M54" s="1158">
        <f>E54+F54+H54-I54-L54+G54-K54</f>
        <v>941</v>
      </c>
      <c r="N54" s="652">
        <f t="shared" si="6"/>
        <v>23525</v>
      </c>
      <c r="O54" s="1159">
        <f t="shared" si="7"/>
        <v>23575</v>
      </c>
      <c r="P54" s="804"/>
      <c r="Q54" s="804"/>
      <c r="R54" s="100">
        <f>O54/INTGRATE!$N$293</f>
        <v>4715</v>
      </c>
      <c r="S54" s="665">
        <f t="shared" si="19"/>
        <v>4.9893955461293746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/>
      <c r="AE54" s="100"/>
      <c r="AF54" s="100"/>
      <c r="AG54" s="100"/>
      <c r="AH54" s="425"/>
      <c r="AI54" s="100"/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23575</v>
      </c>
      <c r="BD54" s="786">
        <f t="shared" si="9"/>
        <v>3</v>
      </c>
      <c r="BE54" s="786">
        <f t="shared" si="10"/>
        <v>7858.333333333333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0" t="s">
        <v>55</v>
      </c>
      <c r="D55" s="169">
        <v>25</v>
      </c>
      <c r="E55" s="100">
        <v>2879</v>
      </c>
      <c r="F55" s="100">
        <f>SUMIF(pro!$A:$A,$V:$V,pro!$N:$N)</f>
        <v>3133</v>
      </c>
      <c r="G55" s="100"/>
      <c r="H55" s="100">
        <f>SUMIF(CBIN!$A:$A,BRAN!$V:$V,CBIN!$G:$G)</f>
        <v>0</v>
      </c>
      <c r="I55" s="100">
        <f>SUMIF(data!$D:$D,$B55&amp;$D55,data!$J:$J)</f>
        <v>804</v>
      </c>
      <c r="J55" s="100">
        <f>SUMIF(data!$D:$D,$B55&amp;$D55,data!$K:$K)</f>
        <v>20100</v>
      </c>
      <c r="K55" s="100">
        <f>SUMIF(AJOUT!$A:$A,BRAN!$V:$V,AJOUT!$L:$L)</f>
        <v>0</v>
      </c>
      <c r="L55" s="100">
        <f>SUMIF(CBOUT!$A:$A,BRAN!$V:$V,CBOUT!$G:$G)</f>
        <v>0</v>
      </c>
      <c r="M55" s="1158">
        <f t="shared" si="18"/>
        <v>5208</v>
      </c>
      <c r="N55" s="652">
        <f t="shared" si="6"/>
        <v>130200</v>
      </c>
      <c r="O55" s="1159">
        <f t="shared" si="7"/>
        <v>111775</v>
      </c>
      <c r="P55" s="804"/>
      <c r="Q55" s="804"/>
      <c r="R55" s="100">
        <f>O55/INTGRATE!$N$293</f>
        <v>22355</v>
      </c>
      <c r="S55" s="665">
        <f t="shared" si="19"/>
        <v>5.8242004025944976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111775</v>
      </c>
      <c r="BD55" s="786">
        <f t="shared" si="9"/>
        <v>5</v>
      </c>
      <c r="BE55" s="786">
        <f t="shared" si="10"/>
        <v>22355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141</v>
      </c>
      <c r="C56" s="168" t="s">
        <v>55</v>
      </c>
      <c r="D56" s="169">
        <v>25</v>
      </c>
      <c r="E56" s="100">
        <v>0</v>
      </c>
      <c r="F56" s="100">
        <f>SUMIF(pro!$A:$A,$V:$V,pro!$N:$N)</f>
        <v>0</v>
      </c>
      <c r="G56" s="100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100">
        <f>SUMIF(AJOUT!$A:$A,BRAN!$V:$V,AJOUT!$L:$L)</f>
        <v>0</v>
      </c>
      <c r="L56" s="100">
        <f>SUMIF(CBOUT!$A:$A,BRAN!$V:$V,CBOUT!$G:$G)</f>
        <v>0</v>
      </c>
      <c r="M56" s="1158">
        <f t="shared" si="18"/>
        <v>0</v>
      </c>
      <c r="N56" s="652">
        <f t="shared" si="6"/>
        <v>0</v>
      </c>
      <c r="O56" s="1159">
        <f t="shared" si="7"/>
        <v>0</v>
      </c>
      <c r="P56" s="804"/>
      <c r="Q56" s="804"/>
      <c r="R56" s="100">
        <f>O56/INTGRATE!$N$293</f>
        <v>0</v>
      </c>
      <c r="S56" s="665">
        <f t="shared" si="19"/>
        <v>0</v>
      </c>
      <c r="T56" s="403"/>
      <c r="U56" s="136"/>
      <c r="V56" s="836" t="str">
        <f t="shared" si="20"/>
        <v>511C25</v>
      </c>
      <c r="W56" s="823">
        <v>114001</v>
      </c>
      <c r="X56" s="386"/>
      <c r="Y56" s="386">
        <v>0</v>
      </c>
      <c r="Z56" s="100">
        <v>0</v>
      </c>
      <c r="AA56" s="100">
        <v>0</v>
      </c>
      <c r="AB56" s="100">
        <v>0</v>
      </c>
      <c r="AC56" s="100">
        <v>0</v>
      </c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0</v>
      </c>
      <c r="BD56" s="786">
        <f t="shared" si="9"/>
        <v>0</v>
      </c>
      <c r="BE56" s="786">
        <f t="shared" si="10"/>
        <v>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142</v>
      </c>
      <c r="C57" s="165" t="s">
        <v>55</v>
      </c>
      <c r="D57" s="169">
        <v>25</v>
      </c>
      <c r="E57" s="100">
        <v>86</v>
      </c>
      <c r="F57" s="100">
        <f>SUMIF(pro!$A:$A,$V:$V,pro!$N:$N)</f>
        <v>0</v>
      </c>
      <c r="G57" s="100"/>
      <c r="H57" s="100">
        <f>SUMIF(CBIN!$A:$A,BRAN!$V:$V,CBIN!$G:$G)</f>
        <v>0</v>
      </c>
      <c r="I57" s="100">
        <f>SUMIF(data!$D:$D,$B57&amp;$D57,data!$J:$J)</f>
        <v>39</v>
      </c>
      <c r="J57" s="100">
        <f>SUMIF(data!$D:$D,$B57&amp;$D57,data!$K:$K)</f>
        <v>975</v>
      </c>
      <c r="K57" s="100">
        <f>SUMIF(AJOUT!$A:$A,BRAN!$V:$V,AJOUT!$L:$L)</f>
        <v>0</v>
      </c>
      <c r="L57" s="100">
        <f>SUMIF(CBOUT!$A:$A,BRAN!$V:$V,CBOUT!$G:$G)</f>
        <v>0</v>
      </c>
      <c r="M57" s="1158">
        <f t="shared" si="18"/>
        <v>47</v>
      </c>
      <c r="N57" s="652">
        <f t="shared" si="6"/>
        <v>1175</v>
      </c>
      <c r="O57" s="1159">
        <f t="shared" si="7"/>
        <v>7725</v>
      </c>
      <c r="P57" s="804"/>
      <c r="Q57" s="804"/>
      <c r="R57" s="100">
        <f>O57/INTGRATE!$N$293</f>
        <v>1545</v>
      </c>
      <c r="S57" s="665">
        <f t="shared" si="19"/>
        <v>0.76051779935275077</v>
      </c>
      <c r="T57" s="403"/>
      <c r="U57" s="136"/>
      <c r="V57" s="836" t="str">
        <f t="shared" si="20"/>
        <v>511L25</v>
      </c>
      <c r="W57" s="823">
        <v>162001</v>
      </c>
      <c r="X57" s="386"/>
      <c r="Y57" s="386">
        <v>1500</v>
      </c>
      <c r="Z57" s="100">
        <v>125</v>
      </c>
      <c r="AA57" s="100">
        <v>2500</v>
      </c>
      <c r="AB57" s="100">
        <v>2625</v>
      </c>
      <c r="AC57" s="100">
        <v>975</v>
      </c>
      <c r="AD57" s="100"/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7725</v>
      </c>
      <c r="BD57" s="786">
        <f t="shared" si="9"/>
        <v>5</v>
      </c>
      <c r="BE57" s="786">
        <f t="shared" si="10"/>
        <v>1545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143</v>
      </c>
      <c r="C58" s="1170" t="s">
        <v>55</v>
      </c>
      <c r="D58" s="169">
        <v>25</v>
      </c>
      <c r="E58" s="100">
        <v>931</v>
      </c>
      <c r="F58" s="100">
        <f>SUMIF(pro!$A:$A,$V:$V,pro!$N:$N)</f>
        <v>0</v>
      </c>
      <c r="G58" s="100"/>
      <c r="H58" s="100">
        <f>SUMIF(CBIN!$A:$A,BRAN!$V:$V,CBIN!$G:$G)</f>
        <v>0</v>
      </c>
      <c r="I58" s="100">
        <f>SUMIF(data!$D:$D,$B58&amp;$D58,data!$J:$J)</f>
        <v>238</v>
      </c>
      <c r="J58" s="100">
        <f>SUMIF(data!$D:$D,$B58&amp;$D58,data!$K:$K)</f>
        <v>5950</v>
      </c>
      <c r="K58" s="100">
        <f>SUMIF(AJOUT!$A:$A,BRAN!$V:$V,AJOUT!$L:$L)</f>
        <v>1</v>
      </c>
      <c r="L58" s="100">
        <f>SUMIF(CBOUT!$A:$A,BRAN!$V:$V,CBOUT!$G:$G)</f>
        <v>0</v>
      </c>
      <c r="M58" s="1158">
        <f t="shared" si="18"/>
        <v>692</v>
      </c>
      <c r="N58" s="652">
        <f t="shared" si="6"/>
        <v>17300</v>
      </c>
      <c r="O58" s="1159">
        <f t="shared" si="7"/>
        <v>17775</v>
      </c>
      <c r="P58" s="804"/>
      <c r="Q58" s="804"/>
      <c r="R58" s="100">
        <f>O58/INTGRATE!$N$293</f>
        <v>3555</v>
      </c>
      <c r="S58" s="665">
        <f t="shared" si="19"/>
        <v>4.866385372714487</v>
      </c>
      <c r="T58" s="403"/>
      <c r="U58" s="136"/>
      <c r="V58" s="836" t="str">
        <f t="shared" si="20"/>
        <v>511M25</v>
      </c>
      <c r="W58" s="823">
        <v>162201</v>
      </c>
      <c r="X58" s="386"/>
      <c r="Y58" s="386">
        <v>1000</v>
      </c>
      <c r="Z58" s="100">
        <v>2725</v>
      </c>
      <c r="AA58" s="100">
        <v>7100</v>
      </c>
      <c r="AB58" s="100">
        <v>1000</v>
      </c>
      <c r="AC58" s="100">
        <v>5950</v>
      </c>
      <c r="AD58" s="100"/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17775</v>
      </c>
      <c r="BD58" s="786">
        <f t="shared" si="9"/>
        <v>5</v>
      </c>
      <c r="BE58" s="786">
        <f t="shared" si="10"/>
        <v>3555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144</v>
      </c>
      <c r="C59" s="168" t="s">
        <v>51</v>
      </c>
      <c r="D59" s="169">
        <v>25</v>
      </c>
      <c r="E59" s="100">
        <v>0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100">
        <f>SUMIF(AJOUT!$A:$A,BRAN!$V:$V,AJOUT!$L:$L)</f>
        <v>0</v>
      </c>
      <c r="L59" s="100">
        <f>SUMIF(CBOUT!$A:$A,BRAN!$V:$V,CBOUT!$G:$G)</f>
        <v>0</v>
      </c>
      <c r="M59" s="1158">
        <f t="shared" si="18"/>
        <v>0</v>
      </c>
      <c r="N59" s="652">
        <f t="shared" si="6"/>
        <v>0</v>
      </c>
      <c r="O59" s="1159">
        <f t="shared" si="7"/>
        <v>0</v>
      </c>
      <c r="P59" s="804"/>
      <c r="Q59" s="804"/>
      <c r="R59" s="100">
        <f>O59/INTGRATE!$N$293</f>
        <v>0</v>
      </c>
      <c r="S59" s="665">
        <f t="shared" si="19"/>
        <v>0</v>
      </c>
      <c r="T59" s="403"/>
      <c r="U59" s="136"/>
      <c r="V59" s="836" t="str">
        <f t="shared" si="20"/>
        <v>512M25</v>
      </c>
      <c r="W59" s="823">
        <v>162301</v>
      </c>
      <c r="X59" s="386"/>
      <c r="Y59" s="386">
        <v>0</v>
      </c>
      <c r="Z59" s="100">
        <v>0</v>
      </c>
      <c r="AA59" s="100">
        <v>0</v>
      </c>
      <c r="AB59" s="100">
        <v>0</v>
      </c>
      <c r="AC59" s="100">
        <v>0</v>
      </c>
      <c r="AD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0</v>
      </c>
      <c r="BD59" s="786">
        <f t="shared" si="9"/>
        <v>0</v>
      </c>
      <c r="BE59" s="786">
        <f t="shared" si="10"/>
        <v>0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>
        <v>513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58">
        <f t="shared" si="18"/>
        <v>0</v>
      </c>
      <c r="N60" s="652">
        <f t="shared" si="6"/>
        <v>0</v>
      </c>
      <c r="O60" s="1159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51325</v>
      </c>
      <c r="W60" s="823">
        <v>115001</v>
      </c>
      <c r="X60" s="386"/>
      <c r="Y60" s="386">
        <v>0</v>
      </c>
      <c r="Z60" s="100">
        <v>0</v>
      </c>
      <c r="AA60" s="100">
        <v>0</v>
      </c>
      <c r="AB60" s="100">
        <v>0</v>
      </c>
      <c r="AC60" s="100">
        <v>0</v>
      </c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59">
        <v>502</v>
      </c>
      <c r="C61" s="159" t="s">
        <v>132</v>
      </c>
      <c r="D61" s="160">
        <v>25</v>
      </c>
      <c r="E61" s="100">
        <v>941</v>
      </c>
      <c r="F61" s="100">
        <f>SUMIF(pro!$A:$A,$V:$V,pro!$N:$N)</f>
        <v>0</v>
      </c>
      <c r="G61" s="100"/>
      <c r="H61" s="100">
        <f>SUMIF(CBIN!$A:$A,BRAN!$V:$V,CBIN!$G:$G)</f>
        <v>0</v>
      </c>
      <c r="I61" s="100">
        <f>SUMIF(data!$D:$D,$B61&amp;$D61,data!$J:$J)</f>
        <v>200</v>
      </c>
      <c r="J61" s="100">
        <f>SUMIF(data!$D:$D,$B61&amp;$D61,data!$K:$K)</f>
        <v>5000</v>
      </c>
      <c r="K61" s="100">
        <f>SUMIF(AJOUT!$A:$A,BRAN!$V:$V,AJOUT!$L:$L)</f>
        <v>0</v>
      </c>
      <c r="L61" s="100">
        <f>SUMIF(CBOUT!$A:$A,BRAN!$V:$V,CBOUT!$G:$G)</f>
        <v>0</v>
      </c>
      <c r="M61" s="1158">
        <f t="shared" si="18"/>
        <v>741</v>
      </c>
      <c r="N61" s="652">
        <f t="shared" si="6"/>
        <v>18525</v>
      </c>
      <c r="O61" s="1159">
        <f t="shared" si="7"/>
        <v>6875</v>
      </c>
      <c r="P61" s="804"/>
      <c r="Q61" s="804"/>
      <c r="R61" s="100">
        <f>O61/INTGRATE!$N$293</f>
        <v>1375</v>
      </c>
      <c r="S61" s="665">
        <f>IF(R61=0,0,N61/R61)</f>
        <v>13.472727272727273</v>
      </c>
      <c r="T61" s="403"/>
      <c r="U61" s="136"/>
      <c r="V61" s="836" t="str">
        <f t="shared" si="20"/>
        <v>50225</v>
      </c>
      <c r="W61" s="823">
        <v>546001</v>
      </c>
      <c r="X61" s="386"/>
      <c r="Y61" s="386">
        <v>0</v>
      </c>
      <c r="Z61" s="100">
        <v>0</v>
      </c>
      <c r="AA61" s="100">
        <v>1875</v>
      </c>
      <c r="AB61" s="100">
        <v>0</v>
      </c>
      <c r="AC61" s="100">
        <v>5000</v>
      </c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6875</v>
      </c>
      <c r="BD61" s="786">
        <f t="shared" si="9"/>
        <v>2</v>
      </c>
      <c r="BE61" s="786">
        <f t="shared" si="10"/>
        <v>3437.5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795" t="s">
        <v>66</v>
      </c>
      <c r="E62" s="100"/>
      <c r="F62" s="425">
        <f>+J62</f>
        <v>0</v>
      </c>
      <c r="G62" s="425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100"/>
      <c r="L62" s="100"/>
      <c r="M62" s="1158"/>
      <c r="N62" s="652"/>
      <c r="O62" s="1159">
        <f>SUM(X62:BB62)</f>
        <v>13960</v>
      </c>
      <c r="P62" s="804"/>
      <c r="Q62" s="804"/>
      <c r="R62" s="100">
        <f>O62/INTGRATE!$N$293</f>
        <v>2792</v>
      </c>
      <c r="S62" s="665">
        <f>IF(R62=0,0,N62/R62)</f>
        <v>0</v>
      </c>
      <c r="T62" s="403"/>
      <c r="U62" s="136"/>
      <c r="V62" s="836" t="str">
        <f>B62&amp;D62</f>
        <v>502SILO</v>
      </c>
      <c r="W62" s="823">
        <v>546001</v>
      </c>
      <c r="X62" s="386"/>
      <c r="Y62" s="386">
        <v>0</v>
      </c>
      <c r="Z62" s="100">
        <v>13960</v>
      </c>
      <c r="AA62" s="100">
        <v>0</v>
      </c>
      <c r="AB62" s="100">
        <v>0</v>
      </c>
      <c r="AC62" s="100">
        <v>0</v>
      </c>
      <c r="AD62" s="100"/>
      <c r="AE62" s="100"/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13960</v>
      </c>
      <c r="BD62" s="786">
        <f t="shared" si="9"/>
        <v>1</v>
      </c>
      <c r="BE62" s="786">
        <f t="shared" si="10"/>
        <v>13960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315">
        <v>521</v>
      </c>
      <c r="C63" s="315" t="s">
        <v>51</v>
      </c>
      <c r="D63" s="1157">
        <v>25</v>
      </c>
      <c r="E63" s="100">
        <v>111</v>
      </c>
      <c r="F63" s="100">
        <f>SUMIF(pro!$A:$A,$V:$V,pro!$N:$N)</f>
        <v>0</v>
      </c>
      <c r="G63" s="100"/>
      <c r="H63" s="100">
        <f>SUMIF(CBIN!$A:$A,BRAN!$V:$V,CBIN!$G:$G)</f>
        <v>0</v>
      </c>
      <c r="I63" s="100">
        <f>SUMIF(data!$D:$D,$B63&amp;$D63,data!$J:$J)</f>
        <v>111</v>
      </c>
      <c r="J63" s="100">
        <f>SUMIF(data!$D:$D,$B63&amp;$D63,data!$K:$K)</f>
        <v>2775</v>
      </c>
      <c r="K63" s="100">
        <f>SUMIF(AJOUT!$A:$A,BRAN!$V:$V,AJOUT!$L:$L)</f>
        <v>0</v>
      </c>
      <c r="L63" s="100">
        <f>SUMIF(CBOUT!$A:$A,BRAN!$V:$V,CBOUT!$G:$G)</f>
        <v>0</v>
      </c>
      <c r="M63" s="1158">
        <f t="shared" si="18"/>
        <v>0</v>
      </c>
      <c r="N63" s="652">
        <f t="shared" si="6"/>
        <v>0</v>
      </c>
      <c r="O63" s="1159">
        <f t="shared" si="7"/>
        <v>2775</v>
      </c>
      <c r="P63" s="804"/>
      <c r="Q63" s="804"/>
      <c r="R63" s="100">
        <f>O63/INTGRATE!$N$293</f>
        <v>555</v>
      </c>
      <c r="S63" s="665">
        <f t="shared" si="19"/>
        <v>0</v>
      </c>
      <c r="T63" s="403"/>
      <c r="U63" s="136"/>
      <c r="V63" s="836" t="str">
        <f t="shared" si="20"/>
        <v>52125</v>
      </c>
      <c r="W63" s="823">
        <v>122001</v>
      </c>
      <c r="X63" s="386"/>
      <c r="Y63" s="386">
        <v>0</v>
      </c>
      <c r="Z63" s="100">
        <v>0</v>
      </c>
      <c r="AA63" s="100">
        <v>0</v>
      </c>
      <c r="AB63" s="100">
        <v>0</v>
      </c>
      <c r="AC63" s="100">
        <v>2775</v>
      </c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2775</v>
      </c>
      <c r="BD63" s="786">
        <f t="shared" si="9"/>
        <v>1</v>
      </c>
      <c r="BE63" s="786">
        <f t="shared" si="10"/>
        <v>2775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57" t="s">
        <v>66</v>
      </c>
      <c r="E64" s="425">
        <v>0</v>
      </c>
      <c r="F64" s="425">
        <f>+J64</f>
        <v>0</v>
      </c>
      <c r="G64" s="425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58">
        <f>E64+F64+H64-I64-L64+G64-K64</f>
        <v>0</v>
      </c>
      <c r="N64" s="652">
        <f t="shared" si="6"/>
        <v>0</v>
      </c>
      <c r="O64" s="1159">
        <f t="shared" si="7"/>
        <v>0</v>
      </c>
      <c r="P64" s="1171"/>
      <c r="Q64" s="1171"/>
      <c r="R64" s="1172">
        <f>O64/INTGRATE!$N$293</f>
        <v>0</v>
      </c>
      <c r="S64" s="665">
        <f t="shared" si="19"/>
        <v>0</v>
      </c>
      <c r="T64" s="403"/>
      <c r="U64" s="136"/>
      <c r="V64" s="836" t="str">
        <f t="shared" si="20"/>
        <v>521SILO</v>
      </c>
      <c r="W64" s="823">
        <v>122001</v>
      </c>
      <c r="X64" s="386"/>
      <c r="Y64" s="386">
        <v>0</v>
      </c>
      <c r="Z64" s="100">
        <v>0</v>
      </c>
      <c r="AA64" s="100">
        <v>0</v>
      </c>
      <c r="AB64" s="100">
        <v>0</v>
      </c>
      <c r="AC64" s="100">
        <v>0</v>
      </c>
      <c r="AD64" s="100"/>
      <c r="AE64" s="100"/>
      <c r="AF64" s="100"/>
      <c r="AG64" s="100"/>
      <c r="AH64" s="425"/>
      <c r="AI64" s="100"/>
      <c r="AJ64" s="100"/>
      <c r="AK64" s="100"/>
      <c r="AL64" s="100"/>
      <c r="AM64" s="100"/>
      <c r="AN64" s="100"/>
      <c r="AO64" s="425"/>
      <c r="AP64" s="100"/>
      <c r="AQ64" s="425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0</v>
      </c>
      <c r="BD64" s="786">
        <f t="shared" si="9"/>
        <v>0</v>
      </c>
      <c r="BE64" s="786">
        <f t="shared" si="10"/>
        <v>0</v>
      </c>
      <c r="BF64" s="85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 t="s">
        <v>52</v>
      </c>
      <c r="C65" s="315" t="s">
        <v>51</v>
      </c>
      <c r="D65" s="1157">
        <v>25</v>
      </c>
      <c r="E65" s="91">
        <v>0</v>
      </c>
      <c r="F65" s="100">
        <f>SUMIF(pro!$A:$A,$V:$V,pro!$N:$N)</f>
        <v>262</v>
      </c>
      <c r="G65" s="425"/>
      <c r="H65" s="100">
        <f>SUMIF(CBIN!$A:$A,BRAN!$V:$V,CBIN!$G:$G)</f>
        <v>0</v>
      </c>
      <c r="I65" s="100">
        <f>SUMIF(data!$D:$D,$B65&amp;$D65,data!$J:$J)</f>
        <v>150</v>
      </c>
      <c r="J65" s="100">
        <f>SUMIF(data!$D:$D,$B65&amp;$D65,data!$K:$K)</f>
        <v>3750</v>
      </c>
      <c r="K65" s="100">
        <f>SUMIF(AJOUT!$A:$A,BRAN!$V:$V,AJOUT!$L:$L)</f>
        <v>0</v>
      </c>
      <c r="L65" s="100">
        <f>SUMIF(CBOUT!$A:$A,BRAN!$V:$V,CBOUT!$G:$G)</f>
        <v>0</v>
      </c>
      <c r="M65" s="1158">
        <f>E65+F65+H65-I65-L65+G65-K65</f>
        <v>112</v>
      </c>
      <c r="N65" s="652">
        <f t="shared" si="6"/>
        <v>2800</v>
      </c>
      <c r="O65" s="1159">
        <f t="shared" si="7"/>
        <v>3750</v>
      </c>
      <c r="P65" s="1171"/>
      <c r="Q65" s="1171"/>
      <c r="R65" s="1172">
        <f>O65/INTGRATE!$N$293</f>
        <v>750</v>
      </c>
      <c r="S65" s="665">
        <f>IF(R65=0,0,N65/R65)</f>
        <v>3.7333333333333334</v>
      </c>
      <c r="T65" s="403"/>
      <c r="U65" s="136"/>
      <c r="V65" s="836" t="str">
        <f t="shared" si="20"/>
        <v>521SPro25</v>
      </c>
      <c r="W65" s="823">
        <v>121701</v>
      </c>
      <c r="X65" s="386"/>
      <c r="Y65" s="386">
        <v>0</v>
      </c>
      <c r="Z65" s="100">
        <v>0</v>
      </c>
      <c r="AA65" s="100">
        <v>0</v>
      </c>
      <c r="AB65" s="100">
        <v>0</v>
      </c>
      <c r="AC65" s="100">
        <v>3750</v>
      </c>
      <c r="AD65" s="100"/>
      <c r="AE65" s="100"/>
      <c r="AF65" s="100"/>
      <c r="AG65" s="100"/>
      <c r="AH65" s="425"/>
      <c r="AI65" s="100"/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3750</v>
      </c>
      <c r="BD65" s="786">
        <f t="shared" si="9"/>
        <v>1</v>
      </c>
      <c r="BE65" s="786">
        <f t="shared" si="10"/>
        <v>3750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15" t="s">
        <v>53</v>
      </c>
      <c r="C66" s="315" t="s">
        <v>51</v>
      </c>
      <c r="D66" s="1157">
        <v>25</v>
      </c>
      <c r="E66" s="425">
        <v>0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58">
        <f>E66+F66+H66-I66-L66+G66-K66</f>
        <v>0</v>
      </c>
      <c r="N66" s="652">
        <f t="shared" si="6"/>
        <v>0</v>
      </c>
      <c r="O66" s="1159">
        <f t="shared" si="7"/>
        <v>0</v>
      </c>
      <c r="P66" s="1171"/>
      <c r="Q66" s="1171"/>
      <c r="R66" s="1172">
        <f>O66/INTGRATE!$N$293</f>
        <v>0</v>
      </c>
      <c r="S66" s="665">
        <f t="shared" si="19"/>
        <v>0</v>
      </c>
      <c r="T66" s="403"/>
      <c r="U66" s="136"/>
      <c r="V66" s="836" t="str">
        <f t="shared" si="20"/>
        <v>521Pro25</v>
      </c>
      <c r="W66" s="823">
        <v>122721</v>
      </c>
      <c r="X66" s="386"/>
      <c r="Y66" s="386">
        <v>0</v>
      </c>
      <c r="Z66" s="100">
        <v>0</v>
      </c>
      <c r="AA66" s="100">
        <v>0</v>
      </c>
      <c r="AB66" s="100">
        <v>0</v>
      </c>
      <c r="AC66" s="100">
        <v>0</v>
      </c>
      <c r="AD66" s="100"/>
      <c r="AE66" s="100"/>
      <c r="AF66" s="100"/>
      <c r="AG66" s="100"/>
      <c r="AH66" s="425"/>
      <c r="AI66" s="100"/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0</v>
      </c>
      <c r="BD66" s="786">
        <f t="shared" si="9"/>
        <v>0</v>
      </c>
      <c r="BE66" s="786">
        <f t="shared" si="10"/>
        <v>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15" t="s">
        <v>145</v>
      </c>
      <c r="C67" s="315" t="s">
        <v>51</v>
      </c>
      <c r="D67" s="1157" t="s">
        <v>66</v>
      </c>
      <c r="E67" s="1172">
        <v>0</v>
      </c>
      <c r="F67" s="425">
        <f>+J67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58">
        <f>E67+F67+H67-I67-L67+G67-K67</f>
        <v>0</v>
      </c>
      <c r="N67" s="652">
        <f t="shared" si="6"/>
        <v>0</v>
      </c>
      <c r="O67" s="1159">
        <f t="shared" si="7"/>
        <v>0</v>
      </c>
      <c r="P67" s="1171"/>
      <c r="Q67" s="1171"/>
      <c r="R67" s="1172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522(silo)SILO</v>
      </c>
      <c r="W67" s="823">
        <v>123001</v>
      </c>
      <c r="X67" s="386"/>
      <c r="Y67" s="386">
        <v>0</v>
      </c>
      <c r="Z67" s="100">
        <v>0</v>
      </c>
      <c r="AA67" s="100">
        <v>0</v>
      </c>
      <c r="AB67" s="100">
        <v>0</v>
      </c>
      <c r="AC67" s="100">
        <v>0</v>
      </c>
      <c r="AD67" s="100"/>
      <c r="AE67" s="100"/>
      <c r="AF67" s="100"/>
      <c r="AG67" s="100"/>
      <c r="AH67" s="425"/>
      <c r="AI67" s="100"/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>
        <v>522</v>
      </c>
      <c r="C68" s="555" t="s">
        <v>51</v>
      </c>
      <c r="D68" s="1157">
        <v>25</v>
      </c>
      <c r="E68" s="561">
        <v>0</v>
      </c>
      <c r="F68" s="100">
        <f>SUMIF(pro!$A:$A,$V:$V,pro!$N:$N)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58">
        <f t="shared" ref="M68:M83" si="21">E68+F68+H68-I68-L68+G68-K68</f>
        <v>0</v>
      </c>
      <c r="N68" s="652">
        <f t="shared" si="6"/>
        <v>0</v>
      </c>
      <c r="O68" s="1159">
        <f t="shared" si="7"/>
        <v>0</v>
      </c>
      <c r="P68" s="804"/>
      <c r="Q68" s="804"/>
      <c r="R68" s="100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52225</v>
      </c>
      <c r="W68" s="823">
        <v>123001</v>
      </c>
      <c r="X68" s="386"/>
      <c r="Y68" s="386">
        <v>0</v>
      </c>
      <c r="Z68" s="100">
        <v>0</v>
      </c>
      <c r="AA68" s="100">
        <v>0</v>
      </c>
      <c r="AB68" s="100">
        <v>0</v>
      </c>
      <c r="AC68" s="100">
        <v>0</v>
      </c>
      <c r="AD68" s="100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 t="s">
        <v>50</v>
      </c>
      <c r="C69" s="555" t="s">
        <v>51</v>
      </c>
      <c r="D69" s="1157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58">
        <f t="shared" si="21"/>
        <v>0</v>
      </c>
      <c r="N69" s="652">
        <f t="shared" si="6"/>
        <v>0</v>
      </c>
      <c r="O69" s="1159">
        <f t="shared" si="7"/>
        <v>0</v>
      </c>
      <c r="P69" s="804"/>
      <c r="Q69" s="804"/>
      <c r="R69" s="100">
        <f>O69/INTGRATE!$N$293</f>
        <v>0</v>
      </c>
      <c r="S69" s="665">
        <f>IF(R69=0,0,N69/R69)</f>
        <v>0</v>
      </c>
      <c r="T69" s="403"/>
      <c r="U69" s="136"/>
      <c r="V69" s="836" t="str">
        <f t="shared" si="20"/>
        <v>522Pro25</v>
      </c>
      <c r="W69" s="823">
        <v>123701</v>
      </c>
      <c r="X69" s="386"/>
      <c r="Y69" s="386">
        <v>0</v>
      </c>
      <c r="Z69" s="100">
        <v>0</v>
      </c>
      <c r="AA69" s="100">
        <v>0</v>
      </c>
      <c r="AB69" s="100">
        <v>0</v>
      </c>
      <c r="AC69" s="100">
        <v>0</v>
      </c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146</v>
      </c>
      <c r="C70" s="555" t="s">
        <v>51</v>
      </c>
      <c r="D70" s="1157" t="s">
        <v>66</v>
      </c>
      <c r="E70" s="561"/>
      <c r="F70" s="100">
        <f>J70</f>
        <v>0</v>
      </c>
      <c r="G70" s="425"/>
      <c r="H70" s="100"/>
      <c r="I70" s="100"/>
      <c r="J70" s="100">
        <f>SUMIF(data!$D:$D,$B70&amp;$D70,data!$K:$K)</f>
        <v>0</v>
      </c>
      <c r="K70" s="100"/>
      <c r="L70" s="100"/>
      <c r="M70" s="1158"/>
      <c r="N70" s="652"/>
      <c r="O70" s="1159">
        <f t="shared" ref="O70" si="22">SUM(X70:BB70)</f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522PProSILO</v>
      </c>
      <c r="W70" s="823">
        <v>12370832</v>
      </c>
      <c r="X70" s="386"/>
      <c r="Y70" s="386">
        <v>0</v>
      </c>
      <c r="Z70" s="100">
        <v>0</v>
      </c>
      <c r="AA70" s="100">
        <v>0</v>
      </c>
      <c r="AB70" s="100">
        <v>0</v>
      </c>
      <c r="AC70" s="100">
        <v>0</v>
      </c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147</v>
      </c>
      <c r="C71" s="555" t="s">
        <v>51</v>
      </c>
      <c r="D71" s="1157">
        <v>25</v>
      </c>
      <c r="E71" s="561">
        <v>0</v>
      </c>
      <c r="F71" s="100">
        <f>SUMIF(pro!$A:$A,$V:$V,pro!$N:$N)</f>
        <v>0</v>
      </c>
      <c r="G71" s="425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100">
        <f>SUMIF(AJOUT!$A:$A,BRAN!$V:$V,AJOUT!$L:$L)</f>
        <v>0</v>
      </c>
      <c r="L71" s="100">
        <f>SUMIF(CBOUT!$A:$A,BRAN!$V:$V,CBOUT!$G:$G)</f>
        <v>0</v>
      </c>
      <c r="M71" s="1158">
        <f>E71+F71+H71-I71-L71+G71-K71</f>
        <v>0</v>
      </c>
      <c r="N71" s="652">
        <f t="shared" si="6"/>
        <v>0</v>
      </c>
      <c r="O71" s="1159">
        <f t="shared" si="7"/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524P25</v>
      </c>
      <c r="W71" s="823">
        <v>127008</v>
      </c>
      <c r="X71" s="386"/>
      <c r="Y71" s="386">
        <v>0</v>
      </c>
      <c r="Z71" s="100">
        <v>0</v>
      </c>
      <c r="AA71" s="100">
        <v>0</v>
      </c>
      <c r="AB71" s="100">
        <v>0</v>
      </c>
      <c r="AC71" s="100">
        <v>0</v>
      </c>
      <c r="AD71" s="100"/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315">
        <v>524</v>
      </c>
      <c r="C72" s="315" t="s">
        <v>51</v>
      </c>
      <c r="D72" s="1157">
        <v>25</v>
      </c>
      <c r="E72" s="100">
        <v>1480</v>
      </c>
      <c r="F72" s="100">
        <f>SUMIF(pro!$A:$A,$V:$V,pro!$N:$N)</f>
        <v>0</v>
      </c>
      <c r="G72" s="100"/>
      <c r="H72" s="100">
        <f>SUMIF(CBIN!$A:$A,BRAN!$V:$V,CBIN!$G:$G)</f>
        <v>0</v>
      </c>
      <c r="I72" s="100">
        <f>SUMIF(data!$D:$D,$B72&amp;$D72,data!$J:$J)</f>
        <v>1173</v>
      </c>
      <c r="J72" s="100">
        <f>SUMIF(data!$D:$D,$B72&amp;$D72,data!$K:$K)</f>
        <v>29325</v>
      </c>
      <c r="K72" s="100">
        <f>SUMIF(AJOUT!$A:$A,BRAN!$V:$V,AJOUT!$L:$L)</f>
        <v>2</v>
      </c>
      <c r="L72" s="100">
        <f>SUMIF(CBOUT!$A:$A,BRAN!$V:$V,CBOUT!$G:$G)</f>
        <v>0</v>
      </c>
      <c r="M72" s="1158">
        <f t="shared" si="21"/>
        <v>305</v>
      </c>
      <c r="N72" s="652">
        <f t="shared" si="6"/>
        <v>7625</v>
      </c>
      <c r="O72" s="1159">
        <f t="shared" si="7"/>
        <v>81250</v>
      </c>
      <c r="P72" s="804"/>
      <c r="Q72" s="804"/>
      <c r="R72" s="100">
        <f>O72/INTGRATE!$N$293</f>
        <v>16250</v>
      </c>
      <c r="S72" s="665">
        <f t="shared" si="19"/>
        <v>0.46923076923076923</v>
      </c>
      <c r="T72" s="403"/>
      <c r="U72" s="136"/>
      <c r="V72" s="836" t="str">
        <f t="shared" si="20"/>
        <v>52425</v>
      </c>
      <c r="W72" s="823">
        <v>127001</v>
      </c>
      <c r="X72" s="386"/>
      <c r="Y72" s="386">
        <v>15125</v>
      </c>
      <c r="Z72" s="100">
        <v>7850</v>
      </c>
      <c r="AA72" s="100">
        <v>24175</v>
      </c>
      <c r="AB72" s="100">
        <v>4775</v>
      </c>
      <c r="AC72" s="100">
        <v>29325</v>
      </c>
      <c r="AD72" s="100"/>
      <c r="AE72" s="100"/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81250</v>
      </c>
      <c r="BD72" s="786">
        <f t="shared" si="9"/>
        <v>5</v>
      </c>
      <c r="BE72" s="786">
        <f t="shared" si="10"/>
        <v>16250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 t="s">
        <v>148</v>
      </c>
      <c r="C73" s="315" t="s">
        <v>51</v>
      </c>
      <c r="D73" s="1157" t="s">
        <v>66</v>
      </c>
      <c r="E73" s="1172">
        <v>0</v>
      </c>
      <c r="F73" s="425">
        <f>J73</f>
        <v>0</v>
      </c>
      <c r="G73" s="1172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100">
        <f>SUMIF(AJOUT!$A:$A,BRAN!$V:$V,AJOUT!$L:$L)</f>
        <v>0</v>
      </c>
      <c r="L73" s="100">
        <f>SUMIF(CBOUT!$A:$A,BRAN!$V:$V,CBOUT!$G:$G)</f>
        <v>0</v>
      </c>
      <c r="M73" s="1158">
        <f t="shared" si="21"/>
        <v>0</v>
      </c>
      <c r="N73" s="652">
        <f t="shared" si="6"/>
        <v>0</v>
      </c>
      <c r="O73" s="1159">
        <f t="shared" si="7"/>
        <v>0</v>
      </c>
      <c r="P73" s="1171"/>
      <c r="Q73" s="1171"/>
      <c r="R73" s="1172">
        <f>O73/INTGRATE!$N$293</f>
        <v>0</v>
      </c>
      <c r="S73" s="665">
        <f t="shared" si="19"/>
        <v>0</v>
      </c>
      <c r="T73" s="403"/>
      <c r="U73" s="136"/>
      <c r="V73" s="836" t="str">
        <f t="shared" si="20"/>
        <v>524(silo)SILO</v>
      </c>
      <c r="W73" s="823">
        <v>127001</v>
      </c>
      <c r="X73" s="386"/>
      <c r="Y73" s="386">
        <v>0</v>
      </c>
      <c r="Z73" s="100">
        <v>0</v>
      </c>
      <c r="AA73" s="100">
        <v>0</v>
      </c>
      <c r="AB73" s="100">
        <v>0</v>
      </c>
      <c r="AC73" s="100">
        <v>0</v>
      </c>
      <c r="AD73" s="100"/>
      <c r="AE73" s="100"/>
      <c r="AF73" s="100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0</v>
      </c>
      <c r="BD73" s="786">
        <f t="shared" si="9"/>
        <v>0</v>
      </c>
      <c r="BE73" s="786">
        <f t="shared" si="10"/>
        <v>0</v>
      </c>
      <c r="BF73" s="38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149</v>
      </c>
      <c r="C74" s="315" t="s">
        <v>51</v>
      </c>
      <c r="D74" s="1157">
        <v>25</v>
      </c>
      <c r="E74" s="100">
        <v>0</v>
      </c>
      <c r="F74" s="100">
        <f>SUMIF(pro!$A:$A,$V:$V,pro!$N:$N)</f>
        <v>0</v>
      </c>
      <c r="G74" s="10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58">
        <f t="shared" si="21"/>
        <v>0</v>
      </c>
      <c r="N74" s="652">
        <f t="shared" si="6"/>
        <v>0</v>
      </c>
      <c r="O74" s="1159">
        <f t="shared" si="7"/>
        <v>0</v>
      </c>
      <c r="P74" s="804"/>
      <c r="Q74" s="804"/>
      <c r="R74" s="100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524A25</v>
      </c>
      <c r="W74" s="823">
        <v>127061</v>
      </c>
      <c r="X74" s="386"/>
      <c r="Y74" s="386">
        <v>0</v>
      </c>
      <c r="Z74" s="100">
        <v>0</v>
      </c>
      <c r="AA74" s="100">
        <v>0</v>
      </c>
      <c r="AB74" s="100">
        <v>0</v>
      </c>
      <c r="AC74" s="100">
        <v>0</v>
      </c>
      <c r="AD74" s="100"/>
      <c r="AE74" s="100"/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64</v>
      </c>
      <c r="D75" s="97">
        <v>25</v>
      </c>
      <c r="E75" s="100">
        <v>464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100">
        <f>SUMIF(AJOUT!$A:$A,BRAN!$V:$V,AJOUT!$L:$L)</f>
        <v>0</v>
      </c>
      <c r="L75" s="100">
        <f>SUMIF(CBOUT!$A:$A,BRAN!$V:$V,CBOUT!$G:$G)</f>
        <v>0</v>
      </c>
      <c r="M75" s="1158">
        <f t="shared" si="21"/>
        <v>464</v>
      </c>
      <c r="N75" s="652">
        <f t="shared" si="6"/>
        <v>11600</v>
      </c>
      <c r="O75" s="1159">
        <f t="shared" si="7"/>
        <v>7375</v>
      </c>
      <c r="P75" s="804"/>
      <c r="Q75" s="804"/>
      <c r="R75" s="100">
        <f>O75/INTGRATE!$N$293</f>
        <v>1475</v>
      </c>
      <c r="S75" s="665">
        <f t="shared" si="19"/>
        <v>7.8644067796610173</v>
      </c>
      <c r="T75" s="403"/>
      <c r="U75" s="136"/>
      <c r="V75" s="836" t="str">
        <f t="shared" si="20"/>
        <v>54025</v>
      </c>
      <c r="W75" s="823">
        <v>204101</v>
      </c>
      <c r="X75" s="386"/>
      <c r="Y75" s="386">
        <v>7375</v>
      </c>
      <c r="Z75" s="100">
        <v>0</v>
      </c>
      <c r="AA75" s="100">
        <v>0</v>
      </c>
      <c r="AB75" s="100">
        <v>0</v>
      </c>
      <c r="AC75" s="100">
        <v>0</v>
      </c>
      <c r="AD75" s="100"/>
      <c r="AE75" s="100"/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7375</v>
      </c>
      <c r="BD75" s="786">
        <f t="shared" si="9"/>
        <v>1</v>
      </c>
      <c r="BE75" s="786">
        <f t="shared" si="10"/>
        <v>7375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64</v>
      </c>
      <c r="D76" s="97">
        <v>25</v>
      </c>
      <c r="E76" s="100">
        <v>0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58">
        <f t="shared" si="21"/>
        <v>0</v>
      </c>
      <c r="N76" s="652">
        <f t="shared" si="6"/>
        <v>0</v>
      </c>
      <c r="O76" s="1159">
        <f t="shared" si="7"/>
        <v>0</v>
      </c>
      <c r="P76" s="804"/>
      <c r="Q76" s="804"/>
      <c r="R76" s="100">
        <f>O76/INTGRATE!$N$293</f>
        <v>0</v>
      </c>
      <c r="S76" s="665">
        <f t="shared" si="19"/>
        <v>0</v>
      </c>
      <c r="T76" s="403"/>
      <c r="U76" s="136"/>
      <c r="V76" s="836" t="str">
        <f t="shared" si="20"/>
        <v>54325</v>
      </c>
      <c r="W76" s="823">
        <v>226001</v>
      </c>
      <c r="X76" s="386"/>
      <c r="Y76" s="386">
        <v>0</v>
      </c>
      <c r="Z76" s="100">
        <v>0</v>
      </c>
      <c r="AA76" s="100">
        <v>0</v>
      </c>
      <c r="AB76" s="100">
        <v>0</v>
      </c>
      <c r="AC76" s="100">
        <v>0</v>
      </c>
      <c r="AD76" s="100"/>
      <c r="AE76" s="100"/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0</v>
      </c>
      <c r="BD76" s="786">
        <f t="shared" si="9"/>
        <v>0</v>
      </c>
      <c r="BE76" s="786">
        <f t="shared" si="10"/>
        <v>0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64</v>
      </c>
      <c r="D77" s="97">
        <v>25</v>
      </c>
      <c r="E77" s="100">
        <v>1186</v>
      </c>
      <c r="F77" s="100">
        <f>SUMIF(pro!$A:$A,$V:$V,pro!$N:$N)</f>
        <v>0</v>
      </c>
      <c r="G77" s="100"/>
      <c r="H77" s="100">
        <f>SUMIF(CBIN!$A:$A,BRAN!$V:$V,CBIN!$G:$G)</f>
        <v>0</v>
      </c>
      <c r="I77" s="100">
        <f>SUMIF(data!$D:$D,$B77&amp;$D77,data!$J:$J)</f>
        <v>21</v>
      </c>
      <c r="J77" s="100">
        <f>SUMIF(data!$D:$D,$B77&amp;$D77,data!$K:$K)</f>
        <v>525</v>
      </c>
      <c r="K77" s="100">
        <f>SUMIF(AJOUT!$A:$A,BRAN!$V:$V,AJOUT!$L:$L)</f>
        <v>0</v>
      </c>
      <c r="L77" s="100">
        <f>SUMIF(CBOUT!$A:$A,BRAN!$V:$V,CBOUT!$G:$G)</f>
        <v>0</v>
      </c>
      <c r="M77" s="1158">
        <f t="shared" si="21"/>
        <v>1165</v>
      </c>
      <c r="N77" s="652">
        <f t="shared" si="6"/>
        <v>29125</v>
      </c>
      <c r="O77" s="1159">
        <f t="shared" si="7"/>
        <v>8925</v>
      </c>
      <c r="P77" s="804"/>
      <c r="Q77" s="804"/>
      <c r="R77" s="100">
        <f>O77/INTGRATE!$N$293</f>
        <v>1785</v>
      </c>
      <c r="S77" s="665">
        <f t="shared" si="19"/>
        <v>16.316526610644257</v>
      </c>
      <c r="T77" s="403"/>
      <c r="U77" s="136"/>
      <c r="V77" s="836" t="str">
        <f t="shared" si="20"/>
        <v>54425</v>
      </c>
      <c r="W77" s="823">
        <v>216201</v>
      </c>
      <c r="X77" s="386"/>
      <c r="Y77" s="386">
        <v>3925</v>
      </c>
      <c r="Z77" s="100">
        <v>2625</v>
      </c>
      <c r="AA77" s="100">
        <v>1225</v>
      </c>
      <c r="AB77" s="100">
        <v>625</v>
      </c>
      <c r="AC77" s="100">
        <v>525</v>
      </c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8925</v>
      </c>
      <c r="BD77" s="786">
        <f t="shared" si="9"/>
        <v>5</v>
      </c>
      <c r="BE77" s="786">
        <f t="shared" si="10"/>
        <v>1785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8">
        <v>40</v>
      </c>
      <c r="E78" s="100">
        <v>0</v>
      </c>
      <c r="F78" s="100">
        <f>SUMIF(pro!$A:$A,$V:$V,pro!$N:$N)</f>
        <v>0</v>
      </c>
      <c r="G78" s="100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100">
        <f>SUMIF(AJOUT!$A:$A,BRAN!$V:$V,AJOUT!$L:$L)</f>
        <v>0</v>
      </c>
      <c r="L78" s="100">
        <f>SUMIF(CBOUT!$A:$A,BRAN!$V:$V,CBOUT!$G:$G)</f>
        <v>0</v>
      </c>
      <c r="M78" s="1158">
        <f t="shared" si="21"/>
        <v>0</v>
      </c>
      <c r="N78" s="652">
        <f>+M78*D78</f>
        <v>0</v>
      </c>
      <c r="O78" s="1159">
        <f t="shared" si="7"/>
        <v>0</v>
      </c>
      <c r="P78" s="804"/>
      <c r="Q78" s="804"/>
      <c r="R78" s="100">
        <f>O78/INTGRATE!$N$293</f>
        <v>0</v>
      </c>
      <c r="S78" s="665">
        <f t="shared" si="19"/>
        <v>0</v>
      </c>
      <c r="T78" s="530"/>
      <c r="U78" s="136"/>
      <c r="V78" s="836" t="str">
        <f t="shared" si="20"/>
        <v>54440</v>
      </c>
      <c r="W78" s="823">
        <v>216201</v>
      </c>
      <c r="X78" s="386"/>
      <c r="Y78" s="386">
        <v>0</v>
      </c>
      <c r="Z78" s="100">
        <v>0</v>
      </c>
      <c r="AA78" s="100">
        <v>0</v>
      </c>
      <c r="AB78" s="100">
        <v>0</v>
      </c>
      <c r="AC78" s="100">
        <v>0</v>
      </c>
      <c r="AD78" s="100"/>
      <c r="AE78" s="100"/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0</v>
      </c>
      <c r="BD78" s="786">
        <f t="shared" si="9"/>
        <v>0</v>
      </c>
      <c r="BE78" s="786">
        <f t="shared" si="10"/>
        <v>0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64</v>
      </c>
      <c r="D79" s="98">
        <v>25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58">
        <f t="shared" si="21"/>
        <v>0</v>
      </c>
      <c r="N79" s="652">
        <f t="shared" si="6"/>
        <v>0</v>
      </c>
      <c r="O79" s="1159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403"/>
      <c r="U79" s="136"/>
      <c r="V79" s="836" t="str">
        <f t="shared" si="20"/>
        <v>54525</v>
      </c>
      <c r="W79" s="823">
        <v>216201</v>
      </c>
      <c r="X79" s="386"/>
      <c r="Y79" s="386">
        <v>0</v>
      </c>
      <c r="Z79" s="100">
        <v>0</v>
      </c>
      <c r="AA79" s="100">
        <v>0</v>
      </c>
      <c r="AB79" s="100">
        <v>0</v>
      </c>
      <c r="AC79" s="100">
        <v>0</v>
      </c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40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58">
        <f t="shared" si="21"/>
        <v>0</v>
      </c>
      <c r="N80" s="652">
        <f t="shared" si="6"/>
        <v>0</v>
      </c>
      <c r="O80" s="1159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54540</v>
      </c>
      <c r="W80" s="823">
        <v>216251</v>
      </c>
      <c r="X80" s="386"/>
      <c r="Y80" s="386">
        <v>0</v>
      </c>
      <c r="Z80" s="100">
        <v>0</v>
      </c>
      <c r="AA80" s="100">
        <v>0</v>
      </c>
      <c r="AB80" s="100">
        <v>0</v>
      </c>
      <c r="AC80" s="100">
        <v>0</v>
      </c>
      <c r="AD80" s="100"/>
      <c r="AE80" s="100"/>
      <c r="AF80" s="100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1173" t="s">
        <v>55</v>
      </c>
      <c r="D81" s="97">
        <v>25</v>
      </c>
      <c r="E81" s="100">
        <v>190</v>
      </c>
      <c r="F81" s="100">
        <f>SUMIF(pro!$A:$A,$V:$V,pro!$N:$N)</f>
        <v>285</v>
      </c>
      <c r="G81" s="100"/>
      <c r="H81" s="100">
        <f>SUMIF(CBIN!$A:$A,BRAN!$V:$V,CBIN!$G:$G)</f>
        <v>0</v>
      </c>
      <c r="I81" s="100">
        <f>SUMIF(data!$D:$D,$B81&amp;$D81,data!$J:$J)</f>
        <v>10</v>
      </c>
      <c r="J81" s="100">
        <f>SUMIF(data!$D:$D,$B81&amp;$D81,data!$K:$K)</f>
        <v>250</v>
      </c>
      <c r="K81" s="100">
        <f>SUMIF(AJOUT!$A:$A,BRAN!$V:$V,AJOUT!$L:$L)</f>
        <v>0</v>
      </c>
      <c r="L81" s="100">
        <f>SUMIF(CBOUT!$A:$A,BRAN!$V:$V,CBOUT!$G:$G)</f>
        <v>0</v>
      </c>
      <c r="M81" s="1158">
        <f t="shared" si="21"/>
        <v>465</v>
      </c>
      <c r="N81" s="652">
        <f t="shared" si="6"/>
        <v>11625</v>
      </c>
      <c r="O81" s="1159">
        <f t="shared" si="7"/>
        <v>8650</v>
      </c>
      <c r="P81" s="804"/>
      <c r="Q81" s="804"/>
      <c r="R81" s="100">
        <f>O81/INTGRATE!$N$293</f>
        <v>1730</v>
      </c>
      <c r="S81" s="665">
        <f t="shared" si="19"/>
        <v>6.7196531791907512</v>
      </c>
      <c r="T81" s="403"/>
      <c r="U81" s="136"/>
      <c r="V81" s="836" t="str">
        <f t="shared" si="20"/>
        <v>54825</v>
      </c>
      <c r="W81" s="823">
        <v>201101</v>
      </c>
      <c r="X81" s="386"/>
      <c r="Y81" s="386">
        <v>3000</v>
      </c>
      <c r="Z81" s="100">
        <v>0</v>
      </c>
      <c r="AA81" s="100">
        <v>500</v>
      </c>
      <c r="AB81" s="100">
        <v>4900</v>
      </c>
      <c r="AC81" s="100">
        <v>250</v>
      </c>
      <c r="AD81" s="100"/>
      <c r="AE81" s="100"/>
      <c r="AF81" s="100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8650</v>
      </c>
      <c r="BD81" s="786">
        <f t="shared" si="9"/>
        <v>4</v>
      </c>
      <c r="BE81" s="786">
        <f t="shared" si="10"/>
        <v>2162.5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150</v>
      </c>
      <c r="C82" s="1173" t="s">
        <v>55</v>
      </c>
      <c r="D82" s="97">
        <v>25</v>
      </c>
      <c r="E82" s="100">
        <v>0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100">
        <f>SUMIF(AJOUT!$A:$A,BRAN!$V:$V,AJOUT!$L:$L)</f>
        <v>0</v>
      </c>
      <c r="L82" s="100">
        <f>SUMIF(CBOUT!$A:$A,BRAN!$V:$V,CBOUT!$G:$G)</f>
        <v>0</v>
      </c>
      <c r="M82" s="1158">
        <f t="shared" si="21"/>
        <v>0</v>
      </c>
      <c r="N82" s="652">
        <f t="shared" si="6"/>
        <v>0</v>
      </c>
      <c r="O82" s="1159">
        <f t="shared" si="7"/>
        <v>0</v>
      </c>
      <c r="P82" s="804"/>
      <c r="Q82" s="804"/>
      <c r="R82" s="100">
        <f>O82/INTGRATE!$N$293</f>
        <v>0</v>
      </c>
      <c r="S82" s="665">
        <f t="shared" si="19"/>
        <v>0</v>
      </c>
      <c r="T82" s="403"/>
      <c r="U82" s="136"/>
      <c r="V82" s="836" t="str">
        <f t="shared" si="20"/>
        <v>548M25</v>
      </c>
      <c r="W82" s="823">
        <v>201201</v>
      </c>
      <c r="X82" s="386"/>
      <c r="Y82" s="386">
        <v>0</v>
      </c>
      <c r="Z82" s="100">
        <v>0</v>
      </c>
      <c r="AA82" s="100">
        <v>0</v>
      </c>
      <c r="AB82" s="100">
        <v>0</v>
      </c>
      <c r="AC82" s="100">
        <v>0</v>
      </c>
      <c r="AD82" s="100"/>
      <c r="AE82" s="100"/>
      <c r="AF82" s="100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0</v>
      </c>
      <c r="BD82" s="786">
        <f t="shared" si="9"/>
        <v>0</v>
      </c>
      <c r="BE82" s="786">
        <f t="shared" si="10"/>
        <v>0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151</v>
      </c>
      <c r="C83" s="96" t="s">
        <v>64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58">
        <f t="shared" si="21"/>
        <v>0</v>
      </c>
      <c r="N83" s="652">
        <f t="shared" si="6"/>
        <v>0</v>
      </c>
      <c r="O83" s="1159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549M25</v>
      </c>
      <c r="W83" s="823">
        <v>203201</v>
      </c>
      <c r="X83" s="386"/>
      <c r="Y83" s="386">
        <v>0</v>
      </c>
      <c r="Z83" s="100">
        <v>0</v>
      </c>
      <c r="AA83" s="100">
        <v>0</v>
      </c>
      <c r="AB83" s="100">
        <v>0</v>
      </c>
      <c r="AC83" s="100">
        <v>0</v>
      </c>
      <c r="AD83" s="100"/>
      <c r="AE83" s="100"/>
      <c r="AF83" s="100"/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ref="BC83:BC146" si="23">SUM(X83:BB83)</f>
        <v>0</v>
      </c>
      <c r="BD83" s="786">
        <f t="shared" ref="BD83:BD146" si="24">COUNTIF(X83:BB83,"&gt;0")</f>
        <v>0</v>
      </c>
      <c r="BE83" s="786">
        <f t="shared" ref="BE83:BE146" si="25">IFERROR(BC83/BD83,0)</f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 t="s">
        <v>66</v>
      </c>
      <c r="E84" s="425"/>
      <c r="F84" s="425">
        <f>+J84</f>
        <v>0</v>
      </c>
      <c r="G84" s="425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561">
        <f>SUMIF(AJOUT!$A:$A,BRAN!$V:$V,AJOUT!$L:$L)</f>
        <v>0</v>
      </c>
      <c r="L84" s="561">
        <f>SUMIF(CBOUT!$A:$A,BRAN!$V:$V,CBOUT!$G:$G)</f>
        <v>0</v>
      </c>
      <c r="M84" s="528"/>
      <c r="N84" s="652">
        <f t="shared" si="6"/>
        <v>0</v>
      </c>
      <c r="O84" s="1159">
        <f t="shared" si="7"/>
        <v>0</v>
      </c>
      <c r="P84" s="427"/>
      <c r="Q84" s="427"/>
      <c r="R84" s="425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549MSILO</v>
      </c>
      <c r="W84" s="823">
        <v>203201</v>
      </c>
      <c r="X84" s="386"/>
      <c r="Y84" s="386">
        <v>0</v>
      </c>
      <c r="Z84" s="100">
        <v>0</v>
      </c>
      <c r="AA84" s="100">
        <v>0</v>
      </c>
      <c r="AB84" s="100">
        <v>0</v>
      </c>
      <c r="AC84" s="100">
        <v>0</v>
      </c>
      <c r="AD84" s="100"/>
      <c r="AE84" s="100"/>
      <c r="AF84" s="100"/>
      <c r="AG84" s="100"/>
      <c r="AH84" s="425"/>
      <c r="AI84" s="100"/>
      <c r="AJ84" s="100"/>
      <c r="AK84" s="100"/>
      <c r="AL84" s="100"/>
      <c r="AM84" s="100"/>
      <c r="AN84" s="100"/>
      <c r="AO84" s="425"/>
      <c r="AP84" s="100"/>
      <c r="AQ84" s="425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si="23"/>
        <v>0</v>
      </c>
      <c r="BD84" s="786">
        <f t="shared" si="24"/>
        <v>0</v>
      </c>
      <c r="BE84" s="786">
        <f t="shared" si="25"/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59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549SILO</v>
      </c>
      <c r="W85" s="823">
        <v>203201</v>
      </c>
      <c r="X85" s="386"/>
      <c r="Y85" s="386">
        <v>0</v>
      </c>
      <c r="Z85" s="100">
        <v>0</v>
      </c>
      <c r="AA85" s="100">
        <v>0</v>
      </c>
      <c r="AB85" s="100">
        <v>0</v>
      </c>
      <c r="AC85" s="100">
        <v>0</v>
      </c>
      <c r="AD85" s="100"/>
      <c r="AE85" s="100"/>
      <c r="AF85" s="100"/>
      <c r="AG85" s="100"/>
      <c r="AH85" s="425"/>
      <c r="AI85" s="100"/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3"/>
        <v>0</v>
      </c>
      <c r="BD85" s="786">
        <f t="shared" si="24"/>
        <v>0</v>
      </c>
      <c r="BE85" s="786">
        <f t="shared" si="25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>
        <v>25</v>
      </c>
      <c r="E86" s="100">
        <v>1240</v>
      </c>
      <c r="F86" s="100">
        <f>SUMIF(pro!$A:$A,$V:$V,pro!$N:$N)</f>
        <v>0</v>
      </c>
      <c r="G86" s="100"/>
      <c r="H86" s="100">
        <f>SUMIF(CBIN!$A:$A,BRAN!$V:$V,CBIN!$G:$G)</f>
        <v>0</v>
      </c>
      <c r="I86" s="100">
        <f>SUMIF(data!$D:$D,$B86&amp;$D86,data!$J:$J)</f>
        <v>12</v>
      </c>
      <c r="J86" s="100">
        <f>SUMIF(data!$D:$D,$B86&amp;$D86,data!$K:$K)</f>
        <v>300</v>
      </c>
      <c r="K86" s="561">
        <f>SUMIF(AJOUT!$A:$A,BRAN!$V:$V,AJOUT!$L:$L)</f>
        <v>0</v>
      </c>
      <c r="L86" s="561">
        <f>SUMIF(CBOUT!$A:$A,BRAN!$V:$V,CBOUT!$G:$G)</f>
        <v>0</v>
      </c>
      <c r="M86" s="1158">
        <f>E86+F86+H86-I86-L86+G86-K86</f>
        <v>1228</v>
      </c>
      <c r="N86" s="652">
        <f t="shared" ref="N86:N149" si="26">M86*25</f>
        <v>30700</v>
      </c>
      <c r="O86" s="1159">
        <f t="shared" ref="O86:O149" si="27">SUM(X86:BB86)</f>
        <v>28250</v>
      </c>
      <c r="P86" s="804"/>
      <c r="Q86" s="804"/>
      <c r="R86" s="100">
        <f>O86/INTGRATE!$N$293</f>
        <v>5650</v>
      </c>
      <c r="S86" s="665">
        <f t="shared" si="19"/>
        <v>5.4336283185840708</v>
      </c>
      <c r="T86" s="530"/>
      <c r="U86" s="136"/>
      <c r="V86" s="836" t="str">
        <f t="shared" si="20"/>
        <v>54925</v>
      </c>
      <c r="W86" s="823">
        <v>203101</v>
      </c>
      <c r="X86" s="386"/>
      <c r="Y86" s="386">
        <v>15525</v>
      </c>
      <c r="Z86" s="100">
        <v>250</v>
      </c>
      <c r="AA86" s="100">
        <v>1050</v>
      </c>
      <c r="AB86" s="100">
        <v>11125</v>
      </c>
      <c r="AC86" s="100">
        <v>300</v>
      </c>
      <c r="AD86" s="100"/>
      <c r="AE86" s="100"/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3"/>
        <v>28250</v>
      </c>
      <c r="BD86" s="786">
        <f t="shared" si="24"/>
        <v>5</v>
      </c>
      <c r="BE86" s="786">
        <f t="shared" si="25"/>
        <v>5650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762" t="s">
        <v>152</v>
      </c>
      <c r="C87" s="96" t="s">
        <v>64</v>
      </c>
      <c r="D87" s="763">
        <v>25</v>
      </c>
      <c r="E87" s="100">
        <v>0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561">
        <f>SUMIF(AJOUT!$A:$A,BRAN!$V:$V,AJOUT!$L:$L)</f>
        <v>0</v>
      </c>
      <c r="L87" s="561">
        <f>SUMIF(CBOUT!$A:$A,BRAN!$V:$V,CBOUT!$G:$G)</f>
        <v>0</v>
      </c>
      <c r="M87" s="1158">
        <f>E87+F87+H87-I87-L87+G87-K87</f>
        <v>0</v>
      </c>
      <c r="N87" s="652">
        <f t="shared" si="26"/>
        <v>0</v>
      </c>
      <c r="O87" s="1159">
        <f t="shared" si="27"/>
        <v>0</v>
      </c>
      <c r="P87" s="804"/>
      <c r="Q87" s="804"/>
      <c r="R87" s="100">
        <f>O87/INTGRATE!$N$293</f>
        <v>0</v>
      </c>
      <c r="S87" s="665">
        <f>IF(R87=0,0,N87/R87)</f>
        <v>0</v>
      </c>
      <c r="T87" s="530"/>
      <c r="U87" s="136"/>
      <c r="V87" s="836" t="str">
        <f t="shared" si="20"/>
        <v>PP2025</v>
      </c>
      <c r="W87" s="823">
        <v>226501</v>
      </c>
      <c r="X87" s="386"/>
      <c r="Y87" s="386">
        <v>0</v>
      </c>
      <c r="Z87" s="100">
        <v>0</v>
      </c>
      <c r="AA87" s="100">
        <v>0</v>
      </c>
      <c r="AB87" s="100">
        <v>0</v>
      </c>
      <c r="AC87" s="100">
        <v>0</v>
      </c>
      <c r="AD87" s="100"/>
      <c r="AE87" s="100"/>
      <c r="AF87" s="100"/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3"/>
        <v>0</v>
      </c>
      <c r="BD87" s="786">
        <f t="shared" si="24"/>
        <v>0</v>
      </c>
      <c r="BE87" s="786">
        <f t="shared" si="25"/>
        <v>0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0" t="s">
        <v>153</v>
      </c>
      <c r="C88" s="538" t="s">
        <v>55</v>
      </c>
      <c r="D88" s="164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100">
        <f>SUMIF(AJOUT!$A:$A,BRAN!$V:$V,AJOUT!$L:$L)</f>
        <v>0</v>
      </c>
      <c r="L88" s="100">
        <f>SUMIF(CBOUT!$A:$A,BRAN!$V:$V,CBOUT!$G:$G)</f>
        <v>0</v>
      </c>
      <c r="M88" s="1158">
        <f>E88+F88+H88-I88-L88+G88-K88</f>
        <v>0</v>
      </c>
      <c r="N88" s="652">
        <f t="shared" si="26"/>
        <v>0</v>
      </c>
      <c r="O88" s="1159">
        <f t="shared" si="27"/>
        <v>0</v>
      </c>
      <c r="P88" s="804"/>
      <c r="Q88" s="804"/>
      <c r="R88" s="100">
        <f>O88/INTGRATE!$N$293</f>
        <v>0</v>
      </c>
      <c r="S88" s="665">
        <f t="shared" si="19"/>
        <v>0</v>
      </c>
      <c r="T88" s="403"/>
      <c r="U88" s="136"/>
      <c r="V88" s="836" t="str">
        <f t="shared" si="20"/>
        <v>550SBox25</v>
      </c>
      <c r="W88" s="823">
        <v>312001</v>
      </c>
      <c r="X88" s="386"/>
      <c r="Y88" s="386">
        <v>0</v>
      </c>
      <c r="Z88" s="100">
        <v>0</v>
      </c>
      <c r="AA88" s="100">
        <v>0</v>
      </c>
      <c r="AB88" s="100">
        <v>0</v>
      </c>
      <c r="AC88" s="100">
        <v>0</v>
      </c>
      <c r="AD88" s="100"/>
      <c r="AE88" s="100"/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3"/>
        <v>0</v>
      </c>
      <c r="BD88" s="786">
        <f t="shared" si="24"/>
        <v>0</v>
      </c>
      <c r="BE88" s="786">
        <f t="shared" si="25"/>
        <v>0</v>
      </c>
      <c r="BH88" s="436"/>
    </row>
    <row r="89" spans="1:151" s="38" customFormat="1" ht="15" customHeight="1">
      <c r="A89" s="91">
        <v>77</v>
      </c>
      <c r="B89" s="170" t="s">
        <v>154</v>
      </c>
      <c r="C89" s="163" t="s">
        <v>55</v>
      </c>
      <c r="D89" s="615" t="s">
        <v>66</v>
      </c>
      <c r="E89" s="425"/>
      <c r="F89" s="425">
        <f>J89</f>
        <v>0</v>
      </c>
      <c r="G89" s="425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100">
        <f>SUMIF(AJOUT!$A:$A,BRAN!$V:$V,AJOUT!$L:$L)</f>
        <v>0</v>
      </c>
      <c r="L89" s="100">
        <f>SUMIF(CBOUT!$A:$A,BRAN!$V:$V,CBOUT!$G:$G)</f>
        <v>0</v>
      </c>
      <c r="M89" s="528"/>
      <c r="N89" s="652">
        <f t="shared" si="26"/>
        <v>0</v>
      </c>
      <c r="O89" s="1159">
        <f t="shared" si="27"/>
        <v>27750</v>
      </c>
      <c r="P89" s="427"/>
      <c r="Q89" s="427"/>
      <c r="R89" s="425">
        <f>O89/INTGRATE!$N$293</f>
        <v>5550</v>
      </c>
      <c r="S89" s="665">
        <f t="shared" si="19"/>
        <v>0</v>
      </c>
      <c r="T89" s="403"/>
      <c r="U89" s="136"/>
      <c r="V89" s="836" t="str">
        <f t="shared" si="20"/>
        <v>550SSILO</v>
      </c>
      <c r="W89" s="823">
        <v>312001</v>
      </c>
      <c r="X89" s="386"/>
      <c r="Y89" s="386">
        <v>13950</v>
      </c>
      <c r="Z89" s="100">
        <v>0</v>
      </c>
      <c r="AA89" s="100">
        <v>13800</v>
      </c>
      <c r="AB89" s="100">
        <v>0</v>
      </c>
      <c r="AC89" s="100">
        <v>0</v>
      </c>
      <c r="AD89" s="100"/>
      <c r="AE89" s="100"/>
      <c r="AF89" s="100"/>
      <c r="AG89" s="100"/>
      <c r="AH89" s="425"/>
      <c r="AI89" s="100"/>
      <c r="AJ89" s="100"/>
      <c r="AK89" s="100"/>
      <c r="AL89" s="100"/>
      <c r="AM89" s="100"/>
      <c r="AN89" s="100"/>
      <c r="AO89" s="425"/>
      <c r="AP89" s="100"/>
      <c r="AQ89" s="425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3"/>
        <v>27750</v>
      </c>
      <c r="BD89" s="786">
        <f t="shared" si="24"/>
        <v>2</v>
      </c>
      <c r="BE89" s="786">
        <f t="shared" si="25"/>
        <v>13875</v>
      </c>
      <c r="BH89" s="436"/>
    </row>
    <row r="90" spans="1:151" s="38" customFormat="1" ht="15" customHeight="1">
      <c r="A90" s="91">
        <v>78</v>
      </c>
      <c r="B90" s="170" t="s">
        <v>154</v>
      </c>
      <c r="C90" s="538" t="s">
        <v>55</v>
      </c>
      <c r="D90" s="164">
        <v>25</v>
      </c>
      <c r="E90" s="100">
        <v>271</v>
      </c>
      <c r="F90" s="100">
        <f>SUMIF(pro!$A:$A,$V:$V,pro!$N:$N)</f>
        <v>0</v>
      </c>
      <c r="G90" s="100"/>
      <c r="H90" s="100">
        <f>SUMIF(CBIN!$A:$A,BRAN!$V:$V,CBIN!$G:$G)</f>
        <v>0</v>
      </c>
      <c r="I90" s="100">
        <f>SUMIF(data!$D:$D,$B90&amp;$D90,data!$J:$J)</f>
        <v>145</v>
      </c>
      <c r="J90" s="100">
        <f>SUMIF(data!$D:$D,$B90&amp;$D90,data!$K:$K)</f>
        <v>3625</v>
      </c>
      <c r="K90" s="100">
        <f>SUMIF(AJOUT!$A:$A,BRAN!$V:$V,AJOUT!$L:$L)</f>
        <v>0</v>
      </c>
      <c r="L90" s="100">
        <f>SUMIF(CBOUT!$A:$A,BRAN!$V:$V,CBOUT!$G:$G)</f>
        <v>0</v>
      </c>
      <c r="M90" s="1158">
        <f>E90+F90+H90-I90-L90+G90-K90</f>
        <v>126</v>
      </c>
      <c r="N90" s="652">
        <f t="shared" si="26"/>
        <v>3150</v>
      </c>
      <c r="O90" s="1159">
        <f t="shared" si="27"/>
        <v>11925</v>
      </c>
      <c r="P90" s="804"/>
      <c r="Q90" s="804"/>
      <c r="R90" s="100">
        <f>O90/INTGRATE!$N$293</f>
        <v>2385</v>
      </c>
      <c r="S90" s="665">
        <f t="shared" si="19"/>
        <v>1.320754716981132</v>
      </c>
      <c r="T90" s="403"/>
      <c r="U90" s="136"/>
      <c r="V90" s="836" t="str">
        <f t="shared" si="20"/>
        <v>550S25</v>
      </c>
      <c r="W90" s="823">
        <v>312001</v>
      </c>
      <c r="X90" s="386"/>
      <c r="Y90" s="386">
        <v>2200</v>
      </c>
      <c r="Z90" s="100">
        <v>1225</v>
      </c>
      <c r="AA90" s="100">
        <v>2550</v>
      </c>
      <c r="AB90" s="100">
        <v>2325</v>
      </c>
      <c r="AC90" s="100">
        <v>3625</v>
      </c>
      <c r="AD90" s="100"/>
      <c r="AE90" s="100"/>
      <c r="AF90" s="100"/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3"/>
        <v>11925</v>
      </c>
      <c r="BD90" s="786">
        <f t="shared" si="24"/>
        <v>5</v>
      </c>
      <c r="BE90" s="786">
        <f t="shared" si="25"/>
        <v>2385</v>
      </c>
      <c r="BF90" s="85"/>
      <c r="BH90" s="436"/>
    </row>
    <row r="91" spans="1:151" s="38" customFormat="1" ht="15" customHeight="1">
      <c r="A91" s="91">
        <v>79</v>
      </c>
      <c r="B91" s="170" t="s">
        <v>155</v>
      </c>
      <c r="C91" s="538" t="s">
        <v>55</v>
      </c>
      <c r="D91" s="164">
        <v>25</v>
      </c>
      <c r="E91" s="100">
        <v>598</v>
      </c>
      <c r="F91" s="100">
        <f>SUMIF(pro!$A:$A,$V:$V,pro!$N:$N)</f>
        <v>0</v>
      </c>
      <c r="G91" s="100"/>
      <c r="H91" s="100">
        <f>SUMIF(CBIN!$A:$A,BRAN!$V:$V,CBIN!$G:$G)</f>
        <v>0</v>
      </c>
      <c r="I91" s="100">
        <f>SUMIF(data!$D:$D,$B91&amp;$D91,data!$J:$J)</f>
        <v>597</v>
      </c>
      <c r="J91" s="100">
        <f>SUMIF(data!$D:$D,$B91&amp;$D91,data!$K:$K)</f>
        <v>14925</v>
      </c>
      <c r="K91" s="100">
        <f>SUMIF(AJOUT!$A:$A,BRAN!$V:$V,AJOUT!$L:$L)</f>
        <v>0</v>
      </c>
      <c r="L91" s="100">
        <f>SUMIF(CBOUT!$A:$A,BRAN!$V:$V,CBOUT!$G:$G)</f>
        <v>0</v>
      </c>
      <c r="M91" s="1158">
        <f>E91+F91+H91-I91-L91+G91-K91</f>
        <v>1</v>
      </c>
      <c r="N91" s="652">
        <f t="shared" si="26"/>
        <v>25</v>
      </c>
      <c r="O91" s="1159">
        <f t="shared" si="27"/>
        <v>14925</v>
      </c>
      <c r="P91" s="804"/>
      <c r="Q91" s="804"/>
      <c r="R91" s="100">
        <f>O91/INTGRATE!$N$293</f>
        <v>2985</v>
      </c>
      <c r="S91" s="665">
        <f>IF(R91=0,0,N91/R91)</f>
        <v>8.3752093802345051E-3</v>
      </c>
      <c r="T91" s="403"/>
      <c r="U91" s="136"/>
      <c r="V91" s="836" t="str">
        <f t="shared" si="20"/>
        <v>550SX25</v>
      </c>
      <c r="W91" s="823">
        <v>312008</v>
      </c>
      <c r="X91" s="386"/>
      <c r="Y91" s="386">
        <v>0</v>
      </c>
      <c r="Z91" s="100">
        <v>0</v>
      </c>
      <c r="AA91" s="100">
        <v>0</v>
      </c>
      <c r="AB91" s="100">
        <v>0</v>
      </c>
      <c r="AC91" s="100">
        <v>14925</v>
      </c>
      <c r="AD91" s="100"/>
      <c r="AE91" s="100"/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3"/>
        <v>14925</v>
      </c>
      <c r="BD91" s="786">
        <f t="shared" si="24"/>
        <v>1</v>
      </c>
      <c r="BE91" s="786">
        <f t="shared" si="25"/>
        <v>14925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615" t="s">
        <v>66</v>
      </c>
      <c r="E92" s="100"/>
      <c r="F92" s="100">
        <f>+J92</f>
        <v>6940</v>
      </c>
      <c r="G92" s="100"/>
      <c r="H92" s="100"/>
      <c r="I92" s="100">
        <f>SUMIF(data!$D:$D,$B92&amp;$D92,data!$J:$J)</f>
        <v>0</v>
      </c>
      <c r="J92" s="100">
        <f>SUMIF(data!$D:$D,$B92&amp;$D92,data!$K:$K)</f>
        <v>6940</v>
      </c>
      <c r="K92" s="100"/>
      <c r="L92" s="100"/>
      <c r="M92" s="1158"/>
      <c r="N92" s="652"/>
      <c r="O92" s="1159">
        <f t="shared" ref="O92:O93" si="28">SUM(X92:BB92)</f>
        <v>6940</v>
      </c>
      <c r="P92" s="804"/>
      <c r="Q92" s="804"/>
      <c r="R92" s="100">
        <f>O92/INTGRATE!$N$293</f>
        <v>1388</v>
      </c>
      <c r="S92" s="665">
        <f t="shared" ref="S92:S93" si="29">IF(R92=0,0,N92/R92)</f>
        <v>0</v>
      </c>
      <c r="T92" s="403"/>
      <c r="U92" s="136"/>
      <c r="V92" s="836" t="str">
        <f t="shared" si="20"/>
        <v>550SXSILO</v>
      </c>
      <c r="W92" s="823">
        <v>312008</v>
      </c>
      <c r="X92" s="386"/>
      <c r="Y92" s="386">
        <v>0</v>
      </c>
      <c r="Z92" s="100">
        <v>0</v>
      </c>
      <c r="AA92" s="100">
        <v>0</v>
      </c>
      <c r="AB92" s="100">
        <v>0</v>
      </c>
      <c r="AC92" s="100">
        <v>6940</v>
      </c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3"/>
        <v>6940</v>
      </c>
      <c r="BD92" s="786">
        <f t="shared" si="24"/>
        <v>1</v>
      </c>
      <c r="BE92" s="786">
        <f t="shared" si="25"/>
        <v>6940</v>
      </c>
      <c r="BF92" s="85"/>
      <c r="BH92" s="436"/>
    </row>
    <row r="93" spans="1:151" s="38" customFormat="1" ht="15" customHeight="1">
      <c r="A93" s="91">
        <v>81</v>
      </c>
      <c r="B93" s="170" t="s">
        <v>54</v>
      </c>
      <c r="C93" s="538" t="s">
        <v>55</v>
      </c>
      <c r="D93" s="164">
        <v>25</v>
      </c>
      <c r="E93" s="100">
        <v>12</v>
      </c>
      <c r="F93" s="100">
        <f>SUMIF(pro!$A:$A,$V:$V,pro!$N:$N)</f>
        <v>1055</v>
      </c>
      <c r="G93" s="100"/>
      <c r="H93" s="100">
        <f>SUMIF(CBIN!$A:$A,BRAN!$V:$V,CBIN!$G:$G)</f>
        <v>0</v>
      </c>
      <c r="I93" s="100">
        <f>SUMIF(data!$D:$D,$B93&amp;$D93,data!$J:$J)</f>
        <v>160</v>
      </c>
      <c r="J93" s="100">
        <f>SUMIF(data!$D:$D,$B93&amp;$D93,data!$K:$K)</f>
        <v>4000</v>
      </c>
      <c r="K93" s="100">
        <f>SUMIF(AJOUT!$A:$A,BRAN!$V:$V,AJOUT!$L:$L)</f>
        <v>1</v>
      </c>
      <c r="L93" s="100">
        <f>SUMIF(CBOUT!$A:$A,BRAN!$V:$V,CBOUT!$G:$G)</f>
        <v>0</v>
      </c>
      <c r="M93" s="1158">
        <f t="shared" ref="M93:M104" si="30">E93+F93+H93-I93-L93+G93-K93</f>
        <v>906</v>
      </c>
      <c r="N93" s="652">
        <f t="shared" si="26"/>
        <v>22650</v>
      </c>
      <c r="O93" s="1159">
        <f t="shared" si="28"/>
        <v>26450</v>
      </c>
      <c r="P93" s="804"/>
      <c r="Q93" s="804"/>
      <c r="R93" s="100">
        <f>O93/INTGRATE!$N$293</f>
        <v>5290</v>
      </c>
      <c r="S93" s="665">
        <f t="shared" si="29"/>
        <v>4.2816635160680532</v>
      </c>
      <c r="T93" s="403"/>
      <c r="U93" s="136"/>
      <c r="V93" s="836" t="str">
        <f t="shared" si="20"/>
        <v>550Pro25</v>
      </c>
      <c r="W93" s="823">
        <v>312021</v>
      </c>
      <c r="X93" s="386"/>
      <c r="Y93" s="386">
        <v>17950</v>
      </c>
      <c r="Z93" s="100">
        <v>50</v>
      </c>
      <c r="AA93" s="100">
        <v>4325</v>
      </c>
      <c r="AB93" s="100">
        <v>125</v>
      </c>
      <c r="AC93" s="100">
        <v>4000</v>
      </c>
      <c r="AD93" s="100"/>
      <c r="AE93" s="100"/>
      <c r="AF93" s="100"/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3"/>
        <v>26450</v>
      </c>
      <c r="BD93" s="786">
        <f t="shared" si="24"/>
        <v>5</v>
      </c>
      <c r="BE93" s="786">
        <f t="shared" si="25"/>
        <v>5290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615" t="s">
        <v>58</v>
      </c>
      <c r="E94" s="100">
        <v>0</v>
      </c>
      <c r="F94" s="425">
        <f>+J94</f>
        <v>0</v>
      </c>
      <c r="G94" s="100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100">
        <f>SUMIF(AJOUT!$A:$A,BRAN!$V:$V,AJOUT!$L:$L)</f>
        <v>0</v>
      </c>
      <c r="L94" s="100">
        <f>SUMIF(CBOUT!$A:$A,BRAN!$V:$V,CBOUT!$G:$G)</f>
        <v>0</v>
      </c>
      <c r="M94" s="1158">
        <v>0</v>
      </c>
      <c r="N94" s="652">
        <f t="shared" si="26"/>
        <v>0</v>
      </c>
      <c r="O94" s="1159">
        <f t="shared" si="27"/>
        <v>24180</v>
      </c>
      <c r="P94" s="804"/>
      <c r="Q94" s="804"/>
      <c r="R94" s="100">
        <f>O94/INTGRATE!$N$293</f>
        <v>4836</v>
      </c>
      <c r="S94" s="665">
        <f t="shared" si="19"/>
        <v>0</v>
      </c>
      <c r="T94" s="403"/>
      <c r="U94" s="136"/>
      <c r="V94" s="836" t="str">
        <f t="shared" si="20"/>
        <v>550Prosilo</v>
      </c>
      <c r="W94" s="823">
        <v>312021</v>
      </c>
      <c r="X94" s="386"/>
      <c r="Y94" s="386">
        <v>6000</v>
      </c>
      <c r="Z94" s="100">
        <v>0</v>
      </c>
      <c r="AA94" s="100">
        <v>18180</v>
      </c>
      <c r="AB94" s="100">
        <v>0</v>
      </c>
      <c r="AC94" s="100">
        <v>0</v>
      </c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425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3"/>
        <v>24180</v>
      </c>
      <c r="BD94" s="786">
        <f t="shared" si="24"/>
        <v>2</v>
      </c>
      <c r="BE94" s="786">
        <f t="shared" si="25"/>
        <v>12090</v>
      </c>
      <c r="BF94" s="85"/>
      <c r="BH94" s="436"/>
    </row>
    <row r="95" spans="1:151" s="38" customFormat="1" ht="15" customHeight="1">
      <c r="A95" s="91">
        <v>83</v>
      </c>
      <c r="B95" s="170" t="s">
        <v>57</v>
      </c>
      <c r="C95" s="538" t="s">
        <v>55</v>
      </c>
      <c r="D95" s="664">
        <v>25</v>
      </c>
      <c r="E95" s="100">
        <v>0</v>
      </c>
      <c r="F95" s="100">
        <f>SUMIF(pro!$A:$A,$V:$V,pro!$N:$N)</f>
        <v>0</v>
      </c>
      <c r="G95" s="561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58">
        <f t="shared" si="30"/>
        <v>0</v>
      </c>
      <c r="N95" s="652">
        <f t="shared" si="26"/>
        <v>0</v>
      </c>
      <c r="O95" s="1159">
        <f t="shared" si="27"/>
        <v>0</v>
      </c>
      <c r="P95" s="663"/>
      <c r="Q95" s="663"/>
      <c r="R95" s="561">
        <f>O95/INTGRATE!$N$293</f>
        <v>0</v>
      </c>
      <c r="S95" s="665">
        <f t="shared" si="19"/>
        <v>0</v>
      </c>
      <c r="T95" s="403"/>
      <c r="U95" s="136"/>
      <c r="V95" s="836" t="str">
        <f t="shared" si="20"/>
        <v>550XPro25</v>
      </c>
      <c r="W95" s="823">
        <v>312028</v>
      </c>
      <c r="X95" s="386"/>
      <c r="Y95" s="386">
        <v>0</v>
      </c>
      <c r="Z95" s="100">
        <v>0</v>
      </c>
      <c r="AA95" s="100">
        <v>0</v>
      </c>
      <c r="AB95" s="100">
        <v>0</v>
      </c>
      <c r="AC95" s="100">
        <v>0</v>
      </c>
      <c r="AD95" s="100"/>
      <c r="AE95" s="100"/>
      <c r="AF95" s="100"/>
      <c r="AG95" s="100"/>
      <c r="AH95" s="100"/>
      <c r="AI95" s="100"/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3"/>
        <v>0</v>
      </c>
      <c r="BD95" s="786">
        <f t="shared" si="24"/>
        <v>0</v>
      </c>
      <c r="BE95" s="786">
        <f t="shared" si="25"/>
        <v>0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15" t="s">
        <v>58</v>
      </c>
      <c r="E96" s="100"/>
      <c r="F96" s="425">
        <f>+J96</f>
        <v>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100">
        <f>SUMIF(AJOUT!$A:$A,BRAN!$V:$V,AJOUT!$L:$L)</f>
        <v>0</v>
      </c>
      <c r="L96" s="100">
        <f>SUMIF(CBOUT!$A:$A,BRAN!$V:$V,CBOUT!$G:$G)</f>
        <v>0</v>
      </c>
      <c r="M96" s="1158"/>
      <c r="N96" s="652">
        <f t="shared" ref="N96:N97" si="31">M96*25</f>
        <v>0</v>
      </c>
      <c r="O96" s="1159">
        <f t="shared" ref="O96:O97" si="32">SUM(X96:BB96)</f>
        <v>0</v>
      </c>
      <c r="P96" s="663"/>
      <c r="Q96" s="663"/>
      <c r="R96" s="561">
        <f>O96/INTGRATE!$N$293</f>
        <v>0</v>
      </c>
      <c r="S96" s="665">
        <f t="shared" ref="S96:S97" si="33">IF(R96=0,0,N96/R96)</f>
        <v>0</v>
      </c>
      <c r="T96" s="403"/>
      <c r="U96" s="136"/>
      <c r="V96" s="836" t="str">
        <f t="shared" ref="V96" si="34">B96&amp;D96</f>
        <v>550XProsilo</v>
      </c>
      <c r="W96" s="823">
        <v>312028</v>
      </c>
      <c r="X96" s="386"/>
      <c r="Y96" s="386">
        <v>0</v>
      </c>
      <c r="Z96" s="100">
        <v>0</v>
      </c>
      <c r="AA96" s="100">
        <v>0</v>
      </c>
      <c r="AB96" s="100">
        <v>0</v>
      </c>
      <c r="AC96" s="100">
        <v>0</v>
      </c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3"/>
        <v>0</v>
      </c>
      <c r="BD96" s="786">
        <f t="shared" si="24"/>
        <v>0</v>
      </c>
      <c r="BE96" s="786">
        <f t="shared" si="25"/>
        <v>0</v>
      </c>
      <c r="BF96" s="85"/>
      <c r="BH96" s="436"/>
    </row>
    <row r="97" spans="1:60" s="38" customFormat="1" ht="15" customHeight="1">
      <c r="A97" s="91">
        <v>85</v>
      </c>
      <c r="B97" s="170" t="s">
        <v>156</v>
      </c>
      <c r="C97" s="538" t="s">
        <v>61</v>
      </c>
      <c r="D97" s="664">
        <v>25</v>
      </c>
      <c r="E97" s="100">
        <v>299</v>
      </c>
      <c r="F97" s="100">
        <f>SUMIF(pro!$A:$A,$V:$V,pro!$N:$N)</f>
        <v>0</v>
      </c>
      <c r="G97" s="561"/>
      <c r="H97" s="100">
        <f>SUMIF(CBIN!$A:$A,BRAN!$V:$V,CBIN!$G:$G)</f>
        <v>0</v>
      </c>
      <c r="I97" s="100">
        <f>SUMIF(data!$D:$D,$B97&amp;$D97,data!$J:$J)</f>
        <v>299</v>
      </c>
      <c r="J97" s="100">
        <f>SUMIF(data!$D:$D,$B97&amp;$D97,data!$K:$K)</f>
        <v>7475</v>
      </c>
      <c r="K97" s="100">
        <f>SUMIF(AJOUT!$A:$A,BRAN!$V:$V,AJOUT!$L:$L)</f>
        <v>0</v>
      </c>
      <c r="L97" s="100">
        <f>SUMIF(CBOUT!$A:$A,BRAN!$V:$V,CBOUT!$G:$G)</f>
        <v>0</v>
      </c>
      <c r="M97" s="1158">
        <f t="shared" si="30"/>
        <v>0</v>
      </c>
      <c r="N97" s="652">
        <f t="shared" si="31"/>
        <v>0</v>
      </c>
      <c r="O97" s="1159">
        <f t="shared" si="32"/>
        <v>12475</v>
      </c>
      <c r="P97" s="663"/>
      <c r="Q97" s="663"/>
      <c r="R97" s="561">
        <f>O97/INTGRATE!$N$293</f>
        <v>2495</v>
      </c>
      <c r="S97" s="665">
        <f t="shared" si="33"/>
        <v>0</v>
      </c>
      <c r="T97" s="403"/>
      <c r="U97" s="136"/>
      <c r="V97" s="836" t="str">
        <f t="shared" si="20"/>
        <v>551X25</v>
      </c>
      <c r="W97" s="823">
        <v>314008</v>
      </c>
      <c r="X97" s="386"/>
      <c r="Y97" s="386">
        <v>0</v>
      </c>
      <c r="Z97" s="100">
        <v>0</v>
      </c>
      <c r="AA97" s="100">
        <v>5000</v>
      </c>
      <c r="AB97" s="100">
        <v>0</v>
      </c>
      <c r="AC97" s="100">
        <v>7475</v>
      </c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3"/>
        <v>12475</v>
      </c>
      <c r="BD97" s="786">
        <f t="shared" si="24"/>
        <v>2</v>
      </c>
      <c r="BE97" s="786">
        <f t="shared" si="25"/>
        <v>6237.5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15" t="s">
        <v>66</v>
      </c>
      <c r="E98" s="100"/>
      <c r="F98" s="100">
        <f>+J98</f>
        <v>0</v>
      </c>
      <c r="G98" s="561"/>
      <c r="H98" s="100"/>
      <c r="I98" s="100"/>
      <c r="J98" s="100">
        <f>SUMIF(data!$D:$D,$B98&amp;$D98,data!$K:$K)</f>
        <v>0</v>
      </c>
      <c r="K98" s="100"/>
      <c r="L98" s="100"/>
      <c r="M98" s="1158"/>
      <c r="N98" s="652">
        <f t="shared" si="26"/>
        <v>0</v>
      </c>
      <c r="O98" s="1159">
        <f t="shared" si="27"/>
        <v>0</v>
      </c>
      <c r="P98" s="663"/>
      <c r="Q98" s="663"/>
      <c r="R98" s="561"/>
      <c r="S98" s="665">
        <f t="shared" si="19"/>
        <v>0</v>
      </c>
      <c r="T98" s="403"/>
      <c r="U98" s="136"/>
      <c r="V98" s="836" t="str">
        <f t="shared" si="20"/>
        <v>551XSILO</v>
      </c>
      <c r="W98" s="823">
        <v>314008</v>
      </c>
      <c r="X98" s="386"/>
      <c r="Y98" s="386">
        <v>0</v>
      </c>
      <c r="Z98" s="100">
        <v>0</v>
      </c>
      <c r="AA98" s="100">
        <v>0</v>
      </c>
      <c r="AB98" s="100">
        <v>0</v>
      </c>
      <c r="AC98" s="100">
        <v>0</v>
      </c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3"/>
        <v>0</v>
      </c>
      <c r="BD98" s="786">
        <f t="shared" si="24"/>
        <v>0</v>
      </c>
      <c r="BE98" s="786">
        <f t="shared" si="25"/>
        <v>0</v>
      </c>
      <c r="BF98" s="85"/>
      <c r="BH98" s="436"/>
    </row>
    <row r="99" spans="1:60" s="38" customFormat="1" ht="15" customHeight="1">
      <c r="A99" s="91">
        <v>87</v>
      </c>
      <c r="B99" s="170" t="s">
        <v>157</v>
      </c>
      <c r="C99" s="538" t="s">
        <v>61</v>
      </c>
      <c r="D99" s="664">
        <v>25</v>
      </c>
      <c r="E99" s="100">
        <v>0</v>
      </c>
      <c r="F99" s="100">
        <f>SUMIF(pro!$A:$A,$V:$V,pro!$N:$N)</f>
        <v>0</v>
      </c>
      <c r="G99" s="561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100">
        <f>SUMIF(AJOUT!$A:$A,BRAN!$V:$V,AJOUT!$L:$L)</f>
        <v>0</v>
      </c>
      <c r="L99" s="100">
        <f>SUMIF(CBOUT!$A:$A,BRAN!$V:$V,CBOUT!$G:$G)</f>
        <v>0</v>
      </c>
      <c r="M99" s="1158">
        <f>E99+F99+H99-I99-L99+G99-K99</f>
        <v>0</v>
      </c>
      <c r="N99" s="652">
        <f t="shared" si="26"/>
        <v>0</v>
      </c>
      <c r="O99" s="1159">
        <f t="shared" si="27"/>
        <v>0</v>
      </c>
      <c r="P99" s="663"/>
      <c r="Q99" s="663"/>
      <c r="R99" s="561">
        <f>O99/INTGRATE!$N$293</f>
        <v>0</v>
      </c>
      <c r="S99" s="665">
        <f>IF(R99=0,0,N99/R99)</f>
        <v>0</v>
      </c>
      <c r="T99" s="403"/>
      <c r="U99" s="136"/>
      <c r="V99" s="836" t="str">
        <f t="shared" si="20"/>
        <v>551X2625</v>
      </c>
      <c r="W99" s="823">
        <v>31400126</v>
      </c>
      <c r="X99" s="386"/>
      <c r="Y99" s="386">
        <v>0</v>
      </c>
      <c r="Z99" s="100">
        <v>0</v>
      </c>
      <c r="AA99" s="100">
        <v>0</v>
      </c>
      <c r="AB99" s="100">
        <v>0</v>
      </c>
      <c r="AC99" s="100">
        <v>0</v>
      </c>
      <c r="AD99" s="100"/>
      <c r="AE99" s="100"/>
      <c r="AF99" s="100"/>
      <c r="AG99" s="100"/>
      <c r="AH99" s="100"/>
      <c r="AI99" s="100"/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3"/>
        <v>0</v>
      </c>
      <c r="BD99" s="786">
        <f t="shared" si="24"/>
        <v>0</v>
      </c>
      <c r="BE99" s="786">
        <f t="shared" si="25"/>
        <v>0</v>
      </c>
      <c r="BF99" s="85"/>
      <c r="BH99" s="436"/>
    </row>
    <row r="100" spans="1:60" s="38" customFormat="1" ht="15" customHeight="1">
      <c r="A100" s="91">
        <v>88</v>
      </c>
      <c r="B100" s="170" t="s">
        <v>60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58">
        <f>E100+F100+H100-I100-L100+G100-K100</f>
        <v>0</v>
      </c>
      <c r="N100" s="652">
        <f>M100*25</f>
        <v>0</v>
      </c>
      <c r="O100" s="1159">
        <f>SUM(X100:BB100)</f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551XPRO25</v>
      </c>
      <c r="W100" s="823">
        <v>314028</v>
      </c>
      <c r="X100" s="386"/>
      <c r="Y100" s="386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3"/>
        <v>0</v>
      </c>
      <c r="BD100" s="786">
        <f t="shared" si="24"/>
        <v>0</v>
      </c>
      <c r="BE100" s="786">
        <f t="shared" si="25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15" t="s">
        <v>66</v>
      </c>
      <c r="E101" s="100">
        <v>0</v>
      </c>
      <c r="F101" s="425">
        <f>+J101</f>
        <v>0</v>
      </c>
      <c r="G101" s="425"/>
      <c r="H101" s="100">
        <f>SUMIF(CBIN!$A:$A,BRAN!$V:$V,CBIN!$G:$G)</f>
        <v>0</v>
      </c>
      <c r="I101" s="425">
        <f>SUMIF(data!$D:$D,$B101&amp;$D101,data!$J:$J)</f>
        <v>0</v>
      </c>
      <c r="J101" s="425">
        <f>SUMIF(data!$D:$D,$B101&amp;$D101,data!$K:$K)</f>
        <v>0</v>
      </c>
      <c r="K101" s="100">
        <f>SUMIF(AJOUT!$A:$A,BRAN!$V:$V,AJOUT!$L:$L)</f>
        <v>0</v>
      </c>
      <c r="L101" s="425">
        <f>SUMIF(CBOUT!$A:$A,BRAN!$V:$V,CBOUT!$G:$G)</f>
        <v>0</v>
      </c>
      <c r="M101" s="528">
        <v>0</v>
      </c>
      <c r="N101" s="652">
        <f t="shared" si="26"/>
        <v>0</v>
      </c>
      <c r="O101" s="1159">
        <f t="shared" si="27"/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551XPROSILO</v>
      </c>
      <c r="W101" s="823">
        <v>314028</v>
      </c>
      <c r="X101" s="386"/>
      <c r="Y101" s="386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3"/>
        <v>0</v>
      </c>
      <c r="BD101" s="786">
        <f t="shared" si="24"/>
        <v>0</v>
      </c>
      <c r="BE101" s="786">
        <f t="shared" si="25"/>
        <v>0</v>
      </c>
      <c r="BF101" s="85"/>
      <c r="BH101" s="436"/>
    </row>
    <row r="102" spans="1:60" s="38" customFormat="1" ht="15" customHeight="1">
      <c r="A102" s="91">
        <v>90</v>
      </c>
      <c r="B102" s="170">
        <v>551</v>
      </c>
      <c r="C102" s="538" t="s">
        <v>61</v>
      </c>
      <c r="D102" s="615" t="s">
        <v>66</v>
      </c>
      <c r="E102" s="425">
        <v>0</v>
      </c>
      <c r="F102" s="425">
        <f>+J102</f>
        <v>4920</v>
      </c>
      <c r="G102" s="425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4920</v>
      </c>
      <c r="K102" s="100">
        <f>SUMIF(AJOUT!$A:$A,BRAN!$V:$V,AJOUT!$L:$L)</f>
        <v>0</v>
      </c>
      <c r="L102" s="100">
        <f>SUMIF(CBOUT!$A:$A,BRAN!$V:$V,CBOUT!$G:$G)</f>
        <v>0</v>
      </c>
      <c r="M102" s="1158">
        <v>0</v>
      </c>
      <c r="N102" s="652">
        <f t="shared" si="26"/>
        <v>0</v>
      </c>
      <c r="O102" s="1159">
        <f t="shared" si="27"/>
        <v>26520</v>
      </c>
      <c r="P102" s="427"/>
      <c r="Q102" s="427"/>
      <c r="R102" s="425">
        <f>O102/INTGRATE!$N$293</f>
        <v>5304</v>
      </c>
      <c r="S102" s="665">
        <f t="shared" si="19"/>
        <v>0</v>
      </c>
      <c r="T102" s="403"/>
      <c r="U102" s="136"/>
      <c r="V102" s="836" t="str">
        <f t="shared" si="20"/>
        <v>551SILO</v>
      </c>
      <c r="W102" s="823">
        <v>314001</v>
      </c>
      <c r="X102" s="386"/>
      <c r="Y102" s="386">
        <v>8280</v>
      </c>
      <c r="Z102" s="100">
        <v>0</v>
      </c>
      <c r="AA102" s="100">
        <v>4900</v>
      </c>
      <c r="AB102" s="100">
        <v>8420</v>
      </c>
      <c r="AC102" s="100">
        <v>4920</v>
      </c>
      <c r="AD102" s="100"/>
      <c r="AE102" s="100"/>
      <c r="AF102" s="100"/>
      <c r="AG102" s="100"/>
      <c r="AH102" s="425"/>
      <c r="AI102" s="100"/>
      <c r="AJ102" s="100"/>
      <c r="AK102" s="100"/>
      <c r="AL102" s="100"/>
      <c r="AM102" s="100"/>
      <c r="AN102" s="100"/>
      <c r="AO102" s="425"/>
      <c r="AP102" s="100"/>
      <c r="AQ102" s="425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3"/>
        <v>26520</v>
      </c>
      <c r="BD102" s="786">
        <f t="shared" si="24"/>
        <v>4</v>
      </c>
      <c r="BE102" s="786">
        <f t="shared" si="25"/>
        <v>6630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164">
        <v>25</v>
      </c>
      <c r="E103" s="100">
        <v>822</v>
      </c>
      <c r="F103" s="100">
        <f>SUMIF(pro!$A:$A,$V:$V,pro!$N:$N)</f>
        <v>133</v>
      </c>
      <c r="G103" s="100"/>
      <c r="H103" s="100">
        <f>SUMIF(CBIN!$A:$A,BRAN!$V:$V,CBIN!$G:$G)</f>
        <v>0</v>
      </c>
      <c r="I103" s="100">
        <f>SUMIF(data!$D:$D,$B103&amp;$D103,data!$J:$J)</f>
        <v>305</v>
      </c>
      <c r="J103" s="100">
        <f>SUMIF(data!$D:$D,$B103&amp;$D103,data!$K:$K)</f>
        <v>7625</v>
      </c>
      <c r="K103" s="100">
        <f>SUMIF(AJOUT!$A:$A,BRAN!$V:$V,AJOUT!$L:$L)</f>
        <v>0</v>
      </c>
      <c r="L103" s="100">
        <f>SUMIF(CBOUT!$A:$A,BRAN!$V:$V,CBOUT!$G:$G)</f>
        <v>0</v>
      </c>
      <c r="M103" s="1158">
        <f t="shared" si="30"/>
        <v>650</v>
      </c>
      <c r="N103" s="652">
        <f t="shared" si="26"/>
        <v>16250</v>
      </c>
      <c r="O103" s="1159">
        <f t="shared" si="27"/>
        <v>49175</v>
      </c>
      <c r="P103" s="804"/>
      <c r="Q103" s="804"/>
      <c r="R103" s="100">
        <f>O103/INTGRATE!$N$293</f>
        <v>9835</v>
      </c>
      <c r="S103" s="665">
        <f t="shared" si="19"/>
        <v>1.652262328418912</v>
      </c>
      <c r="T103" s="402"/>
      <c r="U103" s="136"/>
      <c r="V103" s="836" t="str">
        <f t="shared" si="20"/>
        <v>55125</v>
      </c>
      <c r="W103" s="823">
        <v>314001</v>
      </c>
      <c r="X103" s="386"/>
      <c r="Y103" s="386">
        <v>15075</v>
      </c>
      <c r="Z103" s="100">
        <v>8325</v>
      </c>
      <c r="AA103" s="100">
        <v>5800</v>
      </c>
      <c r="AB103" s="100">
        <v>12350</v>
      </c>
      <c r="AC103" s="100">
        <v>7625</v>
      </c>
      <c r="AD103" s="100"/>
      <c r="AE103" s="100"/>
      <c r="AF103" s="100"/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3"/>
        <v>49175</v>
      </c>
      <c r="BD103" s="786">
        <f t="shared" si="24"/>
        <v>5</v>
      </c>
      <c r="BE103" s="786">
        <f t="shared" si="25"/>
        <v>9835</v>
      </c>
      <c r="BF103" s="85"/>
      <c r="BH103" s="436"/>
    </row>
    <row r="104" spans="1:60" s="38" customFormat="1" ht="15" customHeight="1">
      <c r="A104" s="91">
        <v>92</v>
      </c>
      <c r="B104" s="170" t="s">
        <v>59</v>
      </c>
      <c r="C104" s="538" t="s">
        <v>61</v>
      </c>
      <c r="D104" s="164">
        <v>25</v>
      </c>
      <c r="E104" s="100">
        <v>1114</v>
      </c>
      <c r="F104" s="100">
        <f>SUMIF(pro!$A:$A,$V:$V,pro!$N:$N)</f>
        <v>0</v>
      </c>
      <c r="G104" s="100"/>
      <c r="H104" s="100">
        <f>SUMIF(CBIN!$A:$A,BRAN!$V:$V,CBIN!$G:$G)</f>
        <v>0</v>
      </c>
      <c r="I104" s="100">
        <f>SUMIF(data!$D:$D,$B104&amp;$D104,data!$J:$J)</f>
        <v>395</v>
      </c>
      <c r="J104" s="100">
        <f>SUMIF(data!$D:$D,$B104&amp;$D104,data!$K:$K)</f>
        <v>9875</v>
      </c>
      <c r="K104" s="100">
        <f>SUMIF(AJOUT!$A:$A,BRAN!$V:$V,AJOUT!$L:$L)</f>
        <v>0</v>
      </c>
      <c r="L104" s="100">
        <f>SUMIF(CBOUT!$A:$A,BRAN!$V:$V,CBOUT!$G:$G)</f>
        <v>0</v>
      </c>
      <c r="M104" s="1158">
        <f t="shared" si="30"/>
        <v>719</v>
      </c>
      <c r="N104" s="652">
        <f t="shared" si="26"/>
        <v>17975</v>
      </c>
      <c r="O104" s="1159">
        <f t="shared" si="27"/>
        <v>17050</v>
      </c>
      <c r="P104" s="804"/>
      <c r="Q104" s="804"/>
      <c r="R104" s="100">
        <f>O104/INTGRATE!$N$293</f>
        <v>3410</v>
      </c>
      <c r="S104" s="665">
        <f t="shared" si="19"/>
        <v>5.2712609970674489</v>
      </c>
      <c r="T104" s="403"/>
      <c r="U104" s="136"/>
      <c r="V104" s="836" t="str">
        <f t="shared" si="20"/>
        <v>551Pro25</v>
      </c>
      <c r="W104" s="823">
        <v>314021</v>
      </c>
      <c r="X104" s="386"/>
      <c r="Y104" s="386">
        <v>250</v>
      </c>
      <c r="Z104" s="100">
        <v>0</v>
      </c>
      <c r="AA104" s="100">
        <v>3850</v>
      </c>
      <c r="AB104" s="100">
        <v>3075</v>
      </c>
      <c r="AC104" s="100">
        <v>9875</v>
      </c>
      <c r="AD104" s="100"/>
      <c r="AE104" s="100"/>
      <c r="AF104" s="100"/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3"/>
        <v>17050</v>
      </c>
      <c r="BD104" s="786">
        <f t="shared" si="24"/>
        <v>4</v>
      </c>
      <c r="BE104" s="786">
        <f t="shared" si="25"/>
        <v>4262.5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615" t="s">
        <v>58</v>
      </c>
      <c r="E105" s="100">
        <v>0</v>
      </c>
      <c r="F105" s="425">
        <f>+J105</f>
        <v>0</v>
      </c>
      <c r="G105" s="425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100">
        <f>SUMIF(AJOUT!$A:$A,BRAN!$V:$V,AJOUT!$L:$L)</f>
        <v>0</v>
      </c>
      <c r="L105" s="100">
        <f>SUMIF(CBOUT!$A:$A,BRAN!$V:$V,CBOUT!$G:$G)</f>
        <v>0</v>
      </c>
      <c r="M105" s="528">
        <v>0</v>
      </c>
      <c r="N105" s="652">
        <f t="shared" si="26"/>
        <v>0</v>
      </c>
      <c r="O105" s="1159">
        <f t="shared" si="27"/>
        <v>12640</v>
      </c>
      <c r="P105" s="804"/>
      <c r="Q105" s="804"/>
      <c r="R105" s="100">
        <f>O105/INTGRATE!$N$293</f>
        <v>2528</v>
      </c>
      <c r="S105" s="665">
        <f t="shared" si="19"/>
        <v>0</v>
      </c>
      <c r="T105" s="402"/>
      <c r="U105" s="136"/>
      <c r="V105" s="836" t="str">
        <f t="shared" si="20"/>
        <v>551Prosilo</v>
      </c>
      <c r="W105" s="823">
        <v>314021</v>
      </c>
      <c r="X105" s="386"/>
      <c r="Y105" s="386">
        <v>0</v>
      </c>
      <c r="Z105" s="100">
        <v>0</v>
      </c>
      <c r="AA105" s="100">
        <v>0</v>
      </c>
      <c r="AB105" s="100">
        <v>12640</v>
      </c>
      <c r="AC105" s="100">
        <v>0</v>
      </c>
      <c r="AD105" s="100"/>
      <c r="AE105" s="100"/>
      <c r="AF105" s="100"/>
      <c r="AG105" s="100"/>
      <c r="AH105" s="100"/>
      <c r="AI105" s="100"/>
      <c r="AJ105" s="100"/>
      <c r="AK105" s="100"/>
      <c r="AL105" s="100"/>
      <c r="AM105" s="100"/>
      <c r="AN105" s="100"/>
      <c r="AO105" s="425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3"/>
        <v>12640</v>
      </c>
      <c r="BD105" s="786">
        <f t="shared" si="24"/>
        <v>1</v>
      </c>
      <c r="BE105" s="786">
        <f t="shared" si="25"/>
        <v>12640</v>
      </c>
      <c r="BF105" s="85"/>
      <c r="BH105" s="436"/>
    </row>
    <row r="106" spans="1:60" s="38" customFormat="1" ht="15" customHeight="1">
      <c r="A106" s="91">
        <v>94</v>
      </c>
      <c r="B106" s="170" t="s">
        <v>158</v>
      </c>
      <c r="C106" s="538" t="s">
        <v>61</v>
      </c>
      <c r="D106" s="664">
        <v>25</v>
      </c>
      <c r="E106" s="100">
        <v>0</v>
      </c>
      <c r="F106" s="100">
        <f>SUMIF(pro!$A:$A,$V:$V,pro!$N:$N)</f>
        <v>0</v>
      </c>
      <c r="G106" s="425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100">
        <v>0</v>
      </c>
      <c r="L106" s="100">
        <f>SUMIF(CBOUT!$A:$A,BRAN!$V:$V,CBOUT!$G:$G)</f>
        <v>0</v>
      </c>
      <c r="M106" s="1158">
        <f>E106+F106+H106-I106-L106+G106-K106</f>
        <v>0</v>
      </c>
      <c r="N106" s="652">
        <f t="shared" ref="N106" si="35">M106*25</f>
        <v>0</v>
      </c>
      <c r="O106" s="1159">
        <f t="shared" ref="O106" si="36">SUM(X106:BB106)</f>
        <v>0</v>
      </c>
      <c r="P106" s="804"/>
      <c r="Q106" s="804"/>
      <c r="R106" s="100">
        <f>O106/INTGRATE!$N$293</f>
        <v>0</v>
      </c>
      <c r="S106" s="665">
        <f t="shared" ref="S106" si="37">IF(R106=0,0,N106/R106)</f>
        <v>0</v>
      </c>
      <c r="T106" s="402"/>
      <c r="U106" s="136"/>
      <c r="V106" s="836" t="str">
        <f t="shared" si="20"/>
        <v>551GPX25</v>
      </c>
      <c r="W106" s="823">
        <v>314018</v>
      </c>
      <c r="X106" s="386"/>
      <c r="Y106" s="386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/>
      <c r="AE106" s="100"/>
      <c r="AF106" s="100"/>
      <c r="AG106" s="100"/>
      <c r="AH106" s="100"/>
      <c r="AI106" s="100"/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3"/>
        <v>0</v>
      </c>
      <c r="BD106" s="786">
        <f t="shared" si="24"/>
        <v>0</v>
      </c>
      <c r="BE106" s="786">
        <f t="shared" si="25"/>
        <v>0</v>
      </c>
      <c r="BF106" s="85"/>
      <c r="BH106" s="436"/>
    </row>
    <row r="107" spans="1:60" s="38" customFormat="1" ht="15" customHeight="1">
      <c r="A107" s="91">
        <v>95</v>
      </c>
      <c r="B107" s="170" t="s">
        <v>159</v>
      </c>
      <c r="C107" s="538" t="s">
        <v>61</v>
      </c>
      <c r="D107" s="164" t="s">
        <v>66</v>
      </c>
      <c r="E107" s="425">
        <v>0</v>
      </c>
      <c r="F107" s="425">
        <f>+J107</f>
        <v>0</v>
      </c>
      <c r="G107" s="425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100">
        <f>SUMIF(AJOUT!$A:$A,BRAN!$V:$V,AJOUT!$L:$L)</f>
        <v>0</v>
      </c>
      <c r="L107" s="100">
        <f>SUMIF(CBOUT!$A:$A,BRAN!$V:$V,CBOUT!$G:$G)</f>
        <v>0</v>
      </c>
      <c r="M107" s="528">
        <v>0</v>
      </c>
      <c r="N107" s="652">
        <f t="shared" si="26"/>
        <v>0</v>
      </c>
      <c r="O107" s="1159">
        <f t="shared" si="27"/>
        <v>0</v>
      </c>
      <c r="P107" s="427"/>
      <c r="Q107" s="427"/>
      <c r="R107" s="425">
        <f>O107/INTGRATE!$N$293</f>
        <v>0</v>
      </c>
      <c r="S107" s="665">
        <f t="shared" ref="S107:S149" si="38">IF(R107=0,0,N107/R107)</f>
        <v>0</v>
      </c>
      <c r="T107" s="403"/>
      <c r="U107" s="136"/>
      <c r="V107" s="836" t="str">
        <f t="shared" ref="V107:V150" si="39">B107&amp;D107</f>
        <v>551GPSILO</v>
      </c>
      <c r="W107" s="823">
        <v>31400127</v>
      </c>
      <c r="X107" s="386"/>
      <c r="Y107" s="386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/>
      <c r="AE107" s="100"/>
      <c r="AF107" s="100"/>
      <c r="AG107" s="100"/>
      <c r="AH107" s="425"/>
      <c r="AI107" s="100"/>
      <c r="AJ107" s="100"/>
      <c r="AK107" s="100"/>
      <c r="AL107" s="100"/>
      <c r="AM107" s="100"/>
      <c r="AN107" s="100"/>
      <c r="AO107" s="425"/>
      <c r="AP107" s="100"/>
      <c r="AQ107" s="425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3"/>
        <v>0</v>
      </c>
      <c r="BD107" s="786">
        <f t="shared" si="24"/>
        <v>0</v>
      </c>
      <c r="BE107" s="786">
        <f t="shared" si="25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>
        <v>25</v>
      </c>
      <c r="E108" s="100">
        <v>286</v>
      </c>
      <c r="F108" s="100">
        <f>SUMIF(pro!$A:$A,$V:$V,pro!$N:$N)</f>
        <v>0</v>
      </c>
      <c r="G108" s="100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100">
        <f>SUMIF(AJOUT!$A:$A,BRAN!$V:$V,AJOUT!$L:$L)</f>
        <v>0</v>
      </c>
      <c r="L108" s="100">
        <f>SUMIF(CBOUT!$A:$A,BRAN!$V:$V,CBOUT!$G:$G)</f>
        <v>0</v>
      </c>
      <c r="M108" s="1158">
        <f>E108+F108+H108-I108-L108+G108-K108</f>
        <v>286</v>
      </c>
      <c r="N108" s="652">
        <f t="shared" si="26"/>
        <v>7150</v>
      </c>
      <c r="O108" s="1159">
        <f t="shared" si="27"/>
        <v>7375</v>
      </c>
      <c r="P108" s="804"/>
      <c r="Q108" s="804"/>
      <c r="R108" s="100">
        <f>O108/INTGRATE!$N$293</f>
        <v>1475</v>
      </c>
      <c r="S108" s="665">
        <f t="shared" si="38"/>
        <v>4.8474576271186445</v>
      </c>
      <c r="T108" s="549"/>
      <c r="U108" s="136"/>
      <c r="V108" s="836" t="str">
        <f t="shared" si="39"/>
        <v>551GP25</v>
      </c>
      <c r="W108" s="823">
        <v>314011</v>
      </c>
      <c r="X108" s="386"/>
      <c r="Y108" s="386">
        <v>3675</v>
      </c>
      <c r="Z108" s="100">
        <v>0</v>
      </c>
      <c r="AA108" s="100">
        <v>500</v>
      </c>
      <c r="AB108" s="100">
        <v>3200</v>
      </c>
      <c r="AC108" s="100">
        <v>0</v>
      </c>
      <c r="AD108" s="100"/>
      <c r="AE108" s="100"/>
      <c r="AF108" s="100"/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3"/>
        <v>7375</v>
      </c>
      <c r="BD108" s="786">
        <f t="shared" si="24"/>
        <v>3</v>
      </c>
      <c r="BE108" s="786">
        <f t="shared" si="25"/>
        <v>2458.3333333333335</v>
      </c>
      <c r="BF108" s="85"/>
      <c r="BH108" s="436"/>
    </row>
    <row r="109" spans="1:60" s="38" customFormat="1" ht="15" customHeight="1">
      <c r="A109" s="91">
        <v>97</v>
      </c>
      <c r="B109" s="94">
        <v>552</v>
      </c>
      <c r="C109" s="94" t="s">
        <v>64</v>
      </c>
      <c r="D109" s="91">
        <v>25</v>
      </c>
      <c r="E109" s="100">
        <v>1870</v>
      </c>
      <c r="F109" s="100">
        <f>SUMIF(pro!$A:$A,$V:$V,pro!$N:$N)</f>
        <v>2655</v>
      </c>
      <c r="G109" s="100"/>
      <c r="H109" s="100">
        <f>SUMIF(CBIN!$A:$A,BRAN!$V:$V,CBIN!$G:$G)</f>
        <v>0</v>
      </c>
      <c r="I109" s="100">
        <f>SUMIF(data!$D:$D,$B109&amp;$D109,data!$J:$J)</f>
        <v>1080</v>
      </c>
      <c r="J109" s="100">
        <f>SUMIF(data!$D:$D,$B109&amp;$D109,data!$K:$K)</f>
        <v>27000</v>
      </c>
      <c r="K109" s="100">
        <f>SUMIF(AJOUT!$A:$A,BRAN!$V:$V,AJOUT!$L:$L)</f>
        <v>0</v>
      </c>
      <c r="L109" s="100">
        <f>SUMIF(CBOUT!$A:$A,BRAN!$V:$V,CBOUT!$G:$G)</f>
        <v>0</v>
      </c>
      <c r="M109" s="1158">
        <f>E109+F109+H109-I109-L109+G109-K109</f>
        <v>3445</v>
      </c>
      <c r="N109" s="652">
        <f t="shared" si="26"/>
        <v>86125</v>
      </c>
      <c r="O109" s="1159">
        <f t="shared" si="27"/>
        <v>140525</v>
      </c>
      <c r="P109" s="804"/>
      <c r="Q109" s="804"/>
      <c r="R109" s="100">
        <f>O109/INTGRATE!$N$293</f>
        <v>28105</v>
      </c>
      <c r="S109" s="665">
        <f t="shared" si="38"/>
        <v>3.064401352072585</v>
      </c>
      <c r="T109" s="403"/>
      <c r="U109" s="136"/>
      <c r="V109" s="836" t="str">
        <f t="shared" si="39"/>
        <v>55225</v>
      </c>
      <c r="W109" s="823">
        <v>321001</v>
      </c>
      <c r="X109" s="386"/>
      <c r="Y109" s="386">
        <v>50900</v>
      </c>
      <c r="Z109" s="100">
        <v>6250</v>
      </c>
      <c r="AA109" s="100">
        <v>20900</v>
      </c>
      <c r="AB109" s="100">
        <v>35475</v>
      </c>
      <c r="AC109" s="100">
        <v>27000</v>
      </c>
      <c r="AD109" s="100"/>
      <c r="AE109" s="100"/>
      <c r="AF109" s="100"/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3"/>
        <v>140525</v>
      </c>
      <c r="BD109" s="786">
        <f t="shared" si="24"/>
        <v>5</v>
      </c>
      <c r="BE109" s="786">
        <f t="shared" si="25"/>
        <v>28105</v>
      </c>
      <c r="BF109" s="85"/>
      <c r="BH109" s="436"/>
    </row>
    <row r="110" spans="1:60" s="38" customFormat="1" ht="15" customHeight="1">
      <c r="A110" s="91">
        <v>98</v>
      </c>
      <c r="B110" s="94" t="s">
        <v>63</v>
      </c>
      <c r="C110" s="94" t="s">
        <v>64</v>
      </c>
      <c r="D110" s="528" t="s">
        <v>66</v>
      </c>
      <c r="E110" s="100"/>
      <c r="F110" s="425">
        <f>+J110</f>
        <v>0</v>
      </c>
      <c r="G110" s="100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100"/>
      <c r="L110" s="100"/>
      <c r="M110" s="1158"/>
      <c r="N110" s="652">
        <f t="shared" si="26"/>
        <v>0</v>
      </c>
      <c r="O110" s="1159">
        <f t="shared" si="27"/>
        <v>0</v>
      </c>
      <c r="P110" s="804"/>
      <c r="Q110" s="804"/>
      <c r="R110" s="100">
        <f>O110/INTGRATE!$N$293</f>
        <v>0</v>
      </c>
      <c r="S110" s="665">
        <f t="shared" si="38"/>
        <v>0</v>
      </c>
      <c r="T110" s="403"/>
      <c r="U110" s="136"/>
      <c r="V110" s="836" t="str">
        <f>B110&amp;D110</f>
        <v>552ProSILO</v>
      </c>
      <c r="W110" s="823">
        <v>321021</v>
      </c>
      <c r="X110" s="386"/>
      <c r="Y110" s="386">
        <v>0</v>
      </c>
      <c r="Z110" s="100">
        <v>0</v>
      </c>
      <c r="AA110" s="100">
        <v>0</v>
      </c>
      <c r="AB110" s="100">
        <v>0</v>
      </c>
      <c r="AC110" s="100">
        <v>0</v>
      </c>
      <c r="AD110" s="100"/>
      <c r="AE110" s="100"/>
      <c r="AF110" s="100"/>
      <c r="AG110" s="100"/>
      <c r="AH110" s="100"/>
      <c r="AI110" s="100"/>
      <c r="AJ110" s="100"/>
      <c r="AK110" s="100"/>
      <c r="AL110" s="100"/>
      <c r="AM110" s="100"/>
      <c r="AN110" s="100"/>
      <c r="AO110" s="425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3"/>
        <v>0</v>
      </c>
      <c r="BD110" s="786">
        <f t="shared" si="24"/>
        <v>0</v>
      </c>
      <c r="BE110" s="786">
        <f t="shared" si="25"/>
        <v>0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91">
        <v>25</v>
      </c>
      <c r="E111" s="100">
        <v>308</v>
      </c>
      <c r="F111" s="100">
        <f>SUMIF(pro!$A:$A,$V:$V,pro!$N:$N)</f>
        <v>0</v>
      </c>
      <c r="G111" s="100"/>
      <c r="H111" s="100">
        <f>SUMIF(CBIN!$A:$A,BRAN!$V:$V,CBIN!$G:$G)</f>
        <v>0</v>
      </c>
      <c r="I111" s="100">
        <f>SUMIF(data!$D:$D,$B111&amp;$D111,data!$J:$J)</f>
        <v>95</v>
      </c>
      <c r="J111" s="100">
        <f>SUMIF(data!$D:$D,$B111&amp;$D111,data!$K:$K)</f>
        <v>2375</v>
      </c>
      <c r="K111" s="100">
        <f>SUMIF(AJOUT!$A:$A,BRAN!$V:$V,AJOUT!$L:$L)</f>
        <v>0</v>
      </c>
      <c r="L111" s="100">
        <f>SUMIF(CBOUT!$A:$A,BRAN!$V:$V,CBOUT!$G:$G)</f>
        <v>0</v>
      </c>
      <c r="M111" s="1158">
        <f>E111+F111+H111-I111-L111+G111-K111</f>
        <v>213</v>
      </c>
      <c r="N111" s="652">
        <f t="shared" si="26"/>
        <v>5325</v>
      </c>
      <c r="O111" s="1159">
        <f t="shared" si="27"/>
        <v>18975</v>
      </c>
      <c r="P111" s="804"/>
      <c r="Q111" s="804"/>
      <c r="R111" s="100">
        <f>O111/INTGRATE!$N$293</f>
        <v>3795</v>
      </c>
      <c r="S111" s="665">
        <f>IF(R111=0,0,N111/R111)</f>
        <v>1.4031620553359683</v>
      </c>
      <c r="T111" s="461"/>
      <c r="U111" s="136"/>
      <c r="V111" s="836" t="str">
        <f t="shared" si="39"/>
        <v>552Pro25</v>
      </c>
      <c r="W111" s="823">
        <v>321012</v>
      </c>
      <c r="X111" s="386"/>
      <c r="Y111" s="386">
        <v>7500</v>
      </c>
      <c r="Z111" s="100">
        <v>0</v>
      </c>
      <c r="AA111" s="100">
        <v>725</v>
      </c>
      <c r="AB111" s="100">
        <v>8375</v>
      </c>
      <c r="AC111" s="100">
        <v>2375</v>
      </c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3"/>
        <v>18975</v>
      </c>
      <c r="BD111" s="786">
        <f t="shared" si="24"/>
        <v>4</v>
      </c>
      <c r="BE111" s="786">
        <f t="shared" si="25"/>
        <v>4743.75</v>
      </c>
      <c r="BF111" s="85"/>
      <c r="BH111" s="436"/>
    </row>
    <row r="112" spans="1:60" s="38" customFormat="1" ht="15" customHeight="1">
      <c r="A112" s="91">
        <v>100</v>
      </c>
      <c r="B112" s="94">
        <v>552</v>
      </c>
      <c r="C112" s="92" t="s">
        <v>64</v>
      </c>
      <c r="D112" s="528" t="s">
        <v>66</v>
      </c>
      <c r="E112" s="100">
        <v>0</v>
      </c>
      <c r="F112" s="425">
        <f>+J112</f>
        <v>0</v>
      </c>
      <c r="G112" s="425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100">
        <f>SUMIF(AJOUT!$A:$A,BRAN!$V:$V,AJOUT!$L:$L)</f>
        <v>0</v>
      </c>
      <c r="L112" s="100">
        <f>SUMIF(CBOUT!$A:$A,BRAN!$V:$V,CBOUT!$G:$G)</f>
        <v>0</v>
      </c>
      <c r="M112" s="528">
        <v>0</v>
      </c>
      <c r="N112" s="652">
        <f t="shared" si="26"/>
        <v>0</v>
      </c>
      <c r="O112" s="1159">
        <f t="shared" si="27"/>
        <v>28710</v>
      </c>
      <c r="P112" s="427"/>
      <c r="Q112" s="427"/>
      <c r="R112" s="425">
        <f>O112/INTGRATE!$N$293</f>
        <v>5742</v>
      </c>
      <c r="S112" s="665">
        <f t="shared" si="38"/>
        <v>0</v>
      </c>
      <c r="T112" s="403"/>
      <c r="U112" s="136"/>
      <c r="V112" s="836" t="str">
        <f t="shared" si="39"/>
        <v>552SILO</v>
      </c>
      <c r="W112" s="823">
        <v>321012</v>
      </c>
      <c r="X112" s="386"/>
      <c r="Y112" s="386">
        <v>0</v>
      </c>
      <c r="Z112" s="100">
        <v>0</v>
      </c>
      <c r="AA112" s="100">
        <v>18660</v>
      </c>
      <c r="AB112" s="100">
        <v>10050</v>
      </c>
      <c r="AC112" s="100">
        <v>0</v>
      </c>
      <c r="AD112" s="100"/>
      <c r="AE112" s="100"/>
      <c r="AF112" s="100"/>
      <c r="AG112" s="100"/>
      <c r="AH112" s="425"/>
      <c r="AI112" s="100"/>
      <c r="AJ112" s="100"/>
      <c r="AK112" s="100"/>
      <c r="AL112" s="100"/>
      <c r="AM112" s="100"/>
      <c r="AN112" s="100"/>
      <c r="AO112" s="425"/>
      <c r="AP112" s="100"/>
      <c r="AQ112" s="425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3"/>
        <v>28710</v>
      </c>
      <c r="BD112" s="786">
        <f t="shared" si="24"/>
        <v>2</v>
      </c>
      <c r="BE112" s="786">
        <f t="shared" si="25"/>
        <v>14355</v>
      </c>
      <c r="BF112" s="85"/>
      <c r="BH112" s="436"/>
    </row>
    <row r="113" spans="1:60" s="38" customFormat="1" ht="15" customHeight="1">
      <c r="A113" s="91">
        <v>101</v>
      </c>
      <c r="B113" s="94" t="s">
        <v>160</v>
      </c>
      <c r="C113" s="92" t="s">
        <v>61</v>
      </c>
      <c r="D113" s="514">
        <v>25</v>
      </c>
      <c r="E113" s="100">
        <v>286</v>
      </c>
      <c r="F113" s="100">
        <f>SUMIF(pro!$A:$A,$V:$V,pro!$N:$N)</f>
        <v>0</v>
      </c>
      <c r="G113" s="100"/>
      <c r="H113" s="100">
        <f>SUMIF(CBIN!$A:$A,BRAN!$V:$V,CBIN!$G:$G)</f>
        <v>0</v>
      </c>
      <c r="I113" s="100">
        <f>SUMIF(data!$D:$D,$B113&amp;$D113,data!$J:$J)</f>
        <v>0</v>
      </c>
      <c r="J113" s="100">
        <f>SUMIF(data!$D:$D,$B113&amp;$D113,data!$K:$K)</f>
        <v>0</v>
      </c>
      <c r="K113" s="100">
        <f>SUMIF(AJOUT!$A:$A,BRAN!$V:$V,AJOUT!$L:$L)</f>
        <v>0</v>
      </c>
      <c r="L113" s="100">
        <f>SUMIF(CBOUT!$A:$A,BRAN!$V:$V,CBOUT!$G:$G)</f>
        <v>0</v>
      </c>
      <c r="M113" s="1158">
        <f>E113+F113+H113-I113-L113+G113-K113</f>
        <v>286</v>
      </c>
      <c r="N113" s="652">
        <f t="shared" si="26"/>
        <v>7150</v>
      </c>
      <c r="O113" s="1159">
        <f t="shared" si="27"/>
        <v>2875</v>
      </c>
      <c r="P113" s="804"/>
      <c r="Q113" s="804"/>
      <c r="R113" s="100">
        <f>O113/INTGRATE!$N$293</f>
        <v>575</v>
      </c>
      <c r="S113" s="665">
        <f>IF(R113=0,0,N113/R113)</f>
        <v>12.434782608695652</v>
      </c>
      <c r="T113" s="403"/>
      <c r="U113" s="136"/>
      <c r="V113" s="836" t="str">
        <f t="shared" si="39"/>
        <v>552E25</v>
      </c>
      <c r="W113" s="823">
        <v>321072</v>
      </c>
      <c r="X113" s="386"/>
      <c r="Y113" s="386">
        <v>1750</v>
      </c>
      <c r="Z113" s="100">
        <v>250</v>
      </c>
      <c r="AA113" s="100">
        <v>250</v>
      </c>
      <c r="AB113" s="100">
        <v>625</v>
      </c>
      <c r="AC113" s="100">
        <v>0</v>
      </c>
      <c r="AD113" s="100"/>
      <c r="AE113" s="100"/>
      <c r="AF113" s="100"/>
      <c r="AG113" s="100"/>
      <c r="AH113" s="425"/>
      <c r="AI113" s="100"/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3"/>
        <v>2875</v>
      </c>
      <c r="BD113" s="786">
        <f t="shared" si="24"/>
        <v>4</v>
      </c>
      <c r="BE113" s="786">
        <f t="shared" si="25"/>
        <v>718.75</v>
      </c>
      <c r="BF113" s="85"/>
      <c r="BH113" s="436"/>
    </row>
    <row r="114" spans="1:60" s="38" customFormat="1" ht="15" customHeight="1">
      <c r="A114" s="91">
        <v>102</v>
      </c>
      <c r="B114" s="94" t="s">
        <v>161</v>
      </c>
      <c r="C114" s="537" t="s">
        <v>64</v>
      </c>
      <c r="D114" s="617" t="s">
        <v>66</v>
      </c>
      <c r="E114" s="100"/>
      <c r="F114" s="100">
        <f>J114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/>
      <c r="L114" s="100"/>
      <c r="M114" s="1158"/>
      <c r="N114" s="652">
        <f t="shared" si="26"/>
        <v>0</v>
      </c>
      <c r="O114" s="1159">
        <f t="shared" ref="O114:O115" si="40">SUM(X114:BB114)</f>
        <v>0</v>
      </c>
      <c r="P114" s="804"/>
      <c r="Q114" s="804"/>
      <c r="R114" s="100">
        <f>O114/INTGRATE!$N$293</f>
        <v>0</v>
      </c>
      <c r="S114" s="665">
        <f t="shared" ref="S114:S115" si="41">IF(R114=0,0,N114/R114)</f>
        <v>0</v>
      </c>
      <c r="T114" s="403"/>
      <c r="U114" s="136"/>
      <c r="V114" s="836" t="str">
        <f t="shared" si="39"/>
        <v>552XSILO</v>
      </c>
      <c r="W114" s="823"/>
      <c r="X114" s="386"/>
      <c r="Y114" s="386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/>
      <c r="AE114" s="100"/>
      <c r="AF114" s="100"/>
      <c r="AG114" s="100"/>
      <c r="AH114" s="425"/>
      <c r="AI114" s="100"/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3"/>
        <v>0</v>
      </c>
      <c r="BD114" s="786">
        <f t="shared" si="24"/>
        <v>0</v>
      </c>
      <c r="BE114" s="786">
        <f t="shared" si="25"/>
        <v>0</v>
      </c>
      <c r="BF114" s="85"/>
      <c r="BH114" s="436"/>
    </row>
    <row r="115" spans="1:60" s="38" customFormat="1" ht="15" customHeight="1">
      <c r="A115" s="91">
        <v>103</v>
      </c>
      <c r="B115" s="94" t="s">
        <v>162</v>
      </c>
      <c r="C115" s="537" t="s">
        <v>61</v>
      </c>
      <c r="D115" s="617" t="s">
        <v>66</v>
      </c>
      <c r="E115" s="100"/>
      <c r="F115" s="425">
        <f>J115</f>
        <v>0</v>
      </c>
      <c r="G115" s="100"/>
      <c r="H115" s="100"/>
      <c r="I115" s="100"/>
      <c r="J115" s="100">
        <f>SUMIF(data!$D:$D,$B115&amp;$D115,data!$K:$K)</f>
        <v>0</v>
      </c>
      <c r="K115" s="100"/>
      <c r="L115" s="100"/>
      <c r="M115" s="1158"/>
      <c r="N115" s="652"/>
      <c r="O115" s="1159">
        <f t="shared" si="40"/>
        <v>0</v>
      </c>
      <c r="P115" s="804"/>
      <c r="Q115" s="804"/>
      <c r="R115" s="100">
        <f>O115/INTGRATE!$N$293</f>
        <v>0</v>
      </c>
      <c r="S115" s="665">
        <f t="shared" si="41"/>
        <v>0</v>
      </c>
      <c r="T115" s="403"/>
      <c r="U115" s="136"/>
      <c r="V115" s="836" t="str">
        <f t="shared" ref="V115" si="42">B115&amp;D115</f>
        <v>552MSILO</v>
      </c>
      <c r="W115" s="823">
        <v>321012</v>
      </c>
      <c r="X115" s="386"/>
      <c r="Y115" s="386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/>
      <c r="AE115" s="100"/>
      <c r="AF115" s="100"/>
      <c r="AG115" s="100"/>
      <c r="AH115" s="425"/>
      <c r="AI115" s="100"/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3"/>
        <v>0</v>
      </c>
      <c r="BD115" s="786">
        <f t="shared" si="24"/>
        <v>0</v>
      </c>
      <c r="BE115" s="786">
        <f t="shared" si="25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91">
        <v>25</v>
      </c>
      <c r="E116" s="100">
        <v>2292</v>
      </c>
      <c r="F116" s="100">
        <f>SUMIF(pro!$A:$A,$V:$V,pro!$N:$N)</f>
        <v>0</v>
      </c>
      <c r="G116" s="100"/>
      <c r="H116" s="100">
        <f>SUMIF(CBIN!$A:$A,BRAN!$V:$V,CBIN!$G:$G)</f>
        <v>0</v>
      </c>
      <c r="I116" s="100">
        <f>SUMIF(data!$D:$D,$B116&amp;$D116,data!$J:$J)</f>
        <v>369</v>
      </c>
      <c r="J116" s="100">
        <f>SUMIF(data!$D:$D,$B116&amp;$D116,data!$K:$K)</f>
        <v>9225</v>
      </c>
      <c r="K116" s="100">
        <f>SUMIF(AJOUT!$A:$A,BRAN!$V:$V,AJOUT!$L:$L)</f>
        <v>0</v>
      </c>
      <c r="L116" s="100">
        <f>SUMIF(CBOUT!$A:$A,BRAN!$V:$V,CBOUT!$G:$G)</f>
        <v>0</v>
      </c>
      <c r="M116" s="1158">
        <f>E116+F116+H116-I116-L116+G116-K116</f>
        <v>1923</v>
      </c>
      <c r="N116" s="652">
        <f t="shared" si="26"/>
        <v>48075</v>
      </c>
      <c r="O116" s="1159">
        <f t="shared" si="27"/>
        <v>80150</v>
      </c>
      <c r="P116" s="804"/>
      <c r="Q116" s="804"/>
      <c r="R116" s="100">
        <f>O116/INTGRATE!$N$293</f>
        <v>16030</v>
      </c>
      <c r="S116" s="665">
        <f t="shared" si="38"/>
        <v>2.9990642545227697</v>
      </c>
      <c r="T116" s="403"/>
      <c r="U116" s="136"/>
      <c r="V116" s="836" t="str">
        <f t="shared" si="39"/>
        <v>552M25</v>
      </c>
      <c r="W116" s="823">
        <v>321012</v>
      </c>
      <c r="X116" s="386"/>
      <c r="Y116" s="386">
        <v>19500</v>
      </c>
      <c r="Z116" s="100">
        <v>2000</v>
      </c>
      <c r="AA116" s="100">
        <v>31025</v>
      </c>
      <c r="AB116" s="100">
        <v>18400</v>
      </c>
      <c r="AC116" s="100">
        <v>9225</v>
      </c>
      <c r="AD116" s="100"/>
      <c r="AE116" s="100"/>
      <c r="AF116" s="100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3"/>
        <v>80150</v>
      </c>
      <c r="BD116" s="786">
        <f t="shared" si="24"/>
        <v>5</v>
      </c>
      <c r="BE116" s="786">
        <f t="shared" si="25"/>
        <v>16030</v>
      </c>
      <c r="BH116" s="436"/>
    </row>
    <row r="117" spans="1:60" s="38" customFormat="1" ht="15" customHeight="1">
      <c r="A117" s="91">
        <v>105</v>
      </c>
      <c r="B117" s="170" t="s">
        <v>163</v>
      </c>
      <c r="C117" s="538" t="s">
        <v>61</v>
      </c>
      <c r="D117" s="164">
        <v>25</v>
      </c>
      <c r="E117" s="100">
        <v>410</v>
      </c>
      <c r="F117" s="100">
        <f>SUMIF(pro!$A:$A,$V:$V,pro!$N:$N)</f>
        <v>0</v>
      </c>
      <c r="G117" s="100"/>
      <c r="H117" s="100">
        <f>SUMIF(CBIN!$A:$A,BRAN!$V:$V,CBIN!$G:$G)</f>
        <v>0</v>
      </c>
      <c r="I117" s="100">
        <f>SUMIF(data!$D:$D,$B117&amp;$D117,data!$J:$J)</f>
        <v>30</v>
      </c>
      <c r="J117" s="100">
        <f>SUMIF(data!$D:$D,$B117&amp;$D117,data!$K:$K)</f>
        <v>750</v>
      </c>
      <c r="K117" s="100">
        <f>SUMIF(AJOUT!$A:$A,BRAN!$V:$V,AJOUT!$L:$L)</f>
        <v>0</v>
      </c>
      <c r="L117" s="100">
        <f>SUMIF(CBOUT!$A:$A,BRAN!$V:$V,CBOUT!$G:$G)</f>
        <v>0</v>
      </c>
      <c r="M117" s="1158">
        <f>E117+F117+H117-I117-L117+G117-K117</f>
        <v>380</v>
      </c>
      <c r="N117" s="652">
        <f t="shared" si="26"/>
        <v>9500</v>
      </c>
      <c r="O117" s="1159">
        <f t="shared" si="27"/>
        <v>2250</v>
      </c>
      <c r="P117" s="804"/>
      <c r="Q117" s="804"/>
      <c r="R117" s="100">
        <f>O117/INTGRATE!$N$293</f>
        <v>450</v>
      </c>
      <c r="S117" s="665">
        <f t="shared" si="38"/>
        <v>21.111111111111111</v>
      </c>
      <c r="T117" s="403"/>
      <c r="U117" s="136"/>
      <c r="V117" s="836" t="str">
        <f t="shared" si="39"/>
        <v>552MX25</v>
      </c>
      <c r="W117" s="823">
        <v>321018</v>
      </c>
      <c r="X117" s="386"/>
      <c r="Y117" s="386">
        <v>1500</v>
      </c>
      <c r="Z117" s="100">
        <v>0</v>
      </c>
      <c r="AA117" s="100">
        <v>0</v>
      </c>
      <c r="AB117" s="100">
        <v>0</v>
      </c>
      <c r="AC117" s="100">
        <v>750</v>
      </c>
      <c r="AD117" s="100"/>
      <c r="AE117" s="100"/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3"/>
        <v>2250</v>
      </c>
      <c r="BD117" s="786">
        <f t="shared" si="24"/>
        <v>2</v>
      </c>
      <c r="BE117" s="786">
        <f t="shared" si="25"/>
        <v>1125</v>
      </c>
      <c r="BH117" s="436"/>
    </row>
    <row r="118" spans="1:60" s="38" customFormat="1" ht="14.25" customHeight="1">
      <c r="A118" s="91">
        <v>106</v>
      </c>
      <c r="B118" s="94" t="s">
        <v>164</v>
      </c>
      <c r="C118" s="92" t="s">
        <v>61</v>
      </c>
      <c r="D118" s="528" t="s">
        <v>66</v>
      </c>
      <c r="E118" s="425"/>
      <c r="F118" s="425">
        <f>+J118</f>
        <v>0</v>
      </c>
      <c r="G118" s="425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0</v>
      </c>
      <c r="K118" s="100">
        <f>SUMIF(AJOUT!$A:$A,BRAN!$V:$V,AJOUT!$L:$L)</f>
        <v>0</v>
      </c>
      <c r="L118" s="100">
        <f>SUMIF(CBOUT!$A:$A,BRAN!$V:$V,CBOUT!$G:$G)</f>
        <v>0</v>
      </c>
      <c r="M118" s="528"/>
      <c r="N118" s="652">
        <f t="shared" si="26"/>
        <v>0</v>
      </c>
      <c r="O118" s="1159">
        <f t="shared" si="27"/>
        <v>64500</v>
      </c>
      <c r="P118" s="427"/>
      <c r="Q118" s="427"/>
      <c r="R118" s="425">
        <f>O118/INTGRATE!$N$293</f>
        <v>12900</v>
      </c>
      <c r="S118" s="665">
        <f t="shared" si="38"/>
        <v>0</v>
      </c>
      <c r="T118" s="511"/>
      <c r="U118" s="136"/>
      <c r="V118" s="836" t="str">
        <f t="shared" si="39"/>
        <v>552SSILO</v>
      </c>
      <c r="W118" s="823">
        <v>32000890</v>
      </c>
      <c r="X118" s="386"/>
      <c r="Y118" s="386">
        <v>32390</v>
      </c>
      <c r="Z118" s="100">
        <v>8560</v>
      </c>
      <c r="AA118" s="100">
        <v>0</v>
      </c>
      <c r="AB118" s="100">
        <v>23550</v>
      </c>
      <c r="AC118" s="100">
        <v>0</v>
      </c>
      <c r="AD118" s="100"/>
      <c r="AE118" s="100"/>
      <c r="AF118" s="100"/>
      <c r="AG118" s="100"/>
      <c r="AH118" s="425"/>
      <c r="AI118" s="100"/>
      <c r="AJ118" s="100"/>
      <c r="AK118" s="100"/>
      <c r="AL118" s="100"/>
      <c r="AM118" s="100"/>
      <c r="AN118" s="100"/>
      <c r="AO118" s="425"/>
      <c r="AP118" s="100"/>
      <c r="AQ118" s="425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3"/>
        <v>64500</v>
      </c>
      <c r="BD118" s="786">
        <f t="shared" si="24"/>
        <v>3</v>
      </c>
      <c r="BE118" s="786">
        <f t="shared" si="25"/>
        <v>21500</v>
      </c>
      <c r="BH118" s="436"/>
    </row>
    <row r="119" spans="1:60" s="38" customFormat="1" ht="14.25" customHeight="1">
      <c r="A119" s="91">
        <v>107</v>
      </c>
      <c r="B119" s="94" t="s">
        <v>164</v>
      </c>
      <c r="C119" s="537" t="s">
        <v>61</v>
      </c>
      <c r="D119" s="91">
        <v>25</v>
      </c>
      <c r="E119" s="100">
        <v>692</v>
      </c>
      <c r="F119" s="100">
        <f>SUMIF(pro!$A:$A,$V:$V,pro!$N:$N)</f>
        <v>791</v>
      </c>
      <c r="G119" s="100"/>
      <c r="H119" s="100">
        <f>SUMIF(CBIN!$A:$A,BRAN!$V:$V,CBIN!$G:$G)</f>
        <v>0</v>
      </c>
      <c r="I119" s="100">
        <f>SUMIF(data!$D:$D,$B119&amp;$D119,data!$J:$J)</f>
        <v>1042</v>
      </c>
      <c r="J119" s="100">
        <f>SUMIF(data!$D:$D,$B119&amp;$D119,data!$K:$K)</f>
        <v>26050</v>
      </c>
      <c r="K119" s="100">
        <f>SUMIF(AJOUT!$A:$A,BRAN!$V:$V,AJOUT!$L:$L)</f>
        <v>0</v>
      </c>
      <c r="L119" s="100">
        <f>SUMIF(CBOUT!$A:$A,BRAN!$V:$V,CBOUT!$G:$G)</f>
        <v>0</v>
      </c>
      <c r="M119" s="1158">
        <f>E119+F119+H119-I119-L119+G119-K119</f>
        <v>441</v>
      </c>
      <c r="N119" s="652">
        <f t="shared" si="26"/>
        <v>11025</v>
      </c>
      <c r="O119" s="1159">
        <f t="shared" si="27"/>
        <v>163400</v>
      </c>
      <c r="P119" s="804"/>
      <c r="Q119" s="804"/>
      <c r="R119" s="100">
        <f>O119/INTGRATE!$N$293</f>
        <v>32680</v>
      </c>
      <c r="S119" s="665">
        <f t="shared" si="38"/>
        <v>0.33736230110159121</v>
      </c>
      <c r="T119" s="530"/>
      <c r="U119" s="136"/>
      <c r="V119" s="836" t="str">
        <f t="shared" si="39"/>
        <v>552S25</v>
      </c>
      <c r="W119" s="823">
        <v>320001</v>
      </c>
      <c r="X119" s="386"/>
      <c r="Y119" s="386">
        <v>37900</v>
      </c>
      <c r="Z119" s="100">
        <v>14500</v>
      </c>
      <c r="AA119" s="100">
        <v>60000</v>
      </c>
      <c r="AB119" s="100">
        <v>24950</v>
      </c>
      <c r="AC119" s="100">
        <v>26050</v>
      </c>
      <c r="AD119" s="100"/>
      <c r="AE119" s="100"/>
      <c r="AF119" s="100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3"/>
        <v>163400</v>
      </c>
      <c r="BD119" s="786">
        <f t="shared" si="24"/>
        <v>5</v>
      </c>
      <c r="BE119" s="786">
        <f t="shared" si="25"/>
        <v>32680</v>
      </c>
      <c r="BF119" s="328"/>
      <c r="BH119" s="436"/>
    </row>
    <row r="120" spans="1:60" s="38" customFormat="1" ht="14.25" customHeight="1">
      <c r="A120" s="91">
        <v>108</v>
      </c>
      <c r="B120" s="94" t="s">
        <v>65</v>
      </c>
      <c r="C120" s="92" t="s">
        <v>61</v>
      </c>
      <c r="D120" s="528" t="s">
        <v>66</v>
      </c>
      <c r="E120" s="425"/>
      <c r="F120" s="425">
        <f>+J120</f>
        <v>0</v>
      </c>
      <c r="G120" s="425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100">
        <f>SUMIF(AJOUT!$A:$A,BRAN!$V:$V,AJOUT!$L:$L)</f>
        <v>0</v>
      </c>
      <c r="L120" s="100"/>
      <c r="M120" s="528"/>
      <c r="N120" s="652">
        <f t="shared" si="26"/>
        <v>0</v>
      </c>
      <c r="O120" s="1159">
        <f t="shared" si="27"/>
        <v>0</v>
      </c>
      <c r="P120" s="427"/>
      <c r="Q120" s="427"/>
      <c r="R120" s="425">
        <f>O120/INTGRATE!$N$293</f>
        <v>0</v>
      </c>
      <c r="S120" s="665">
        <f>IF(R120=0,0,N120/R120)</f>
        <v>0</v>
      </c>
      <c r="T120" s="511"/>
      <c r="U120" s="136"/>
      <c r="V120" s="836" t="str">
        <f>B120&amp;D120</f>
        <v>552SProSILO</v>
      </c>
      <c r="W120" s="823">
        <v>320021</v>
      </c>
      <c r="X120" s="386"/>
      <c r="Y120" s="386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/>
      <c r="AE120" s="100"/>
      <c r="AF120" s="100"/>
      <c r="AG120" s="100"/>
      <c r="AH120" s="425"/>
      <c r="AI120" s="100"/>
      <c r="AJ120" s="100"/>
      <c r="AK120" s="100"/>
      <c r="AL120" s="100"/>
      <c r="AM120" s="100"/>
      <c r="AN120" s="100"/>
      <c r="AO120" s="425"/>
      <c r="AP120" s="100"/>
      <c r="AQ120" s="425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3"/>
        <v>0</v>
      </c>
      <c r="BD120" s="786">
        <f t="shared" si="24"/>
        <v>0</v>
      </c>
      <c r="BE120" s="786">
        <f t="shared" si="25"/>
        <v>0</v>
      </c>
      <c r="BH120" s="436"/>
    </row>
    <row r="121" spans="1:60" s="38" customFormat="1" ht="14.25" customHeight="1">
      <c r="A121" s="91">
        <v>109</v>
      </c>
      <c r="B121" s="94" t="s">
        <v>65</v>
      </c>
      <c r="C121" s="537" t="s">
        <v>61</v>
      </c>
      <c r="D121" s="91">
        <v>25</v>
      </c>
      <c r="E121" s="100">
        <v>1524</v>
      </c>
      <c r="F121" s="100">
        <f>SUMIF(pro!$A:$A,$V:$V,pro!$N:$N)</f>
        <v>0</v>
      </c>
      <c r="G121" s="100"/>
      <c r="H121" s="100">
        <f>SUMIF(CBIN!$A:$A,BRAN!$V:$V,CBIN!$G:$G)</f>
        <v>0</v>
      </c>
      <c r="I121" s="100">
        <f>SUMIF(data!$D:$D,$B121&amp;$D121,data!$J:$J)</f>
        <v>113</v>
      </c>
      <c r="J121" s="100">
        <f>SUMIF(data!$D:$D,$B121&amp;$D121,data!$K:$K)</f>
        <v>2825</v>
      </c>
      <c r="K121" s="100">
        <f>SUMIF(AJOUT!$A:$A,BRAN!$V:$V,AJOUT!$L:$L)</f>
        <v>0</v>
      </c>
      <c r="L121" s="100">
        <f>SUMIF(CBOUT!$A:$A,BRAN!$V:$V,CBOUT!$G:$G)</f>
        <v>0</v>
      </c>
      <c r="M121" s="1158">
        <f>E121+F121+H121-I121-L121+G121-K121</f>
        <v>1411</v>
      </c>
      <c r="N121" s="652">
        <f t="shared" si="26"/>
        <v>35275</v>
      </c>
      <c r="O121" s="1159">
        <f t="shared" si="27"/>
        <v>33200</v>
      </c>
      <c r="P121" s="804"/>
      <c r="Q121" s="804"/>
      <c r="R121" s="100">
        <f>O121/INTGRATE!$N$293</f>
        <v>6640</v>
      </c>
      <c r="S121" s="665">
        <f t="shared" si="38"/>
        <v>5.3125</v>
      </c>
      <c r="T121" s="461"/>
      <c r="U121" s="136"/>
      <c r="V121" s="836" t="str">
        <f t="shared" si="39"/>
        <v>552SPro25</v>
      </c>
      <c r="W121" s="823">
        <v>320021</v>
      </c>
      <c r="X121" s="386"/>
      <c r="Y121" s="386">
        <v>9750</v>
      </c>
      <c r="Z121" s="100">
        <v>0</v>
      </c>
      <c r="AA121" s="100">
        <v>13950</v>
      </c>
      <c r="AB121" s="100">
        <v>6675</v>
      </c>
      <c r="AC121" s="100">
        <v>2825</v>
      </c>
      <c r="AD121" s="100"/>
      <c r="AE121" s="100"/>
      <c r="AF121" s="100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3"/>
        <v>33200</v>
      </c>
      <c r="BD121" s="786">
        <f t="shared" si="24"/>
        <v>4</v>
      </c>
      <c r="BE121" s="786">
        <f t="shared" si="25"/>
        <v>8300</v>
      </c>
      <c r="BF121" s="328"/>
      <c r="BH121" s="436"/>
    </row>
    <row r="122" spans="1:60" s="38" customFormat="1" ht="15" customHeight="1">
      <c r="A122" s="91">
        <v>110</v>
      </c>
      <c r="B122" s="170" t="s">
        <v>165</v>
      </c>
      <c r="C122" s="538" t="s">
        <v>61</v>
      </c>
      <c r="D122" s="164">
        <v>25</v>
      </c>
      <c r="E122" s="100">
        <v>2162</v>
      </c>
      <c r="F122" s="100">
        <f>SUMIF(pro!$A:$A,$V:$V,pro!$N:$N)</f>
        <v>0</v>
      </c>
      <c r="G122" s="100"/>
      <c r="H122" s="100">
        <f>SUMIF(CBIN!$A:$A,BRAN!$V:$V,CBIN!$G:$G)</f>
        <v>0</v>
      </c>
      <c r="I122" s="100">
        <f>SUMIF(data!$D:$D,$B122&amp;$D122,data!$J:$J)</f>
        <v>510</v>
      </c>
      <c r="J122" s="100">
        <f>SUMIF(data!$D:$D,$B122&amp;$D122,data!$K:$K)</f>
        <v>12750</v>
      </c>
      <c r="K122" s="100">
        <f>SUMIF(AJOUT!$A:$A,BRAN!$V:$V,AJOUT!$L:$L)</f>
        <v>0</v>
      </c>
      <c r="L122" s="100">
        <f>SUMIF(CBOUT!$A:$A,BRAN!$V:$V,CBOUT!$G:$G)</f>
        <v>0</v>
      </c>
      <c r="M122" s="1158">
        <f>E122+F122+H122-I122-L122+G122-K122</f>
        <v>1652</v>
      </c>
      <c r="N122" s="652">
        <f t="shared" si="26"/>
        <v>41300</v>
      </c>
      <c r="O122" s="1159">
        <f t="shared" si="27"/>
        <v>36525</v>
      </c>
      <c r="P122" s="804"/>
      <c r="Q122" s="804"/>
      <c r="R122" s="100">
        <f>O122/INTGRATE!$N$293</f>
        <v>7305</v>
      </c>
      <c r="S122" s="665">
        <f t="shared" si="38"/>
        <v>5.6536618754277894</v>
      </c>
      <c r="T122" s="403"/>
      <c r="U122" s="136"/>
      <c r="V122" s="836" t="str">
        <f t="shared" si="39"/>
        <v>552SX25</v>
      </c>
      <c r="W122" s="823">
        <v>320008</v>
      </c>
      <c r="X122" s="386"/>
      <c r="Y122" s="386">
        <v>4950</v>
      </c>
      <c r="Z122" s="100">
        <v>1500</v>
      </c>
      <c r="AA122" s="100">
        <v>9500</v>
      </c>
      <c r="AB122" s="100">
        <v>7825</v>
      </c>
      <c r="AC122" s="100">
        <v>12750</v>
      </c>
      <c r="AD122" s="100"/>
      <c r="AE122" s="100"/>
      <c r="AF122" s="100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3"/>
        <v>36525</v>
      </c>
      <c r="BD122" s="786">
        <f t="shared" si="24"/>
        <v>5</v>
      </c>
      <c r="BE122" s="786">
        <f t="shared" si="25"/>
        <v>7305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615" t="s">
        <v>66</v>
      </c>
      <c r="E123" s="100">
        <v>0</v>
      </c>
      <c r="F123" s="425">
        <f>+J123</f>
        <v>0</v>
      </c>
      <c r="G123" s="425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100">
        <f>SUMIF(AJOUT!$A:$A,BRAN!$V:$V,AJOUT!$L:$L)</f>
        <v>0</v>
      </c>
      <c r="L123" s="100">
        <f>SUMIF(CBOUT!$A:$A,BRAN!$V:$V,CBOUT!$G:$G)</f>
        <v>0</v>
      </c>
      <c r="M123" s="1158">
        <v>0</v>
      </c>
      <c r="N123" s="652">
        <f t="shared" si="26"/>
        <v>0</v>
      </c>
      <c r="O123" s="1159">
        <f t="shared" si="27"/>
        <v>0</v>
      </c>
      <c r="P123" s="804"/>
      <c r="Q123" s="804"/>
      <c r="R123" s="100">
        <f>O123/INTGRATE!$N$293</f>
        <v>0</v>
      </c>
      <c r="S123" s="665">
        <f t="shared" si="38"/>
        <v>0</v>
      </c>
      <c r="T123" s="403"/>
      <c r="U123" s="136"/>
      <c r="V123" s="836" t="str">
        <f>B123&amp;D123</f>
        <v>552SXSILO</v>
      </c>
      <c r="W123" s="823">
        <v>320008</v>
      </c>
      <c r="X123" s="386"/>
      <c r="Y123" s="386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/>
      <c r="AE123" s="100"/>
      <c r="AF123" s="100"/>
      <c r="AG123" s="100"/>
      <c r="AH123" s="425"/>
      <c r="AI123" s="100"/>
      <c r="AJ123" s="100"/>
      <c r="AK123" s="100"/>
      <c r="AL123" s="100"/>
      <c r="AM123" s="100"/>
      <c r="AN123" s="100"/>
      <c r="AO123" s="425"/>
      <c r="AP123" s="100"/>
      <c r="AQ123" s="425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3"/>
        <v>0</v>
      </c>
      <c r="BD123" s="786">
        <f t="shared" si="24"/>
        <v>0</v>
      </c>
      <c r="BE123" s="786">
        <f t="shared" si="25"/>
        <v>0</v>
      </c>
      <c r="BF123" s="328"/>
      <c r="BH123" s="436"/>
    </row>
    <row r="124" spans="1:60" s="38" customFormat="1" ht="15" customHeight="1">
      <c r="A124" s="91">
        <v>112</v>
      </c>
      <c r="B124" s="170" t="s">
        <v>62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/>
      <c r="M124" s="1158">
        <v>0</v>
      </c>
      <c r="N124" s="652">
        <f t="shared" si="26"/>
        <v>0</v>
      </c>
      <c r="O124" s="1159">
        <f t="shared" si="27"/>
        <v>0</v>
      </c>
      <c r="P124" s="804"/>
      <c r="Q124" s="804"/>
      <c r="R124" s="100">
        <f>O124/INTGRATE!$N$293</f>
        <v>0</v>
      </c>
      <c r="S124" s="665">
        <f>IF(R124=0,0,N124/R124)</f>
        <v>0</v>
      </c>
      <c r="T124" s="403"/>
      <c r="U124" s="136"/>
      <c r="V124" s="836" t="str">
        <f>B124&amp;D124</f>
        <v>552SXProSILO</v>
      </c>
      <c r="W124" s="823"/>
      <c r="X124" s="386"/>
      <c r="Y124" s="386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/>
      <c r="AE124" s="100"/>
      <c r="AF124" s="100"/>
      <c r="AG124" s="100"/>
      <c r="AH124" s="425"/>
      <c r="AI124" s="100"/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3"/>
        <v>0</v>
      </c>
      <c r="BD124" s="786">
        <f t="shared" si="24"/>
        <v>0</v>
      </c>
      <c r="BE124" s="786">
        <f t="shared" si="25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>
        <v>25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>
        <f>SUMIF(CBOUT!$A:$A,BRAN!$V:$V,CBOUT!$G:$G)</f>
        <v>0</v>
      </c>
      <c r="M125" s="1158">
        <v>0</v>
      </c>
      <c r="N125" s="652">
        <f t="shared" si="26"/>
        <v>0</v>
      </c>
      <c r="O125" s="1159">
        <f t="shared" si="27"/>
        <v>0</v>
      </c>
      <c r="P125" s="804"/>
      <c r="Q125" s="804"/>
      <c r="R125" s="100">
        <f>O125/INTGRATE!$N$293</f>
        <v>0</v>
      </c>
      <c r="S125" s="665">
        <f t="shared" si="38"/>
        <v>0</v>
      </c>
      <c r="T125" s="403"/>
      <c r="U125" s="136"/>
      <c r="V125" s="836" t="str">
        <f>B125&amp;D125</f>
        <v>552SXPro25</v>
      </c>
      <c r="W125" s="823"/>
      <c r="X125" s="386"/>
      <c r="Y125" s="386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/>
      <c r="AE125" s="100"/>
      <c r="AF125" s="100"/>
      <c r="AG125" s="100"/>
      <c r="AH125" s="425"/>
      <c r="AI125" s="100"/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3"/>
        <v>0</v>
      </c>
      <c r="BD125" s="786">
        <f t="shared" si="24"/>
        <v>0</v>
      </c>
      <c r="BE125" s="786">
        <f t="shared" si="25"/>
        <v>0</v>
      </c>
      <c r="BF125" s="328"/>
      <c r="BH125" s="436"/>
    </row>
    <row r="126" spans="1:60" s="38" customFormat="1" ht="15" customHeight="1">
      <c r="A126" s="91">
        <v>114</v>
      </c>
      <c r="B126" s="94">
        <v>553</v>
      </c>
      <c r="C126" s="94" t="s">
        <v>64</v>
      </c>
      <c r="D126" s="91">
        <v>25</v>
      </c>
      <c r="E126" s="100">
        <v>568</v>
      </c>
      <c r="F126" s="100">
        <f>SUMIF(pro!$A:$A,$V:$V,pro!$N:$N)</f>
        <v>0</v>
      </c>
      <c r="G126" s="100"/>
      <c r="H126" s="100">
        <f>SUMIF(CBIN!$A:$A,BRAN!$V:$V,CBIN!$G:$G)</f>
        <v>0</v>
      </c>
      <c r="I126" s="100">
        <f>SUMIF(data!$D:$D,$B126&amp;$D126,data!$J:$J)</f>
        <v>353</v>
      </c>
      <c r="J126" s="100">
        <f>SUMIF(data!$D:$D,$B126&amp;$D126,data!$K:$K)</f>
        <v>8825</v>
      </c>
      <c r="K126" s="100">
        <f>SUMIF(AJOUT!$A:$A,BRAN!$V:$V,AJOUT!$L:$L)</f>
        <v>0</v>
      </c>
      <c r="L126" s="100">
        <f>SUMIF(CBOUT!$A:$A,BRAN!$V:$V,CBOUT!$G:$G)</f>
        <v>0</v>
      </c>
      <c r="M126" s="1158">
        <f>E126+F126+H126-I126-L126+G126-K126</f>
        <v>215</v>
      </c>
      <c r="N126" s="652">
        <f t="shared" si="26"/>
        <v>5375</v>
      </c>
      <c r="O126" s="1159">
        <f t="shared" si="27"/>
        <v>43025</v>
      </c>
      <c r="P126" s="804"/>
      <c r="Q126" s="804"/>
      <c r="R126" s="100">
        <f>O126/INTGRATE!$N$293</f>
        <v>8605</v>
      </c>
      <c r="S126" s="665">
        <f t="shared" si="38"/>
        <v>0.62463683904706568</v>
      </c>
      <c r="T126" s="403"/>
      <c r="U126" s="136"/>
      <c r="V126" s="836" t="str">
        <f t="shared" si="39"/>
        <v>55325</v>
      </c>
      <c r="W126" s="823">
        <v>332301</v>
      </c>
      <c r="X126" s="386"/>
      <c r="Y126" s="386">
        <v>13150</v>
      </c>
      <c r="Z126" s="100">
        <v>5350</v>
      </c>
      <c r="AA126" s="100">
        <v>2025</v>
      </c>
      <c r="AB126" s="100">
        <v>13675</v>
      </c>
      <c r="AC126" s="100">
        <v>8825</v>
      </c>
      <c r="AD126" s="100"/>
      <c r="AE126" s="100"/>
      <c r="AF126" s="100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3"/>
        <v>43025</v>
      </c>
      <c r="BD126" s="786">
        <f t="shared" si="24"/>
        <v>5</v>
      </c>
      <c r="BE126" s="786">
        <f t="shared" si="25"/>
        <v>8605</v>
      </c>
      <c r="BH126" s="436"/>
    </row>
    <row r="127" spans="1:60" s="38" customFormat="1" ht="15" customHeight="1">
      <c r="A127" s="91">
        <v>115</v>
      </c>
      <c r="B127" s="94">
        <v>553</v>
      </c>
      <c r="C127" s="163" t="s">
        <v>64</v>
      </c>
      <c r="D127" s="528" t="s">
        <v>66</v>
      </c>
      <c r="E127" s="425">
        <v>0</v>
      </c>
      <c r="F127" s="425">
        <f>+J127</f>
        <v>0</v>
      </c>
      <c r="G127" s="425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100">
        <f>SUMIF(AJOUT!$A:$A,BRAN!$V:$V,AJOUT!$L:$L)</f>
        <v>0</v>
      </c>
      <c r="L127" s="100">
        <f>SUMIF(CBOUT!$A:$A,BRAN!$V:$V,CBOUT!$G:$G)</f>
        <v>0</v>
      </c>
      <c r="M127" s="528">
        <v>0</v>
      </c>
      <c r="N127" s="652">
        <f t="shared" si="26"/>
        <v>0</v>
      </c>
      <c r="O127" s="1159">
        <f t="shared" si="27"/>
        <v>0</v>
      </c>
      <c r="P127" s="427"/>
      <c r="Q127" s="427"/>
      <c r="R127" s="425">
        <f>O127/INTGRATE!$N$293</f>
        <v>0</v>
      </c>
      <c r="S127" s="665">
        <f t="shared" si="38"/>
        <v>0</v>
      </c>
      <c r="T127" s="403"/>
      <c r="U127" s="136"/>
      <c r="V127" s="836" t="str">
        <f t="shared" si="39"/>
        <v>553SILO</v>
      </c>
      <c r="W127" s="823">
        <v>332301</v>
      </c>
      <c r="X127" s="386"/>
      <c r="Y127" s="386">
        <v>0</v>
      </c>
      <c r="Z127" s="100">
        <v>0</v>
      </c>
      <c r="AA127" s="100">
        <v>0</v>
      </c>
      <c r="AB127" s="100">
        <v>0</v>
      </c>
      <c r="AC127" s="100">
        <v>0</v>
      </c>
      <c r="AD127" s="100"/>
      <c r="AE127" s="100"/>
      <c r="AF127" s="100"/>
      <c r="AG127" s="100"/>
      <c r="AH127" s="425"/>
      <c r="AI127" s="100"/>
      <c r="AJ127" s="100"/>
      <c r="AK127" s="100"/>
      <c r="AL127" s="100"/>
      <c r="AM127" s="100"/>
      <c r="AN127" s="100"/>
      <c r="AO127" s="425"/>
      <c r="AP127" s="100"/>
      <c r="AQ127" s="425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3"/>
        <v>0</v>
      </c>
      <c r="BD127" s="786">
        <f t="shared" si="24"/>
        <v>0</v>
      </c>
      <c r="BE127" s="786">
        <f t="shared" si="25"/>
        <v>0</v>
      </c>
      <c r="BH127" s="436"/>
    </row>
    <row r="128" spans="1:60" s="38" customFormat="1" ht="15" customHeight="1">
      <c r="A128" s="91">
        <v>116</v>
      </c>
      <c r="B128" s="94" t="s">
        <v>166</v>
      </c>
      <c r="C128" s="163" t="s">
        <v>64</v>
      </c>
      <c r="D128" s="528" t="s">
        <v>66</v>
      </c>
      <c r="E128" s="425">
        <v>0</v>
      </c>
      <c r="F128" s="425">
        <f>+J128</f>
        <v>34900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34900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26"/>
        <v>0</v>
      </c>
      <c r="O128" s="1159">
        <f t="shared" si="27"/>
        <v>91870</v>
      </c>
      <c r="P128" s="427"/>
      <c r="Q128" s="427"/>
      <c r="R128" s="425">
        <f>O128/INTGRATE!$N$293</f>
        <v>18374</v>
      </c>
      <c r="S128" s="665">
        <f t="shared" si="38"/>
        <v>0</v>
      </c>
      <c r="T128" s="403"/>
      <c r="U128" s="136"/>
      <c r="V128" s="836" t="str">
        <f t="shared" si="39"/>
        <v>553SSILO</v>
      </c>
      <c r="W128" s="823">
        <v>332302</v>
      </c>
      <c r="X128" s="386"/>
      <c r="Y128" s="386">
        <v>9960</v>
      </c>
      <c r="Z128" s="100">
        <v>9940</v>
      </c>
      <c r="AA128" s="100">
        <v>27210</v>
      </c>
      <c r="AB128" s="100">
        <v>9860</v>
      </c>
      <c r="AC128" s="100">
        <v>34900</v>
      </c>
      <c r="AD128" s="100"/>
      <c r="AE128" s="100"/>
      <c r="AF128" s="100"/>
      <c r="AG128" s="100"/>
      <c r="AH128" s="425"/>
      <c r="AI128" s="100"/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3"/>
        <v>91870</v>
      </c>
      <c r="BD128" s="786">
        <f t="shared" si="24"/>
        <v>5</v>
      </c>
      <c r="BE128" s="786">
        <f t="shared" si="25"/>
        <v>18374</v>
      </c>
      <c r="BH128" s="436"/>
    </row>
    <row r="129" spans="1:151" s="38" customFormat="1" ht="15" customHeight="1">
      <c r="A129" s="91">
        <v>117</v>
      </c>
      <c r="B129" s="94" t="s">
        <v>67</v>
      </c>
      <c r="C129" s="163" t="s">
        <v>68</v>
      </c>
      <c r="D129" s="617">
        <v>25</v>
      </c>
      <c r="E129" s="561">
        <v>0</v>
      </c>
      <c r="F129" s="100">
        <f>SUMIF(pro!$A:$A,$V:$V,pro!$N:$N)</f>
        <v>0</v>
      </c>
      <c r="G129" s="100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100">
        <f>SUMIF(AJOUT!$A:$A,BRAN!$V:$V,AJOUT!$L:$L)</f>
        <v>0</v>
      </c>
      <c r="L129" s="100">
        <f>SUMIF(CBOUT!$A:$A,BRAN!$V:$V,CBOUT!$G:$G)</f>
        <v>0</v>
      </c>
      <c r="M129" s="1158">
        <f>E129+F129+H129-I129-L129+G129-K129</f>
        <v>0</v>
      </c>
      <c r="N129" s="652">
        <f t="shared" si="26"/>
        <v>0</v>
      </c>
      <c r="O129" s="1159">
        <f t="shared" si="27"/>
        <v>0</v>
      </c>
      <c r="P129" s="804"/>
      <c r="Q129" s="804"/>
      <c r="R129" s="100">
        <f>O129/INTGRATE!$N$293</f>
        <v>0</v>
      </c>
      <c r="S129" s="665">
        <f>IF(R129=0,0,N129/R129)</f>
        <v>0</v>
      </c>
      <c r="T129" s="403"/>
      <c r="U129" s="136"/>
      <c r="V129" s="836" t="str">
        <f>B129&amp;D129</f>
        <v>553SPro25</v>
      </c>
      <c r="W129" s="823">
        <v>332121</v>
      </c>
      <c r="X129" s="386"/>
      <c r="Y129" s="386">
        <v>0</v>
      </c>
      <c r="Z129" s="100">
        <v>0</v>
      </c>
      <c r="AA129" s="100">
        <v>0</v>
      </c>
      <c r="AB129" s="100">
        <v>0</v>
      </c>
      <c r="AC129" s="100">
        <v>0</v>
      </c>
      <c r="AD129" s="100"/>
      <c r="AE129" s="100"/>
      <c r="AF129" s="100"/>
      <c r="AG129" s="100"/>
      <c r="AH129" s="425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3"/>
        <v>0</v>
      </c>
      <c r="BD129" s="786">
        <f t="shared" si="24"/>
        <v>0</v>
      </c>
      <c r="BE129" s="786">
        <f t="shared" si="25"/>
        <v>0</v>
      </c>
      <c r="BH129" s="436"/>
    </row>
    <row r="130" spans="1:151" s="38" customFormat="1" ht="15" customHeight="1">
      <c r="A130" s="91">
        <v>118</v>
      </c>
      <c r="B130" s="94" t="s">
        <v>67</v>
      </c>
      <c r="C130" s="163" t="s">
        <v>64</v>
      </c>
      <c r="D130" s="528" t="s">
        <v>66</v>
      </c>
      <c r="E130" s="561"/>
      <c r="F130" s="425">
        <f>+J130</f>
        <v>0</v>
      </c>
      <c r="G130" s="425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/>
      <c r="L130" s="100"/>
      <c r="M130" s="1158"/>
      <c r="N130" s="652">
        <f t="shared" si="26"/>
        <v>0</v>
      </c>
      <c r="O130" s="1159">
        <f t="shared" si="27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553SProSILO</v>
      </c>
      <c r="W130" s="823">
        <v>332121</v>
      </c>
      <c r="X130" s="386"/>
      <c r="Y130" s="386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/>
      <c r="AE130" s="100"/>
      <c r="AF130" s="100"/>
      <c r="AG130" s="100"/>
      <c r="AH130" s="425"/>
      <c r="AI130" s="100"/>
      <c r="AJ130" s="100"/>
      <c r="AK130" s="100"/>
      <c r="AL130" s="100"/>
      <c r="AM130" s="100"/>
      <c r="AN130" s="100"/>
      <c r="AO130" s="425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3"/>
        <v>0</v>
      </c>
      <c r="BD130" s="786">
        <f t="shared" si="24"/>
        <v>0</v>
      </c>
      <c r="BE130" s="786">
        <f t="shared" si="25"/>
        <v>0</v>
      </c>
      <c r="BH130" s="436"/>
    </row>
    <row r="131" spans="1:151" s="38" customFormat="1" ht="15" customHeight="1">
      <c r="A131" s="91">
        <v>119</v>
      </c>
      <c r="B131" s="94" t="s">
        <v>166</v>
      </c>
      <c r="C131" s="94" t="s">
        <v>64</v>
      </c>
      <c r="D131" s="91">
        <v>25</v>
      </c>
      <c r="E131" s="100">
        <v>722</v>
      </c>
      <c r="F131" s="100">
        <f>SUMIF(pro!$A:$A,$V:$V,pro!$N:$N)</f>
        <v>343</v>
      </c>
      <c r="G131" s="100"/>
      <c r="H131" s="100">
        <f>SUMIF(CBIN!$A:$A,BRAN!$V:$V,CBIN!$G:$G)</f>
        <v>0</v>
      </c>
      <c r="I131" s="100">
        <f>SUMIF(data!$D:$D,$B131&amp;$D131,data!$J:$J)</f>
        <v>437</v>
      </c>
      <c r="J131" s="100">
        <f>SUMIF(data!$D:$D,$B131&amp;$D131,data!$K:$K)</f>
        <v>10925</v>
      </c>
      <c r="K131" s="100">
        <f>SUMIF(AJOUT!$A:$A,BRAN!$V:$V,AJOUT!$L:$L)</f>
        <v>0</v>
      </c>
      <c r="L131" s="100">
        <f>SUMIF(CBOUT!$A:$A,BRAN!$V:$V,CBOUT!$G:$G)</f>
        <v>0</v>
      </c>
      <c r="M131" s="1158">
        <f>E131+F131+H131-I131-L131+G131-K131</f>
        <v>628</v>
      </c>
      <c r="N131" s="652">
        <f t="shared" si="26"/>
        <v>15700</v>
      </c>
      <c r="O131" s="1159">
        <f t="shared" si="27"/>
        <v>60950</v>
      </c>
      <c r="P131" s="804"/>
      <c r="Q131" s="804"/>
      <c r="R131" s="100">
        <f>O131/INTGRATE!$N$293</f>
        <v>12190</v>
      </c>
      <c r="S131" s="665">
        <f t="shared" si="38"/>
        <v>1.2879409351927811</v>
      </c>
      <c r="T131" s="403"/>
      <c r="U131" s="136"/>
      <c r="V131" s="836" t="str">
        <f t="shared" si="39"/>
        <v>553S25</v>
      </c>
      <c r="W131" s="823">
        <v>332101</v>
      </c>
      <c r="X131" s="386"/>
      <c r="Y131" s="386">
        <v>20000</v>
      </c>
      <c r="Z131" s="100">
        <v>0</v>
      </c>
      <c r="AA131" s="100">
        <v>10050</v>
      </c>
      <c r="AB131" s="100">
        <v>19975</v>
      </c>
      <c r="AC131" s="100">
        <v>10925</v>
      </c>
      <c r="AD131" s="100"/>
      <c r="AE131" s="100"/>
      <c r="AF131" s="100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3"/>
        <v>60950</v>
      </c>
      <c r="BD131" s="786">
        <f t="shared" si="24"/>
        <v>4</v>
      </c>
      <c r="BE131" s="786">
        <f t="shared" si="25"/>
        <v>15237.5</v>
      </c>
      <c r="BH131" s="436"/>
    </row>
    <row r="132" spans="1:151" s="38" customFormat="1" ht="15" customHeight="1">
      <c r="A132" s="91">
        <v>120</v>
      </c>
      <c r="B132" s="171">
        <v>562</v>
      </c>
      <c r="C132" s="172" t="s">
        <v>64</v>
      </c>
      <c r="D132" s="173">
        <v>25</v>
      </c>
      <c r="E132" s="100">
        <v>982</v>
      </c>
      <c r="F132" s="100">
        <f>SUMIF(pro!$A:$A,$V:$V,pro!$N:$N)</f>
        <v>0</v>
      </c>
      <c r="G132" s="100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100">
        <f>SUMIF(AJOUT!$A:$A,BRAN!$V:$V,AJOUT!$L:$L)</f>
        <v>0</v>
      </c>
      <c r="L132" s="100">
        <f>SUMIF(CBOUT!$A:$A,BRAN!$V:$V,CBOUT!$G:$G)</f>
        <v>0</v>
      </c>
      <c r="M132" s="1158">
        <f>E132+F132+H132-I132-L132+G132-K132</f>
        <v>982</v>
      </c>
      <c r="N132" s="652">
        <f t="shared" si="26"/>
        <v>24550</v>
      </c>
      <c r="O132" s="1159">
        <f t="shared" si="27"/>
        <v>24400</v>
      </c>
      <c r="P132" s="100"/>
      <c r="Q132" s="100"/>
      <c r="R132" s="100">
        <f>O132/INTGRATE!$N$293</f>
        <v>4880</v>
      </c>
      <c r="S132" s="665">
        <f t="shared" si="38"/>
        <v>5.0307377049180326</v>
      </c>
      <c r="T132" s="403"/>
      <c r="U132" s="136"/>
      <c r="V132" s="836" t="str">
        <f t="shared" si="39"/>
        <v>56225</v>
      </c>
      <c r="W132" s="823">
        <v>362001</v>
      </c>
      <c r="X132" s="386"/>
      <c r="Y132" s="386">
        <v>0</v>
      </c>
      <c r="Z132" s="100">
        <v>0</v>
      </c>
      <c r="AA132" s="100">
        <v>0</v>
      </c>
      <c r="AB132" s="100">
        <v>24400</v>
      </c>
      <c r="AC132" s="100">
        <v>0</v>
      </c>
      <c r="AD132" s="100"/>
      <c r="AE132" s="100"/>
      <c r="AF132" s="100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3"/>
        <v>24400</v>
      </c>
      <c r="BD132" s="786">
        <f t="shared" si="24"/>
        <v>1</v>
      </c>
      <c r="BE132" s="786">
        <f t="shared" si="25"/>
        <v>24400</v>
      </c>
      <c r="BF132" s="328"/>
      <c r="BH132" s="436"/>
    </row>
    <row r="133" spans="1:151" s="38" customFormat="1" ht="15" customHeight="1">
      <c r="A133" s="91">
        <v>121</v>
      </c>
      <c r="B133" s="171" t="s">
        <v>167</v>
      </c>
      <c r="C133" s="172" t="s">
        <v>64</v>
      </c>
      <c r="D133" s="173">
        <v>25</v>
      </c>
      <c r="E133" s="100">
        <v>186</v>
      </c>
      <c r="F133" s="100">
        <f>SUMIF(pro!$A:$A,$V:$V,pro!$N:$N)</f>
        <v>0</v>
      </c>
      <c r="G133" s="100"/>
      <c r="H133" s="100">
        <f>SUMIF(CBIN!$A:$A,BRAN!$V:$V,CBIN!$G:$G)</f>
        <v>0</v>
      </c>
      <c r="I133" s="100">
        <f>SUMIF(data!$D:$D,$B133&amp;$D133,data!$J:$J)</f>
        <v>0</v>
      </c>
      <c r="J133" s="100">
        <f>SUMIF(data!$D:$D,$B133&amp;$D133,data!$K:$K)</f>
        <v>0</v>
      </c>
      <c r="K133" s="100">
        <f>SUMIF(AJOUT!$A:$A,BRAN!$V:$V,AJOUT!$L:$L)</f>
        <v>0</v>
      </c>
      <c r="L133" s="100">
        <f>SUMIF(CBOUT!$A:$A,BRAN!$V:$V,CBOUT!$G:$G)</f>
        <v>0</v>
      </c>
      <c r="M133" s="1158">
        <f>E133+F133+H133-I133-L133+G133-K133</f>
        <v>186</v>
      </c>
      <c r="N133" s="652">
        <f t="shared" si="26"/>
        <v>4650</v>
      </c>
      <c r="O133" s="1159">
        <f t="shared" si="27"/>
        <v>5325</v>
      </c>
      <c r="P133" s="100"/>
      <c r="Q133" s="100"/>
      <c r="R133" s="100">
        <f>O133/INTGRATE!$N$293</f>
        <v>1065</v>
      </c>
      <c r="S133" s="665">
        <f t="shared" si="38"/>
        <v>4.3661971830985919</v>
      </c>
      <c r="T133" s="403"/>
      <c r="U133" s="136"/>
      <c r="V133" s="836" t="str">
        <f t="shared" si="39"/>
        <v>562P25</v>
      </c>
      <c r="W133" s="823">
        <v>364201</v>
      </c>
      <c r="X133" s="386"/>
      <c r="Y133" s="386">
        <v>375</v>
      </c>
      <c r="Z133" s="100">
        <v>675</v>
      </c>
      <c r="AA133" s="100">
        <v>4150</v>
      </c>
      <c r="AB133" s="100">
        <v>125</v>
      </c>
      <c r="AC133" s="100">
        <v>0</v>
      </c>
      <c r="AD133" s="100"/>
      <c r="AE133" s="100"/>
      <c r="AF133" s="100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3"/>
        <v>5325</v>
      </c>
      <c r="BD133" s="786">
        <f t="shared" si="24"/>
        <v>4</v>
      </c>
      <c r="BE133" s="786">
        <f t="shared" si="25"/>
        <v>1331.25</v>
      </c>
      <c r="BH133" s="436"/>
    </row>
    <row r="134" spans="1:151" s="38" customFormat="1" ht="15" customHeight="1">
      <c r="A134" s="91">
        <v>122</v>
      </c>
      <c r="B134" s="171" t="s">
        <v>167</v>
      </c>
      <c r="C134" s="172" t="s">
        <v>64</v>
      </c>
      <c r="D134" s="614" t="s">
        <v>66</v>
      </c>
      <c r="E134" s="100">
        <v>0</v>
      </c>
      <c r="F134" s="425">
        <f>+J134</f>
        <v>12040</v>
      </c>
      <c r="G134" s="425"/>
      <c r="H134" s="100">
        <f>SUMIF(CBIN!$A:$A,BRAN!$V:$V,CBIN!$G:$G)</f>
        <v>0</v>
      </c>
      <c r="I134" s="100">
        <f>SUMIF(data!$D:$D,$B134&amp;$D134,data!$J:$J)</f>
        <v>0</v>
      </c>
      <c r="J134" s="425">
        <f>SUMIF(data!$D:$D,$B134&amp;$D134,data!$K:$K)</f>
        <v>12040</v>
      </c>
      <c r="K134" s="100">
        <f>SUMIF(AJOUT!$A:$A,BRAN!$V:$V,AJOUT!$L:$L)</f>
        <v>0</v>
      </c>
      <c r="L134" s="100">
        <f>SUMIF(CBOUT!$A:$A,BRAN!$V:$V,CBOUT!$G:$G)</f>
        <v>0</v>
      </c>
      <c r="M134" s="528">
        <v>0</v>
      </c>
      <c r="N134" s="652">
        <f t="shared" si="26"/>
        <v>0</v>
      </c>
      <c r="O134" s="1159">
        <f t="shared" si="27"/>
        <v>12040</v>
      </c>
      <c r="P134" s="425"/>
      <c r="Q134" s="425"/>
      <c r="R134" s="425">
        <f>O134/INTGRATE!$N$293</f>
        <v>2408</v>
      </c>
      <c r="S134" s="665">
        <f t="shared" si="38"/>
        <v>0</v>
      </c>
      <c r="T134" s="403"/>
      <c r="U134" s="136"/>
      <c r="V134" s="836" t="str">
        <f t="shared" si="39"/>
        <v>562PSILO</v>
      </c>
      <c r="W134" s="823">
        <v>364201</v>
      </c>
      <c r="X134" s="386"/>
      <c r="Y134" s="386">
        <v>0</v>
      </c>
      <c r="Z134" s="100">
        <v>0</v>
      </c>
      <c r="AA134" s="100">
        <v>0</v>
      </c>
      <c r="AB134" s="100">
        <v>0</v>
      </c>
      <c r="AC134" s="100">
        <v>12040</v>
      </c>
      <c r="AD134" s="100"/>
      <c r="AE134" s="100"/>
      <c r="AF134" s="100"/>
      <c r="AG134" s="100"/>
      <c r="AH134" s="425"/>
      <c r="AI134" s="100"/>
      <c r="AJ134" s="100"/>
      <c r="AK134" s="100"/>
      <c r="AL134" s="100"/>
      <c r="AM134" s="100"/>
      <c r="AN134" s="100"/>
      <c r="AO134" s="425"/>
      <c r="AP134" s="100"/>
      <c r="AQ134" s="425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3"/>
        <v>12040</v>
      </c>
      <c r="BD134" s="786">
        <f t="shared" si="24"/>
        <v>1</v>
      </c>
      <c r="BE134" s="786">
        <f t="shared" si="25"/>
        <v>12040</v>
      </c>
      <c r="BH134" s="436"/>
    </row>
    <row r="135" spans="1:151" s="38" customFormat="1" ht="15" customHeight="1">
      <c r="A135" s="91">
        <v>123</v>
      </c>
      <c r="B135" s="171" t="s">
        <v>168</v>
      </c>
      <c r="C135" s="172" t="s">
        <v>64</v>
      </c>
      <c r="D135" s="614" t="s">
        <v>66</v>
      </c>
      <c r="E135" s="100"/>
      <c r="F135" s="425">
        <f>+J135</f>
        <v>0</v>
      </c>
      <c r="G135" s="425"/>
      <c r="H135" s="100"/>
      <c r="I135" s="100"/>
      <c r="J135" s="425">
        <f>SUMIF(data!$D:$D,$B135&amp;$D135,data!$K:$K)</f>
        <v>0</v>
      </c>
      <c r="K135" s="100"/>
      <c r="L135" s="100"/>
      <c r="M135" s="528"/>
      <c r="N135" s="652"/>
      <c r="O135" s="1159">
        <f>SUM(X135:BB135)</f>
        <v>0</v>
      </c>
      <c r="P135" s="425"/>
      <c r="Q135" s="425"/>
      <c r="R135" s="425">
        <f>O135/INTGRATE!$N$293</f>
        <v>0</v>
      </c>
      <c r="S135" s="665">
        <f>IF(R135=0,0,N135/R135)</f>
        <v>0</v>
      </c>
      <c r="T135" s="403"/>
      <c r="U135" s="136"/>
      <c r="V135" s="836" t="str">
        <f t="shared" si="39"/>
        <v>562PXSILO</v>
      </c>
      <c r="W135" s="823">
        <v>364208</v>
      </c>
      <c r="X135" s="386"/>
      <c r="Y135" s="386">
        <v>0</v>
      </c>
      <c r="Z135" s="100">
        <v>0</v>
      </c>
      <c r="AA135" s="100">
        <v>0</v>
      </c>
      <c r="AB135" s="100">
        <v>0</v>
      </c>
      <c r="AC135" s="100">
        <v>0</v>
      </c>
      <c r="AD135" s="100"/>
      <c r="AE135" s="100"/>
      <c r="AF135" s="100"/>
      <c r="AG135" s="100"/>
      <c r="AH135" s="425"/>
      <c r="AI135" s="100"/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3"/>
        <v>0</v>
      </c>
      <c r="BD135" s="786">
        <f t="shared" si="24"/>
        <v>0</v>
      </c>
      <c r="BE135" s="786">
        <f t="shared" si="25"/>
        <v>0</v>
      </c>
      <c r="BH135" s="436"/>
    </row>
    <row r="136" spans="1:151" s="38" customFormat="1" ht="15" customHeight="1">
      <c r="A136" s="91">
        <v>124</v>
      </c>
      <c r="B136" s="171">
        <v>566</v>
      </c>
      <c r="C136" s="172" t="s">
        <v>64</v>
      </c>
      <c r="D136" s="614" t="s">
        <v>66</v>
      </c>
      <c r="E136" s="425">
        <v>0</v>
      </c>
      <c r="F136" s="425">
        <f>+J136</f>
        <v>0</v>
      </c>
      <c r="G136" s="425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0</v>
      </c>
      <c r="K136" s="100">
        <f>SUMIF(AJOUT!$A:$A,BRAN!$V:$V,AJOUT!$L:$L)</f>
        <v>0</v>
      </c>
      <c r="L136" s="100">
        <f>SUMIF(CBOUT!$A:$A,BRAN!$V:$V,CBOUT!$G:$G)</f>
        <v>0</v>
      </c>
      <c r="M136" s="528">
        <v>0</v>
      </c>
      <c r="N136" s="652">
        <f t="shared" si="26"/>
        <v>0</v>
      </c>
      <c r="O136" s="1159">
        <f t="shared" si="27"/>
        <v>22460</v>
      </c>
      <c r="P136" s="425"/>
      <c r="Q136" s="425"/>
      <c r="R136" s="425">
        <f>O136/INTGRATE!$N$293</f>
        <v>4492</v>
      </c>
      <c r="S136" s="665">
        <f t="shared" si="38"/>
        <v>0</v>
      </c>
      <c r="T136" s="403"/>
      <c r="U136" s="136"/>
      <c r="V136" s="836" t="str">
        <f t="shared" si="39"/>
        <v>566SILO</v>
      </c>
      <c r="W136" s="823">
        <v>364201</v>
      </c>
      <c r="X136" s="386"/>
      <c r="Y136" s="386">
        <v>16830</v>
      </c>
      <c r="Z136" s="100">
        <v>0</v>
      </c>
      <c r="AA136" s="100">
        <v>5630</v>
      </c>
      <c r="AB136" s="100">
        <v>0</v>
      </c>
      <c r="AC136" s="100">
        <v>0</v>
      </c>
      <c r="AD136" s="100"/>
      <c r="AE136" s="100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3"/>
        <v>22460</v>
      </c>
      <c r="BD136" s="786">
        <f t="shared" si="24"/>
        <v>2</v>
      </c>
      <c r="BE136" s="786">
        <f t="shared" si="25"/>
        <v>11230</v>
      </c>
      <c r="BH136" s="436"/>
    </row>
    <row r="137" spans="1:151" s="38" customFormat="1" ht="15" customHeight="1">
      <c r="A137" s="91">
        <v>125</v>
      </c>
      <c r="B137" s="171">
        <v>566</v>
      </c>
      <c r="C137" s="172" t="s">
        <v>64</v>
      </c>
      <c r="D137" s="173">
        <v>25</v>
      </c>
      <c r="E137" s="100">
        <v>3528</v>
      </c>
      <c r="F137" s="100">
        <f>SUMIF(pro!$A:$A,$V:$V,pro!$N:$N)</f>
        <v>0</v>
      </c>
      <c r="G137" s="100"/>
      <c r="H137" s="100">
        <f>SUMIF(CBIN!$A:$A,BRAN!$V:$V,CBIN!$G:$G)</f>
        <v>0</v>
      </c>
      <c r="I137" s="100">
        <f>SUMIF(data!$D:$D,$B137&amp;$D137,data!$J:$J)</f>
        <v>628</v>
      </c>
      <c r="J137" s="100">
        <f>SUMIF(data!$D:$D,$B137&amp;$D137,data!$K:$K)</f>
        <v>15700</v>
      </c>
      <c r="K137" s="100">
        <f>SUMIF(AJOUT!$A:$A,BRAN!$V:$V,AJOUT!$L:$L)</f>
        <v>0</v>
      </c>
      <c r="L137" s="100">
        <f>SUMIF(CBOUT!$A:$A,BRAN!$V:$V,CBOUT!$G:$G)</f>
        <v>0</v>
      </c>
      <c r="M137" s="1158">
        <f>E137+F137+H137-I137-L137+G137-K137</f>
        <v>2900</v>
      </c>
      <c r="N137" s="652">
        <f t="shared" si="26"/>
        <v>72500</v>
      </c>
      <c r="O137" s="1159">
        <f t="shared" si="27"/>
        <v>103025</v>
      </c>
      <c r="P137" s="100"/>
      <c r="Q137" s="100"/>
      <c r="R137" s="100">
        <f>O137/INTGRATE!$N$293</f>
        <v>20605</v>
      </c>
      <c r="S137" s="665">
        <f t="shared" si="38"/>
        <v>3.5185634554719729</v>
      </c>
      <c r="T137" s="403"/>
      <c r="U137" s="136"/>
      <c r="V137" s="836" t="str">
        <f t="shared" si="39"/>
        <v>56625</v>
      </c>
      <c r="W137" s="823">
        <v>366201</v>
      </c>
      <c r="X137" s="386"/>
      <c r="Y137" s="386">
        <v>32000</v>
      </c>
      <c r="Z137" s="100">
        <v>2750</v>
      </c>
      <c r="AA137" s="100">
        <v>32725</v>
      </c>
      <c r="AB137" s="100">
        <v>19850</v>
      </c>
      <c r="AC137" s="100">
        <v>15700</v>
      </c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3"/>
        <v>103025</v>
      </c>
      <c r="BD137" s="786">
        <f t="shared" si="24"/>
        <v>5</v>
      </c>
      <c r="BE137" s="786">
        <f t="shared" si="25"/>
        <v>20605</v>
      </c>
      <c r="BH137" s="436"/>
    </row>
    <row r="138" spans="1:151" s="38" customFormat="1" ht="15" customHeight="1">
      <c r="A138" s="91">
        <v>126</v>
      </c>
      <c r="B138" s="171" t="s">
        <v>169</v>
      </c>
      <c r="C138" s="172" t="s">
        <v>64</v>
      </c>
      <c r="D138" s="173">
        <v>25</v>
      </c>
      <c r="E138" s="100">
        <v>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100">
        <f>SUMIF(AJOUT!$A:$A,BRAN!$V:$V,AJOUT!$L:$L)</f>
        <v>0</v>
      </c>
      <c r="L138" s="100"/>
      <c r="M138" s="1158">
        <f>E138+F138+H138-I138-L138+G138-K138</f>
        <v>0</v>
      </c>
      <c r="N138" s="652">
        <f t="shared" si="26"/>
        <v>0</v>
      </c>
      <c r="O138" s="1159">
        <f t="shared" si="27"/>
        <v>0</v>
      </c>
      <c r="P138" s="100"/>
      <c r="Q138" s="100"/>
      <c r="R138" s="100">
        <f>O138/INTGRATE!$N$293</f>
        <v>0</v>
      </c>
      <c r="S138" s="665">
        <f>IF(R138=0,0,N138/R138)</f>
        <v>0</v>
      </c>
      <c r="T138" s="403"/>
      <c r="U138" s="136"/>
      <c r="V138" s="836" t="str">
        <f t="shared" si="39"/>
        <v>566X25</v>
      </c>
      <c r="W138" s="823">
        <v>366208</v>
      </c>
      <c r="X138" s="386"/>
      <c r="Y138" s="386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/>
      <c r="AE138" s="100"/>
      <c r="AF138" s="100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3"/>
        <v>0</v>
      </c>
      <c r="BD138" s="786">
        <f t="shared" si="24"/>
        <v>0</v>
      </c>
      <c r="BE138" s="786">
        <f t="shared" si="25"/>
        <v>0</v>
      </c>
      <c r="BH138" s="436"/>
    </row>
    <row r="139" spans="1:151" s="38" customFormat="1" ht="15" customHeight="1">
      <c r="A139" s="91">
        <v>127</v>
      </c>
      <c r="B139" s="171" t="s">
        <v>169</v>
      </c>
      <c r="C139" s="172" t="s">
        <v>64</v>
      </c>
      <c r="D139" s="616" t="s">
        <v>66</v>
      </c>
      <c r="E139" s="100"/>
      <c r="F139" s="100">
        <f>J139</f>
        <v>0</v>
      </c>
      <c r="G139" s="100"/>
      <c r="H139" s="100"/>
      <c r="I139" s="100"/>
      <c r="J139" s="100">
        <f>SUMIF(data!$D:$D,$B139&amp;$D139,data!$K:$K)</f>
        <v>0</v>
      </c>
      <c r="K139" s="100"/>
      <c r="L139" s="100"/>
      <c r="M139" s="1158"/>
      <c r="N139" s="652">
        <f t="shared" si="26"/>
        <v>0</v>
      </c>
      <c r="O139" s="1159">
        <f t="shared" si="27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39"/>
        <v>566XSILO</v>
      </c>
      <c r="W139" s="823">
        <v>366208</v>
      </c>
      <c r="X139" s="386"/>
      <c r="Y139" s="386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/>
      <c r="AE139" s="100"/>
      <c r="AF139" s="100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3"/>
        <v>0</v>
      </c>
      <c r="BD139" s="786">
        <f t="shared" si="24"/>
        <v>0</v>
      </c>
      <c r="BE139" s="786">
        <f t="shared" si="25"/>
        <v>0</v>
      </c>
      <c r="BH139" s="436"/>
    </row>
    <row r="140" spans="1:151" s="38" customFormat="1" ht="15" customHeight="1">
      <c r="A140" s="91">
        <v>128</v>
      </c>
      <c r="B140" s="171">
        <f>567</f>
        <v>567</v>
      </c>
      <c r="C140" s="172" t="s">
        <v>64</v>
      </c>
      <c r="D140" s="173">
        <v>25</v>
      </c>
      <c r="E140" s="100">
        <v>200</v>
      </c>
      <c r="F140" s="100">
        <f>SUMIF(pro!$A:$A,$V:$V,pro!$N:$N)</f>
        <v>0</v>
      </c>
      <c r="G140" s="100"/>
      <c r="H140" s="100">
        <f>SUMIF(CBIN!$A:$A,BRAN!$V:$V,CBIN!$G:$G)</f>
        <v>0</v>
      </c>
      <c r="I140" s="100">
        <f>SUMIF(data!$D:$D,$B140&amp;$D140,data!$J:$J)</f>
        <v>200</v>
      </c>
      <c r="J140" s="100">
        <f>SUMIF(data!$D:$D,$B140&amp;$D140,data!$K:$K)</f>
        <v>5000</v>
      </c>
      <c r="K140" s="100">
        <f>SUMIF(AJOUT!$A:$A,BRAN!$V:$V,AJOUT!$L:$L)</f>
        <v>0</v>
      </c>
      <c r="L140" s="100">
        <f>SUMIF(CBOUT!$A:$A,BRAN!$V:$V,CBOUT!$G:$G)</f>
        <v>0</v>
      </c>
      <c r="M140" s="1158">
        <f>E140+F140+H140-I140-L140+G140-K140</f>
        <v>0</v>
      </c>
      <c r="N140" s="652">
        <f t="shared" si="26"/>
        <v>0</v>
      </c>
      <c r="O140" s="1159">
        <f t="shared" si="27"/>
        <v>24400</v>
      </c>
      <c r="P140" s="100"/>
      <c r="Q140" s="100"/>
      <c r="R140" s="100">
        <f>O140/INTGRATE!$N$293</f>
        <v>4880</v>
      </c>
      <c r="S140" s="665">
        <f t="shared" si="38"/>
        <v>0</v>
      </c>
      <c r="T140" s="402"/>
      <c r="U140" s="136"/>
      <c r="V140" s="836" t="str">
        <f t="shared" si="39"/>
        <v>56725</v>
      </c>
      <c r="W140" s="823">
        <v>367201</v>
      </c>
      <c r="X140" s="386"/>
      <c r="Y140" s="386">
        <v>5475</v>
      </c>
      <c r="Z140" s="100">
        <v>750</v>
      </c>
      <c r="AA140" s="100">
        <v>6975</v>
      </c>
      <c r="AB140" s="100">
        <v>6200</v>
      </c>
      <c r="AC140" s="100">
        <v>5000</v>
      </c>
      <c r="AD140" s="100"/>
      <c r="AE140" s="100"/>
      <c r="AF140" s="100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3"/>
        <v>24400</v>
      </c>
      <c r="BD140" s="786">
        <f t="shared" si="24"/>
        <v>5</v>
      </c>
      <c r="BE140" s="786">
        <f t="shared" si="25"/>
        <v>4880</v>
      </c>
      <c r="BH140" s="436"/>
    </row>
    <row r="141" spans="1:151" s="38" customFormat="1" ht="15" customHeight="1">
      <c r="A141" s="91">
        <v>129</v>
      </c>
      <c r="B141" s="171" t="s">
        <v>170</v>
      </c>
      <c r="C141" s="172" t="s">
        <v>64</v>
      </c>
      <c r="D141" s="614" t="s">
        <v>66</v>
      </c>
      <c r="E141" s="529"/>
      <c r="F141" s="425">
        <f>+J141</f>
        <v>12020</v>
      </c>
      <c r="G141" s="425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12020</v>
      </c>
      <c r="K141" s="100">
        <f>SUMIF(AJOUT!$A:$A,BRAN!$V:$V,AJOUT!$L:$L)</f>
        <v>0</v>
      </c>
      <c r="L141" s="100">
        <f>SUMIF(CBOUT!$A:$A,BRAN!$V:$V,CBOUT!$G:$G)</f>
        <v>0</v>
      </c>
      <c r="M141" s="528"/>
      <c r="N141" s="652">
        <f t="shared" si="26"/>
        <v>0</v>
      </c>
      <c r="O141" s="1159">
        <f t="shared" si="27"/>
        <v>12020</v>
      </c>
      <c r="P141" s="425"/>
      <c r="Q141" s="425"/>
      <c r="R141" s="425">
        <f>O141/INTGRATE!$N$293</f>
        <v>2404</v>
      </c>
      <c r="S141" s="665">
        <f t="shared" si="38"/>
        <v>0</v>
      </c>
      <c r="T141" s="403"/>
      <c r="U141" s="136"/>
      <c r="V141" s="836" t="str">
        <f t="shared" si="39"/>
        <v>567SSILO</v>
      </c>
      <c r="W141" s="823">
        <v>367101</v>
      </c>
      <c r="X141" s="386"/>
      <c r="Y141" s="386">
        <v>0</v>
      </c>
      <c r="Z141" s="100">
        <v>0</v>
      </c>
      <c r="AA141" s="100">
        <v>0</v>
      </c>
      <c r="AB141" s="100">
        <v>0</v>
      </c>
      <c r="AC141" s="100">
        <v>12020</v>
      </c>
      <c r="AD141" s="100"/>
      <c r="AE141" s="100"/>
      <c r="AF141" s="100"/>
      <c r="AG141" s="100"/>
      <c r="AH141" s="425"/>
      <c r="AI141" s="100"/>
      <c r="AJ141" s="100"/>
      <c r="AK141" s="100"/>
      <c r="AL141" s="100"/>
      <c r="AM141" s="100"/>
      <c r="AN141" s="100"/>
      <c r="AO141" s="425"/>
      <c r="AP141" s="100"/>
      <c r="AQ141" s="425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3"/>
        <v>12020</v>
      </c>
      <c r="BD141" s="786">
        <f t="shared" si="24"/>
        <v>1</v>
      </c>
      <c r="BE141" s="786">
        <f t="shared" si="25"/>
        <v>12020</v>
      </c>
      <c r="BH141" s="436"/>
    </row>
    <row r="142" spans="1:151" s="38" customFormat="1" ht="15" customHeight="1">
      <c r="A142" s="91">
        <v>130</v>
      </c>
      <c r="B142" s="171" t="s">
        <v>171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/>
      <c r="I142" s="100"/>
      <c r="J142" s="425">
        <f>SUMIF(data!$D:$D,$B142&amp;$D142,data!$K:$K)</f>
        <v>0</v>
      </c>
      <c r="K142" s="100"/>
      <c r="L142" s="100"/>
      <c r="M142" s="528"/>
      <c r="N142" s="652">
        <f t="shared" si="26"/>
        <v>0</v>
      </c>
      <c r="O142" s="1159">
        <f t="shared" si="27"/>
        <v>0</v>
      </c>
      <c r="P142" s="425"/>
      <c r="Q142" s="425"/>
      <c r="R142" s="425">
        <f>O142/INTGRATE!$N$293</f>
        <v>0</v>
      </c>
      <c r="S142" s="665">
        <f>IF(R142=0,0,N142/R142)</f>
        <v>0</v>
      </c>
      <c r="T142" s="403"/>
      <c r="U142" s="136"/>
      <c r="V142" s="836" t="str">
        <f t="shared" si="39"/>
        <v>567SXSILO</v>
      </c>
      <c r="W142" s="823">
        <v>367108</v>
      </c>
      <c r="X142" s="386"/>
      <c r="Y142" s="386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/>
      <c r="AE142" s="100"/>
      <c r="AF142" s="100"/>
      <c r="AG142" s="100"/>
      <c r="AH142" s="425"/>
      <c r="AI142" s="100"/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3"/>
        <v>0</v>
      </c>
      <c r="BD142" s="786">
        <f t="shared" si="24"/>
        <v>0</v>
      </c>
      <c r="BE142" s="786">
        <f t="shared" si="25"/>
        <v>0</v>
      </c>
      <c r="BH142" s="436"/>
    </row>
    <row r="143" spans="1:151" s="38" customFormat="1" ht="15" customHeight="1">
      <c r="A143" s="91">
        <v>131</v>
      </c>
      <c r="B143" s="171" t="s">
        <v>170</v>
      </c>
      <c r="C143" s="172" t="s">
        <v>64</v>
      </c>
      <c r="D143" s="173">
        <v>25</v>
      </c>
      <c r="E143" s="717">
        <v>4</v>
      </c>
      <c r="F143" s="100">
        <f>SUMIF(pro!$A:$A,$V:$V,pro!$N:$N)</f>
        <v>1003</v>
      </c>
      <c r="G143" s="100"/>
      <c r="H143" s="100">
        <f>SUMIF(CBIN!$A:$A,BRAN!$V:$V,CBIN!$G:$G)</f>
        <v>0</v>
      </c>
      <c r="I143" s="100">
        <f>SUMIF(data!$D:$D,$B143&amp;$D143,data!$J:$J)</f>
        <v>504</v>
      </c>
      <c r="J143" s="100">
        <f>SUMIF(data!$D:$D,$B143&amp;$D143,data!$K:$K)</f>
        <v>12600</v>
      </c>
      <c r="K143" s="100">
        <f>SUMIF(AJOUT!$A:$A,BRAN!$V:$V,AJOUT!$L:$L)</f>
        <v>0</v>
      </c>
      <c r="L143" s="100">
        <f>SUMIF(CBOUT!$A:$A,BRAN!$V:$V,CBOUT!$G:$G)</f>
        <v>0</v>
      </c>
      <c r="M143" s="1158">
        <f t="shared" ref="M143:M149" si="43">E143+F143+H143-I143-L143+G143-K143</f>
        <v>503</v>
      </c>
      <c r="N143" s="652">
        <f t="shared" si="26"/>
        <v>12575</v>
      </c>
      <c r="O143" s="1159">
        <f t="shared" si="27"/>
        <v>111325</v>
      </c>
      <c r="P143" s="100"/>
      <c r="Q143" s="100"/>
      <c r="R143" s="100">
        <f>O143/INTGRATE!$N$293</f>
        <v>22265</v>
      </c>
      <c r="S143" s="665">
        <f t="shared" si="38"/>
        <v>0.56478778351673031</v>
      </c>
      <c r="T143" s="403"/>
      <c r="U143" s="136"/>
      <c r="V143" s="836" t="str">
        <f t="shared" si="39"/>
        <v>567S25</v>
      </c>
      <c r="W143" s="823">
        <v>367101</v>
      </c>
      <c r="X143" s="386"/>
      <c r="Y143" s="386">
        <v>32975</v>
      </c>
      <c r="Z143" s="100">
        <v>1375</v>
      </c>
      <c r="AA143" s="100">
        <v>28125</v>
      </c>
      <c r="AB143" s="100">
        <v>36250</v>
      </c>
      <c r="AC143" s="100">
        <v>12600</v>
      </c>
      <c r="AD143" s="100"/>
      <c r="AE143" s="100"/>
      <c r="AF143" s="100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3"/>
        <v>111325</v>
      </c>
      <c r="BD143" s="786">
        <f t="shared" si="24"/>
        <v>5</v>
      </c>
      <c r="BE143" s="786">
        <f t="shared" si="25"/>
        <v>22265</v>
      </c>
      <c r="BH143" s="436"/>
    </row>
    <row r="144" spans="1:151" s="95" customFormat="1" ht="15" customHeight="1">
      <c r="A144" s="91">
        <v>132</v>
      </c>
      <c r="B144" s="410">
        <v>584</v>
      </c>
      <c r="C144" s="464" t="s">
        <v>64</v>
      </c>
      <c r="D144" s="1174">
        <v>25</v>
      </c>
      <c r="E144" s="717">
        <v>403</v>
      </c>
      <c r="F144" s="100">
        <f>SUMIF(pro!$A:$A,$V:$V,pro!$N:$N)</f>
        <v>0</v>
      </c>
      <c r="G144" s="100"/>
      <c r="H144" s="100">
        <f>SUMIF(CBIN!$A:$A,BRAN!$V:$V,CBIN!$G:$G)</f>
        <v>0</v>
      </c>
      <c r="I144" s="100">
        <f>SUMIF(data!$D:$D,$B144&amp;$D144,data!$J:$J)</f>
        <v>32</v>
      </c>
      <c r="J144" s="100">
        <f>SUMIF(data!$D:$D,$B144&amp;$D144,data!$K:$K)</f>
        <v>800</v>
      </c>
      <c r="K144" s="100">
        <f>SUMIF(AJOUT!$A:$A,BRAN!$V:$V,AJOUT!$L:$L)</f>
        <v>0</v>
      </c>
      <c r="L144" s="100">
        <f>SUMIF(CBOUT!$A:$A,BRAN!$V:$V,CBOUT!$G:$G)</f>
        <v>0</v>
      </c>
      <c r="M144" s="1158">
        <f t="shared" si="43"/>
        <v>371</v>
      </c>
      <c r="N144" s="652">
        <f t="shared" si="26"/>
        <v>9275</v>
      </c>
      <c r="O144" s="1159">
        <f t="shared" si="27"/>
        <v>2600</v>
      </c>
      <c r="P144" s="804"/>
      <c r="Q144" s="804"/>
      <c r="R144" s="100">
        <f>O144/INTGRATE!$N$293</f>
        <v>520</v>
      </c>
      <c r="S144" s="665">
        <f t="shared" si="38"/>
        <v>17.83653846153846</v>
      </c>
      <c r="T144" s="403"/>
      <c r="U144" s="136"/>
      <c r="V144" s="836" t="str">
        <f t="shared" si="39"/>
        <v>58425</v>
      </c>
      <c r="W144" s="823">
        <v>433001</v>
      </c>
      <c r="X144" s="386"/>
      <c r="Y144" s="386">
        <v>625</v>
      </c>
      <c r="Z144" s="100">
        <v>0</v>
      </c>
      <c r="AA144" s="100">
        <v>425</v>
      </c>
      <c r="AB144" s="100">
        <v>750</v>
      </c>
      <c r="AC144" s="100">
        <v>800</v>
      </c>
      <c r="AD144" s="100"/>
      <c r="AE144" s="100"/>
      <c r="AF144" s="100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3"/>
        <v>2600</v>
      </c>
      <c r="BD144" s="786">
        <f t="shared" si="24"/>
        <v>4</v>
      </c>
      <c r="BE144" s="786">
        <f t="shared" si="25"/>
        <v>650</v>
      </c>
      <c r="BF144" s="38"/>
      <c r="BG144" s="38"/>
      <c r="BH144" s="436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10" t="s">
        <v>172</v>
      </c>
      <c r="C145" s="464" t="s">
        <v>64</v>
      </c>
      <c r="D145" s="1174">
        <v>25</v>
      </c>
      <c r="E145" s="717">
        <v>0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100">
        <f>SUMIF(AJOUT!$A:$A,BRAN!$V:$V,AJOUT!$L:$L)</f>
        <v>0</v>
      </c>
      <c r="L145" s="100">
        <f>SUMIF(CBOUT!$A:$A,BRAN!$V:$V,CBOUT!$G:$G)</f>
        <v>0</v>
      </c>
      <c r="M145" s="1158">
        <f t="shared" si="43"/>
        <v>0</v>
      </c>
      <c r="N145" s="652">
        <f t="shared" si="26"/>
        <v>0</v>
      </c>
      <c r="O145" s="1159">
        <f t="shared" si="27"/>
        <v>0</v>
      </c>
      <c r="P145" s="804"/>
      <c r="Q145" s="804"/>
      <c r="R145" s="100">
        <f>O145/INTGRATE!$N$293</f>
        <v>0</v>
      </c>
      <c r="S145" s="665">
        <f>IF(R145=0,0,N145/R145)</f>
        <v>0</v>
      </c>
      <c r="T145" s="403"/>
      <c r="U145" s="136"/>
      <c r="V145" s="836" t="str">
        <f t="shared" si="39"/>
        <v>571 O125</v>
      </c>
      <c r="W145" s="823">
        <v>411001</v>
      </c>
      <c r="X145" s="389"/>
      <c r="Y145" s="389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/>
      <c r="AE145" s="100"/>
      <c r="AF145" s="100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3"/>
        <v>0</v>
      </c>
      <c r="BD145" s="786">
        <f t="shared" si="24"/>
        <v>0</v>
      </c>
      <c r="BE145" s="786">
        <f t="shared" si="25"/>
        <v>0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173</v>
      </c>
      <c r="C146" s="464" t="s">
        <v>64</v>
      </c>
      <c r="D146" s="1174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58">
        <f t="shared" si="43"/>
        <v>0</v>
      </c>
      <c r="N146" s="652">
        <f t="shared" si="26"/>
        <v>0</v>
      </c>
      <c r="O146" s="1159">
        <f t="shared" si="27"/>
        <v>0</v>
      </c>
      <c r="P146" s="804"/>
      <c r="Q146" s="804"/>
      <c r="R146" s="100">
        <f>O146/INTGRATE!$N$293</f>
        <v>0</v>
      </c>
      <c r="S146" s="665">
        <f t="shared" si="38"/>
        <v>0</v>
      </c>
      <c r="T146" s="403"/>
      <c r="U146" s="136"/>
      <c r="V146" s="836" t="str">
        <f t="shared" si="39"/>
        <v>585S25</v>
      </c>
      <c r="W146" s="823">
        <v>433011</v>
      </c>
      <c r="X146" s="389"/>
      <c r="Y146" s="389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/>
      <c r="AE146" s="100"/>
      <c r="AF146" s="100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3"/>
        <v>0</v>
      </c>
      <c r="BD146" s="786">
        <f t="shared" si="24"/>
        <v>0</v>
      </c>
      <c r="BE146" s="786">
        <f t="shared" si="25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>
        <v>596</v>
      </c>
      <c r="C147" s="464" t="s">
        <v>64</v>
      </c>
      <c r="D147" s="1174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58">
        <f t="shared" si="43"/>
        <v>0</v>
      </c>
      <c r="N147" s="652">
        <f t="shared" si="26"/>
        <v>0</v>
      </c>
      <c r="O147" s="1159">
        <f t="shared" si="27"/>
        <v>0</v>
      </c>
      <c r="P147" s="804"/>
      <c r="Q147" s="804"/>
      <c r="R147" s="100">
        <f>O147/INTGRATE!$N$293</f>
        <v>0</v>
      </c>
      <c r="S147" s="665">
        <f t="shared" si="38"/>
        <v>0</v>
      </c>
      <c r="T147" s="403"/>
      <c r="U147" s="136"/>
      <c r="V147" s="836" t="str">
        <f t="shared" si="39"/>
        <v>59625</v>
      </c>
      <c r="W147" s="823">
        <v>424001</v>
      </c>
      <c r="X147" s="389"/>
      <c r="Y147" s="389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/>
      <c r="AE147" s="100"/>
      <c r="AF147" s="100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ref="BC147:BC149" si="44">SUM(X147:BB147)</f>
        <v>0</v>
      </c>
      <c r="BD147" s="786">
        <f t="shared" ref="BD147:BD149" si="45">COUNTIF(X147:BB147,"&gt;0")</f>
        <v>0</v>
      </c>
      <c r="BE147" s="786">
        <f t="shared" ref="BE147:BE149" si="46">IFERROR(BC147/BD147,0)</f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594</v>
      </c>
      <c r="C148" s="464" t="s">
        <v>64</v>
      </c>
      <c r="D148" s="1174">
        <v>25</v>
      </c>
      <c r="E148" s="717">
        <v>601</v>
      </c>
      <c r="F148" s="100">
        <f>SUMIF(pro!$A:$A,$V:$V,pro!$N:$N)</f>
        <v>0</v>
      </c>
      <c r="G148" s="100"/>
      <c r="H148" s="100">
        <f>SUMIF(CBIN!$A:$A,BRAN!$V:$V,CBIN!$G:$G)</f>
        <v>0</v>
      </c>
      <c r="I148" s="100">
        <f>SUMIF(data!$D:$D,$B148&amp;$D148,data!$J:$J)</f>
        <v>40</v>
      </c>
      <c r="J148" s="100">
        <f>SUMIF(data!$D:$D,$B148&amp;$D148,data!$K:$K)</f>
        <v>1000</v>
      </c>
      <c r="K148" s="100">
        <f>SUMIF(AJOUT!$A:$A,BRAN!$V:$V,AJOUT!$L:$L)</f>
        <v>0</v>
      </c>
      <c r="L148" s="100">
        <f>SUMIF(CBOUT!$A:$A,BRAN!$V:$V,CBOUT!$G:$G)</f>
        <v>0</v>
      </c>
      <c r="M148" s="1158">
        <f t="shared" si="43"/>
        <v>561</v>
      </c>
      <c r="N148" s="652">
        <f t="shared" si="26"/>
        <v>14025</v>
      </c>
      <c r="O148" s="1159">
        <f t="shared" si="27"/>
        <v>3500</v>
      </c>
      <c r="P148" s="804"/>
      <c r="Q148" s="804"/>
      <c r="R148" s="100">
        <f>O148/INTGRATE!$N$293</f>
        <v>700</v>
      </c>
      <c r="S148" s="665">
        <f t="shared" si="38"/>
        <v>20.035714285714285</v>
      </c>
      <c r="T148" s="403"/>
      <c r="U148" s="136"/>
      <c r="V148" s="836" t="str">
        <f t="shared" si="39"/>
        <v>59425</v>
      </c>
      <c r="W148" s="823">
        <v>422001</v>
      </c>
      <c r="X148" s="389"/>
      <c r="Y148" s="389">
        <v>0</v>
      </c>
      <c r="Z148" s="100">
        <v>2500</v>
      </c>
      <c r="AA148" s="100">
        <v>0</v>
      </c>
      <c r="AB148" s="100">
        <v>0</v>
      </c>
      <c r="AC148" s="100">
        <v>1000</v>
      </c>
      <c r="AD148" s="100"/>
      <c r="AE148" s="100"/>
      <c r="AF148" s="100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si="44"/>
        <v>3500</v>
      </c>
      <c r="BD148" s="786">
        <f t="shared" si="45"/>
        <v>2</v>
      </c>
      <c r="BE148" s="786">
        <f t="shared" si="46"/>
        <v>1750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595</v>
      </c>
      <c r="C149" s="464" t="s">
        <v>64</v>
      </c>
      <c r="D149" s="1174">
        <v>25</v>
      </c>
      <c r="E149" s="717">
        <v>1320</v>
      </c>
      <c r="F149" s="100">
        <f>SUMIF(pro!$A:$A,$V:$V,pro!$N:$N)</f>
        <v>0</v>
      </c>
      <c r="G149" s="100"/>
      <c r="H149" s="100">
        <f>SUMIF(CBIN!$A:$A,BRAN!$V:$V,CBIN!$G:$G)</f>
        <v>0</v>
      </c>
      <c r="I149" s="100">
        <f>SUMIF(data!$D:$D,$B149&amp;$D149,data!$J:$J)</f>
        <v>132</v>
      </c>
      <c r="J149" s="100">
        <f>SUMIF(data!$D:$D,$B149&amp;$D149,data!$K:$K)</f>
        <v>3300</v>
      </c>
      <c r="K149" s="100">
        <f>SUMIF(AJOUT!$A:$A,BRAN!$V:$V,AJOUT!$L:$L)</f>
        <v>0</v>
      </c>
      <c r="L149" s="100">
        <f>SUMIF(CBOUT!$A:$A,BRAN!$V:$V,CBOUT!$G:$G)</f>
        <v>0</v>
      </c>
      <c r="M149" s="1158">
        <f t="shared" si="43"/>
        <v>1188</v>
      </c>
      <c r="N149" s="652">
        <f t="shared" si="26"/>
        <v>29700</v>
      </c>
      <c r="O149" s="1159">
        <f t="shared" si="27"/>
        <v>29475</v>
      </c>
      <c r="P149" s="804"/>
      <c r="Q149" s="804"/>
      <c r="R149" s="100">
        <f>O149/INTGRATE!$N$293</f>
        <v>5895</v>
      </c>
      <c r="S149" s="665">
        <f t="shared" si="38"/>
        <v>5.0381679389312977</v>
      </c>
      <c r="T149" s="511"/>
      <c r="U149" s="136"/>
      <c r="V149" s="836" t="str">
        <f t="shared" si="39"/>
        <v>59525</v>
      </c>
      <c r="W149" s="823">
        <v>423001</v>
      </c>
      <c r="X149" s="389"/>
      <c r="Y149" s="389">
        <v>2000</v>
      </c>
      <c r="Z149" s="157">
        <v>1375</v>
      </c>
      <c r="AA149" s="157">
        <v>11925</v>
      </c>
      <c r="AB149" s="157">
        <v>10875</v>
      </c>
      <c r="AC149" s="157">
        <v>3300</v>
      </c>
      <c r="AD149" s="157"/>
      <c r="AE149" s="157"/>
      <c r="AF149" s="157"/>
      <c r="AG149" s="157"/>
      <c r="AH149" s="100"/>
      <c r="AI149" s="157"/>
      <c r="AJ149" s="157"/>
      <c r="AK149" s="157"/>
      <c r="AL149" s="157"/>
      <c r="AM149" s="157"/>
      <c r="AN149" s="157"/>
      <c r="AO149" s="100"/>
      <c r="AP149" s="157"/>
      <c r="AQ149" s="100"/>
      <c r="AR149" s="157"/>
      <c r="AS149" s="157"/>
      <c r="AT149" s="157"/>
      <c r="AU149" s="157"/>
      <c r="AV149" s="157"/>
      <c r="AW149" s="157"/>
      <c r="AX149" s="230"/>
      <c r="AY149" s="157"/>
      <c r="AZ149" s="157"/>
      <c r="BA149" s="157"/>
      <c r="BB149" s="157"/>
      <c r="BC149" s="276">
        <f t="shared" si="44"/>
        <v>29475</v>
      </c>
      <c r="BD149" s="786">
        <f t="shared" si="45"/>
        <v>5</v>
      </c>
      <c r="BE149" s="786">
        <f t="shared" si="46"/>
        <v>5895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099" t="s">
        <v>69</v>
      </c>
      <c r="B150" s="1100"/>
      <c r="C150" s="1100"/>
      <c r="D150" s="1101"/>
      <c r="E150" s="64"/>
      <c r="F150" s="64"/>
      <c r="G150" s="64"/>
      <c r="H150" s="64"/>
      <c r="I150" s="64"/>
      <c r="J150" s="64"/>
      <c r="K150" s="64"/>
      <c r="L150" s="64"/>
      <c r="M150" s="588"/>
      <c r="N150" s="64"/>
      <c r="O150" s="124"/>
      <c r="P150" s="64">
        <f>SUM(P13:P19)</f>
        <v>935325</v>
      </c>
      <c r="Q150" s="64">
        <f>SUM(Q13:Q19)</f>
        <v>1874095</v>
      </c>
      <c r="R150" s="64"/>
      <c r="S150" s="99"/>
      <c r="T150" s="1105"/>
      <c r="U150" s="137"/>
      <c r="V150" s="834" t="str">
        <f t="shared" si="39"/>
        <v/>
      </c>
      <c r="W150" s="831"/>
      <c r="X150" s="557">
        <f t="shared" ref="X150:BB150" si="47">SUM(X13:X149)</f>
        <v>0</v>
      </c>
      <c r="Y150" s="557">
        <f t="shared" si="47"/>
        <v>492560</v>
      </c>
      <c r="Z150" s="557">
        <f t="shared" si="47"/>
        <v>134085</v>
      </c>
      <c r="AA150" s="557">
        <f t="shared" si="47"/>
        <v>467085</v>
      </c>
      <c r="AB150" s="557">
        <f t="shared" si="47"/>
        <v>403845</v>
      </c>
      <c r="AC150" s="557">
        <f t="shared" si="47"/>
        <v>376520</v>
      </c>
      <c r="AD150" s="557">
        <f t="shared" si="47"/>
        <v>0</v>
      </c>
      <c r="AE150" s="557">
        <f t="shared" si="47"/>
        <v>0</v>
      </c>
      <c r="AF150" s="557">
        <f t="shared" si="47"/>
        <v>0</v>
      </c>
      <c r="AG150" s="557">
        <f t="shared" si="47"/>
        <v>0</v>
      </c>
      <c r="AH150" s="557">
        <f t="shared" si="47"/>
        <v>0</v>
      </c>
      <c r="AI150" s="557">
        <f t="shared" si="47"/>
        <v>0</v>
      </c>
      <c r="AJ150" s="557">
        <f t="shared" si="47"/>
        <v>0</v>
      </c>
      <c r="AK150" s="557">
        <f t="shared" si="47"/>
        <v>0</v>
      </c>
      <c r="AL150" s="557">
        <f t="shared" si="47"/>
        <v>0</v>
      </c>
      <c r="AM150" s="557">
        <f t="shared" si="47"/>
        <v>0</v>
      </c>
      <c r="AN150" s="557">
        <f t="shared" si="47"/>
        <v>0</v>
      </c>
      <c r="AO150" s="557">
        <f t="shared" si="47"/>
        <v>0</v>
      </c>
      <c r="AP150" s="557">
        <f t="shared" si="47"/>
        <v>0</v>
      </c>
      <c r="AQ150" s="557">
        <f t="shared" si="47"/>
        <v>0</v>
      </c>
      <c r="AR150" s="557">
        <f t="shared" si="47"/>
        <v>0</v>
      </c>
      <c r="AS150" s="557">
        <f t="shared" si="47"/>
        <v>0</v>
      </c>
      <c r="AT150" s="557">
        <f t="shared" si="47"/>
        <v>0</v>
      </c>
      <c r="AU150" s="557">
        <f t="shared" si="47"/>
        <v>0</v>
      </c>
      <c r="AV150" s="557">
        <f t="shared" si="47"/>
        <v>0</v>
      </c>
      <c r="AW150" s="557">
        <f t="shared" si="47"/>
        <v>0</v>
      </c>
      <c r="AX150" s="557">
        <f t="shared" ref="AX150" si="48">SUM(AX13:AX149)</f>
        <v>0</v>
      </c>
      <c r="AY150" s="557">
        <f t="shared" si="47"/>
        <v>0</v>
      </c>
      <c r="AZ150" s="557">
        <f t="shared" si="47"/>
        <v>0</v>
      </c>
      <c r="BA150" s="557">
        <f t="shared" si="47"/>
        <v>0</v>
      </c>
      <c r="BB150" s="557">
        <f t="shared" si="47"/>
        <v>0</v>
      </c>
      <c r="BC150" s="766">
        <f t="shared" ref="BC150:BC167" si="49">SUM(X150:BB150)</f>
        <v>1874095</v>
      </c>
      <c r="BD150" s="788"/>
      <c r="BE150" s="788"/>
      <c r="BH150" s="437"/>
    </row>
    <row r="151" spans="1:151" s="63" customFormat="1" ht="18" customHeight="1">
      <c r="A151" s="1099" t="s">
        <v>70</v>
      </c>
      <c r="B151" s="1100"/>
      <c r="C151" s="1100"/>
      <c r="D151" s="1101"/>
      <c r="E151" s="589">
        <f>+E36</f>
        <v>50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0</v>
      </c>
      <c r="J151" s="64">
        <f t="shared" si="50"/>
        <v>0</v>
      </c>
      <c r="K151" s="64">
        <f t="shared" si="50"/>
        <v>0</v>
      </c>
      <c r="L151" s="64">
        <f t="shared" si="50"/>
        <v>0</v>
      </c>
      <c r="M151" s="589">
        <f t="shared" si="50"/>
        <v>50</v>
      </c>
      <c r="N151" s="64">
        <f t="shared" si="50"/>
        <v>500</v>
      </c>
      <c r="O151" s="589">
        <f t="shared" si="50"/>
        <v>580</v>
      </c>
      <c r="P151" s="64"/>
      <c r="Q151" s="64"/>
      <c r="R151" s="64">
        <f>+R36</f>
        <v>116</v>
      </c>
      <c r="S151" s="64">
        <f>+S36</f>
        <v>4.3103448275862073</v>
      </c>
      <c r="T151" s="1106"/>
      <c r="U151" s="137"/>
      <c r="V151" s="834"/>
      <c r="W151" s="83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437"/>
    </row>
    <row r="152" spans="1:151" s="63" customFormat="1" ht="18" customHeight="1">
      <c r="A152" s="1099" t="s">
        <v>71</v>
      </c>
      <c r="B152" s="1100"/>
      <c r="C152" s="1100"/>
      <c r="D152" s="1101"/>
      <c r="E152" s="589">
        <f>SUM(E13:E22)</f>
        <v>81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25</v>
      </c>
      <c r="J152" s="64">
        <f t="shared" si="51"/>
        <v>625</v>
      </c>
      <c r="K152" s="64">
        <f t="shared" si="51"/>
        <v>0</v>
      </c>
      <c r="L152" s="64">
        <f t="shared" si="51"/>
        <v>0</v>
      </c>
      <c r="M152" s="589">
        <f t="shared" si="51"/>
        <v>56</v>
      </c>
      <c r="N152" s="64">
        <f t="shared" si="51"/>
        <v>1400</v>
      </c>
      <c r="O152" s="589">
        <f t="shared" si="51"/>
        <v>1550</v>
      </c>
      <c r="P152" s="64"/>
      <c r="Q152" s="64"/>
      <c r="R152" s="64">
        <f>SUM(R13:R22)</f>
        <v>310</v>
      </c>
      <c r="S152" s="64">
        <f>SUM(S13:S22)</f>
        <v>4.5161290322580649</v>
      </c>
      <c r="T152" s="1106"/>
      <c r="U152" s="64">
        <f>SUM(U13:U22)*25</f>
        <v>0</v>
      </c>
      <c r="V152" s="837" t="str">
        <f t="shared" ref="V152:V162" si="52">B152&amp;D152</f>
        <v/>
      </c>
      <c r="W152" s="83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1099" t="s">
        <v>72</v>
      </c>
      <c r="B153" s="1100"/>
      <c r="C153" s="1100"/>
      <c r="D153" s="1101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38988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10560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12203</v>
      </c>
      <c r="J153" s="64">
        <f t="shared" si="53"/>
        <v>305075</v>
      </c>
      <c r="K153" s="64">
        <f t="shared" si="53"/>
        <v>8</v>
      </c>
      <c r="L153" s="64">
        <f t="shared" si="53"/>
        <v>0</v>
      </c>
      <c r="M153" s="64">
        <f t="shared" si="53"/>
        <v>37337</v>
      </c>
      <c r="N153" s="64">
        <f t="shared" si="53"/>
        <v>933425</v>
      </c>
      <c r="O153" s="64">
        <f>O113+O99+O91+O95+O97-O31+SUM(O23:O33,O37,O38:O47,O79,O51,O55:O63,O72,O69,O74:O77,O81:O83,O86:O88,O90,O103,O108:O109,O129,O116,O119:O126,O131:O133,O137:O140,O143:O149,O68,O117)-O123+O93-O120+O111+O104-O124</f>
        <v>1509010</v>
      </c>
      <c r="P153" s="64">
        <f>P113+P99+P91+P95+P97-P31+SUM(P23:P33,P37,P38:P47,P79,P51,P55:P63,P72,P69,P74:P77,P81:P83,P86:P88,P90,P103,P108:P109,P129,P116,P119:P126,P131:P133,P137:P140,P143:P149,P68,P117)-P123+P93-P120+P111+P104-P124</f>
        <v>507500</v>
      </c>
      <c r="Q153" s="64">
        <f>Q113+Q99+Q91+Q95+Q97-Q31+SUM(Q23:Q33,Q37,Q38:Q47,Q79,Q51,Q55:Q63,Q72,Q69,Q74:Q77,Q81:Q83,Q86:Q88,Q90,Q103,Q108:Q109,Q129,Q116,Q119:Q126,Q131:Q133,Q137:Q140,Q143:Q149,Q68,Q117)-Q123+Q93-Q120+Q111+Q104-Q124</f>
        <v>943355</v>
      </c>
      <c r="R153" s="64">
        <f>SUM(R23:R33,R37,R38:R47,R79,R51,R55:R63,R72,R69,R74:R77,R81:R83,R86:R88,R90,R103,R108:R109,R129,R116,R119:R126,R131:R133,R137:R140,R143:R149,R68,R117)-R123+R93-R120+R111+R104</f>
        <v>295747</v>
      </c>
      <c r="S153" s="64">
        <f>SUM(S23:S33,S37,S38:S47,S79,S51,S55:S63,S72,S74:S77,S81:S83,S86:S88,S90,S103,S108:S109,S116,S119:S126,S131:S133,S137:S140,S143:S149,S68,S117)-S123</f>
        <v>220.58803341416052</v>
      </c>
      <c r="T153" s="1106"/>
      <c r="U153" s="398">
        <f>SUM(U23:U76,U81:U149)*25</f>
        <v>0</v>
      </c>
      <c r="V153" s="834" t="str">
        <f t="shared" si="52"/>
        <v/>
      </c>
      <c r="W153" s="83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1099" t="s">
        <v>73</v>
      </c>
      <c r="B154" s="1100"/>
      <c r="C154" s="1100"/>
      <c r="D154" s="1101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36515</v>
      </c>
      <c r="P154" s="64">
        <f>SUM(P13:P149)-P151-P152-P153-P155-P65-P66</f>
        <v>935325</v>
      </c>
      <c r="Q154" s="64">
        <f>SUM(Q13:Q149)-Q151-Q152-Q153-Q155-Q65-Q66</f>
        <v>1874095</v>
      </c>
      <c r="R154" s="64">
        <f>SUM(R13:R149)-R151-R152-R153-R155-R65-R66</f>
        <v>13358</v>
      </c>
      <c r="S154" s="64">
        <f>SUM(S13:S149)-S151-S152-S153-S155</f>
        <v>48.121973266010059</v>
      </c>
      <c r="T154" s="1106"/>
      <c r="U154" s="137">
        <f>SUM(U78:U78)*40</f>
        <v>0</v>
      </c>
      <c r="V154" s="834" t="str">
        <f t="shared" si="52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1099" t="s">
        <v>74</v>
      </c>
      <c r="B155" s="1100"/>
      <c r="C155" s="1100"/>
      <c r="D155" s="1101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70820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70820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322690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64538</v>
      </c>
      <c r="S155" s="64">
        <f>S34+S35+S48+S52+S64+S67+S73+S84+S85+S89+S102+S107+S112+S118+S127+S128+S134+S136+S141+S123+S120+S105+S110+S130+S94+S31+S124+S101</f>
        <v>0</v>
      </c>
      <c r="T155" s="1106"/>
      <c r="U155" s="137"/>
      <c r="V155" s="834" t="str">
        <f t="shared" si="52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126" customFormat="1" ht="18" customHeight="1">
      <c r="A156" s="1109" t="s">
        <v>75</v>
      </c>
      <c r="B156" s="1110"/>
      <c r="C156" s="1110"/>
      <c r="D156" s="1111"/>
      <c r="E156" s="127">
        <f>SUM(E13:E149)</f>
        <v>39119</v>
      </c>
      <c r="F156" s="127">
        <f>SUM(F150:F154)</f>
        <v>10560</v>
      </c>
      <c r="G156" s="127">
        <f>SUM(G150:G154)</f>
        <v>0</v>
      </c>
      <c r="H156" s="127">
        <f>SUM(H13:H149)</f>
        <v>0</v>
      </c>
      <c r="I156" s="127">
        <f>SUM(I150:I154)</f>
        <v>12228</v>
      </c>
      <c r="J156" s="127">
        <f>SUM(J150:J154)</f>
        <v>305700</v>
      </c>
      <c r="K156" s="127">
        <f>SUM(K150:K154)</f>
        <v>8</v>
      </c>
      <c r="L156" s="127">
        <f>SUM(L150:L154)</f>
        <v>0</v>
      </c>
      <c r="M156" s="127">
        <f>SUM(M13:M149)</f>
        <v>37443</v>
      </c>
      <c r="N156" s="127">
        <f>SUM(N13:N149)</f>
        <v>935325</v>
      </c>
      <c r="O156" s="1112">
        <f>SUM(O13:O149)</f>
        <v>1874095</v>
      </c>
      <c r="P156" s="186"/>
      <c r="Q156" s="186"/>
      <c r="R156" s="1095">
        <f>SUM(R13:R149)</f>
        <v>374819</v>
      </c>
      <c r="S156" s="1097" t="s">
        <v>76</v>
      </c>
      <c r="T156" s="1106"/>
      <c r="U156" s="1160"/>
      <c r="V156" s="834" t="str">
        <f t="shared" si="52"/>
        <v/>
      </c>
      <c r="W156" s="831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78"/>
      <c r="BE156" s="278"/>
      <c r="BF156" s="278"/>
      <c r="BG156" s="278"/>
      <c r="BH156" s="437"/>
      <c r="BI156" s="353"/>
      <c r="BJ156" s="353"/>
      <c r="BK156" s="353"/>
      <c r="BL156" s="353"/>
      <c r="BM156" s="353"/>
      <c r="BN156" s="353"/>
      <c r="BO156" s="353"/>
      <c r="BP156" s="353"/>
      <c r="BQ156" s="353"/>
      <c r="BR156" s="353"/>
      <c r="BS156" s="353"/>
      <c r="BT156" s="353"/>
      <c r="BU156" s="353"/>
      <c r="BV156" s="353"/>
      <c r="BW156" s="353"/>
      <c r="BX156" s="353"/>
      <c r="BY156" s="353"/>
      <c r="BZ156" s="353"/>
      <c r="CA156" s="353"/>
      <c r="CB156" s="353"/>
      <c r="CC156" s="353"/>
      <c r="CD156" s="353"/>
      <c r="CE156" s="353"/>
      <c r="CF156" s="353"/>
      <c r="CG156" s="353"/>
      <c r="CH156" s="353"/>
      <c r="CI156" s="353"/>
      <c r="CJ156" s="353"/>
      <c r="CK156" s="353"/>
      <c r="CL156" s="353"/>
      <c r="CM156" s="353"/>
      <c r="CN156" s="353"/>
      <c r="CO156" s="353"/>
      <c r="CP156" s="353"/>
      <c r="CQ156" s="353"/>
      <c r="CR156" s="353"/>
      <c r="CS156" s="353"/>
      <c r="CT156" s="353"/>
      <c r="CU156" s="353"/>
      <c r="CV156" s="353"/>
      <c r="CW156" s="353"/>
      <c r="CX156" s="353"/>
      <c r="CY156" s="353"/>
      <c r="CZ156" s="353"/>
      <c r="DA156" s="353"/>
      <c r="DB156" s="353"/>
      <c r="DC156" s="353"/>
      <c r="DD156" s="353"/>
      <c r="DE156" s="353"/>
      <c r="DF156" s="353"/>
      <c r="DG156" s="353"/>
      <c r="DH156" s="353"/>
      <c r="DI156" s="353"/>
      <c r="DJ156" s="353"/>
      <c r="DK156" s="353"/>
      <c r="DL156" s="353"/>
      <c r="DM156" s="353"/>
      <c r="DN156" s="353"/>
      <c r="DO156" s="353"/>
      <c r="DP156" s="353"/>
      <c r="DQ156" s="353"/>
      <c r="DR156" s="353"/>
      <c r="DS156" s="353"/>
      <c r="DT156" s="353"/>
      <c r="DU156" s="353"/>
      <c r="DV156" s="353"/>
      <c r="DW156" s="353"/>
      <c r="DX156" s="353"/>
      <c r="DY156" s="353"/>
      <c r="DZ156" s="353"/>
      <c r="EA156" s="353"/>
      <c r="EB156" s="353"/>
      <c r="EC156" s="353"/>
      <c r="ED156" s="353"/>
      <c r="EE156" s="353"/>
      <c r="EF156" s="353"/>
      <c r="EG156" s="353"/>
      <c r="EH156" s="353"/>
      <c r="EI156" s="353"/>
      <c r="EJ156" s="353"/>
      <c r="EK156" s="353"/>
      <c r="EL156" s="353"/>
      <c r="EM156" s="353"/>
      <c r="EN156" s="353"/>
      <c r="EO156" s="353"/>
      <c r="EP156" s="353"/>
      <c r="EQ156" s="353"/>
      <c r="ER156" s="353"/>
      <c r="ES156" s="353"/>
      <c r="ET156" s="353"/>
      <c r="EU156" s="353"/>
    </row>
    <row r="157" spans="1:151" s="86" customFormat="1" ht="15" customHeight="1">
      <c r="A157" s="1099" t="s">
        <v>77</v>
      </c>
      <c r="B157" s="1100"/>
      <c r="C157" s="1100"/>
      <c r="D157" s="1101"/>
      <c r="E157" s="121">
        <f>E151*10+E152*25+E153*25+E154*40+E155</f>
        <v>977225</v>
      </c>
      <c r="F157" s="121">
        <f>F151*10+F152*25+F153*25+F154*40+F155</f>
        <v>334820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12228</v>
      </c>
      <c r="J157" s="121">
        <f>SUM(J13:J149)</f>
        <v>376520</v>
      </c>
      <c r="K157" s="121">
        <f>SUM(K152:K153)*25+K154*40+K64+K73+K67+K52+K151*10</f>
        <v>200</v>
      </c>
      <c r="L157" s="121">
        <f>SUM(L152:L153)*25+L154*40+L64+L73+L67+L52+L151*10</f>
        <v>0</v>
      </c>
      <c r="M157" s="471">
        <f>SUM(M152:M153)*25+M154*40+M64+M73+M67+M52+M151*10</f>
        <v>935325</v>
      </c>
      <c r="N157" s="121">
        <f>SUM(N13:N149)</f>
        <v>935325</v>
      </c>
      <c r="O157" s="1113"/>
      <c r="P157" s="187"/>
      <c r="Q157" s="187"/>
      <c r="R157" s="1096"/>
      <c r="S157" s="1098"/>
      <c r="T157" s="1107"/>
      <c r="U157" s="138">
        <f>+U150+U152+U153+U154</f>
        <v>0</v>
      </c>
      <c r="V157" s="834" t="str">
        <f t="shared" si="52"/>
        <v/>
      </c>
      <c r="W157" s="831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437"/>
    </row>
    <row r="158" spans="1:151" s="38" customFormat="1" ht="15" customHeight="1">
      <c r="A158" s="286" t="s">
        <v>174</v>
      </c>
      <c r="B158" s="37"/>
      <c r="C158" s="37"/>
      <c r="D158" s="37"/>
      <c r="E158" s="130"/>
      <c r="F158" s="130"/>
      <c r="G158" s="130"/>
      <c r="H158" s="37"/>
      <c r="J158" s="130"/>
      <c r="K158" s="130"/>
      <c r="L158" s="37"/>
      <c r="M158" s="472"/>
      <c r="N158" s="37"/>
      <c r="O158" s="37"/>
      <c r="P158" s="37"/>
      <c r="Q158" s="37"/>
      <c r="R158" s="37"/>
      <c r="S158" s="37"/>
      <c r="T158" s="458"/>
      <c r="U158" s="139"/>
      <c r="V158" s="839" t="str">
        <f t="shared" si="52"/>
        <v/>
      </c>
      <c r="W158" s="82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436"/>
    </row>
    <row r="159" spans="1:151" s="38" customFormat="1" ht="15" customHeight="1">
      <c r="A159" s="286" t="s">
        <v>175</v>
      </c>
      <c r="E159" s="85"/>
      <c r="F159" s="623"/>
      <c r="M159" s="465"/>
      <c r="N159" s="85"/>
      <c r="T159" s="459"/>
      <c r="U159" s="131"/>
      <c r="V159" s="839" t="str">
        <f t="shared" si="52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176</v>
      </c>
      <c r="B160" s="362"/>
      <c r="C160" s="362"/>
      <c r="D160" s="362"/>
      <c r="E160" s="362"/>
      <c r="F160" s="362"/>
      <c r="G160" s="362"/>
      <c r="H160" s="362"/>
      <c r="I160" s="362"/>
      <c r="J160" s="362"/>
      <c r="K160" s="362"/>
      <c r="L160" s="362"/>
      <c r="M160" s="473"/>
      <c r="N160" s="362"/>
      <c r="O160" s="362"/>
      <c r="P160" s="362"/>
      <c r="Q160" s="362"/>
      <c r="R160" s="362"/>
      <c r="S160" s="362"/>
      <c r="T160" s="460"/>
      <c r="U160" s="131"/>
      <c r="V160" s="839" t="str">
        <f t="shared" si="52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63" customFormat="1" ht="15" customHeight="1">
      <c r="A161" s="443" t="s">
        <v>20</v>
      </c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  <c r="L161" s="443"/>
      <c r="M161" s="468"/>
      <c r="N161" s="443"/>
      <c r="O161" s="443"/>
      <c r="P161" s="443"/>
      <c r="Q161" s="443"/>
      <c r="R161" s="443"/>
      <c r="S161" s="443"/>
      <c r="T161" s="78"/>
      <c r="U161" s="139"/>
      <c r="V161" s="839" t="str">
        <f t="shared" si="52"/>
        <v/>
      </c>
      <c r="W161" s="82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437"/>
    </row>
    <row r="162" spans="1:151" s="63" customFormat="1" ht="15" customHeight="1">
      <c r="A162" s="444" t="s">
        <v>177</v>
      </c>
      <c r="B162" s="444"/>
      <c r="C162" s="444"/>
      <c r="D162" s="444"/>
      <c r="E162" s="444"/>
      <c r="F162" s="444"/>
      <c r="G162" s="444"/>
      <c r="H162" s="444"/>
      <c r="I162" s="444"/>
      <c r="J162" s="444"/>
      <c r="K162" s="444"/>
      <c r="L162" s="444"/>
      <c r="M162" s="469"/>
      <c r="N162" s="444"/>
      <c r="O162" s="444"/>
      <c r="P162" s="444"/>
      <c r="Q162" s="444"/>
      <c r="R162" s="444"/>
      <c r="S162" s="444"/>
      <c r="T162" s="457"/>
      <c r="U162" s="140"/>
      <c r="V162" s="839" t="str">
        <f t="shared" si="52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28.5" customHeight="1">
      <c r="A163" s="925" t="s">
        <v>22</v>
      </c>
      <c r="B163" s="916" t="s">
        <v>23</v>
      </c>
      <c r="C163" s="916" t="s">
        <v>24</v>
      </c>
      <c r="D163" s="928" t="s">
        <v>178</v>
      </c>
      <c r="E163" s="61" t="s">
        <v>26</v>
      </c>
      <c r="F163" s="931" t="s">
        <v>27</v>
      </c>
      <c r="G163" s="936"/>
      <c r="H163" s="932"/>
      <c r="I163" s="931" t="s">
        <v>28</v>
      </c>
      <c r="J163" s="936"/>
      <c r="K163" s="936"/>
      <c r="L163" s="936"/>
      <c r="M163" s="931" t="s">
        <v>29</v>
      </c>
      <c r="N163" s="932"/>
      <c r="O163" s="183" t="s">
        <v>30</v>
      </c>
      <c r="P163" s="183"/>
      <c r="Q163" s="183"/>
      <c r="R163" s="183" t="s">
        <v>31</v>
      </c>
      <c r="S163" s="928" t="s">
        <v>32</v>
      </c>
      <c r="T163" s="1049" t="s">
        <v>33</v>
      </c>
      <c r="U163" s="881" t="s">
        <v>34</v>
      </c>
      <c r="V163" s="830"/>
      <c r="W163" s="83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49.5" customHeight="1">
      <c r="A164" s="926"/>
      <c r="B164" s="917"/>
      <c r="C164" s="917"/>
      <c r="D164" s="929" t="s">
        <v>35</v>
      </c>
      <c r="E164" s="64" t="s">
        <v>36</v>
      </c>
      <c r="F164" s="680" t="s">
        <v>37</v>
      </c>
      <c r="G164" s="512" t="s">
        <v>38</v>
      </c>
      <c r="H164" s="681" t="s">
        <v>39</v>
      </c>
      <c r="I164" s="931" t="s">
        <v>40</v>
      </c>
      <c r="J164" s="936"/>
      <c r="K164" s="512" t="s">
        <v>41</v>
      </c>
      <c r="L164" s="681" t="s">
        <v>42</v>
      </c>
      <c r="M164" s="931" t="s">
        <v>43</v>
      </c>
      <c r="N164" s="932"/>
      <c r="O164" s="683" t="s">
        <v>44</v>
      </c>
      <c r="P164" s="184"/>
      <c r="Q164" s="184"/>
      <c r="R164" s="683" t="s">
        <v>45</v>
      </c>
      <c r="S164" s="929"/>
      <c r="T164" s="1050"/>
      <c r="U164" s="882"/>
      <c r="V164" s="830" t="str">
        <f t="shared" ref="V164:V202" si="56">B164&amp;D164</f>
        <v>SIZE</v>
      </c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18.75" customHeight="1">
      <c r="A165" s="927"/>
      <c r="B165" s="918"/>
      <c r="C165" s="918"/>
      <c r="D165" s="930" t="s">
        <v>46</v>
      </c>
      <c r="E165" s="64" t="s">
        <v>47</v>
      </c>
      <c r="F165" s="64" t="s">
        <v>47</v>
      </c>
      <c r="G165" s="64" t="s">
        <v>47</v>
      </c>
      <c r="H165" s="64" t="s">
        <v>47</v>
      </c>
      <c r="I165" s="64" t="s">
        <v>47</v>
      </c>
      <c r="J165" s="64" t="s">
        <v>46</v>
      </c>
      <c r="K165" s="64" t="s">
        <v>47</v>
      </c>
      <c r="L165" s="64" t="s">
        <v>47</v>
      </c>
      <c r="M165" s="64" t="s">
        <v>47</v>
      </c>
      <c r="N165" s="65" t="s">
        <v>46</v>
      </c>
      <c r="O165" s="65" t="s">
        <v>46</v>
      </c>
      <c r="P165" s="185"/>
      <c r="Q165" s="185"/>
      <c r="R165" s="65" t="s">
        <v>48</v>
      </c>
      <c r="S165" s="930"/>
      <c r="T165" s="1051"/>
      <c r="U165" s="684" t="s">
        <v>47</v>
      </c>
      <c r="V165" s="835" t="str">
        <f t="shared" si="56"/>
        <v>(Kg)</v>
      </c>
      <c r="W165" s="831"/>
      <c r="X165" s="311">
        <v>1</v>
      </c>
      <c r="Y165" s="89">
        <v>2</v>
      </c>
      <c r="Z165" s="311">
        <v>3</v>
      </c>
      <c r="AA165" s="89">
        <v>4</v>
      </c>
      <c r="AB165" s="311">
        <v>5</v>
      </c>
      <c r="AC165" s="89">
        <v>6</v>
      </c>
      <c r="AD165" s="311">
        <v>7</v>
      </c>
      <c r="AE165" s="89">
        <v>8</v>
      </c>
      <c r="AF165" s="311">
        <v>9</v>
      </c>
      <c r="AG165" s="89">
        <v>10</v>
      </c>
      <c r="AH165" s="311">
        <v>11</v>
      </c>
      <c r="AI165" s="89">
        <v>12</v>
      </c>
      <c r="AJ165" s="311">
        <v>13</v>
      </c>
      <c r="AK165" s="89">
        <v>14</v>
      </c>
      <c r="AL165" s="311">
        <v>15</v>
      </c>
      <c r="AM165" s="89">
        <v>16</v>
      </c>
      <c r="AN165" s="311">
        <v>17</v>
      </c>
      <c r="AO165" s="89">
        <v>18</v>
      </c>
      <c r="AP165" s="311">
        <v>19</v>
      </c>
      <c r="AQ165" s="89">
        <v>20</v>
      </c>
      <c r="AR165" s="311">
        <v>21</v>
      </c>
      <c r="AS165" s="89">
        <v>22</v>
      </c>
      <c r="AT165" s="311">
        <v>23</v>
      </c>
      <c r="AU165" s="89">
        <v>24</v>
      </c>
      <c r="AV165" s="311">
        <v>25</v>
      </c>
      <c r="AW165" s="89">
        <v>26</v>
      </c>
      <c r="AX165" s="311">
        <v>27</v>
      </c>
      <c r="AY165" s="89">
        <v>28</v>
      </c>
      <c r="AZ165" s="311">
        <v>29</v>
      </c>
      <c r="BA165" s="89">
        <v>30</v>
      </c>
      <c r="BB165" s="506">
        <v>31</v>
      </c>
      <c r="BC165" s="106" t="s">
        <v>49</v>
      </c>
      <c r="BD165" s="785" t="s">
        <v>85</v>
      </c>
      <c r="BE165" s="785" t="s">
        <v>86</v>
      </c>
      <c r="BG165" s="38"/>
      <c r="BH165" s="437"/>
    </row>
    <row r="166" spans="1:151" s="38" customFormat="1" ht="15" customHeight="1">
      <c r="A166" s="91">
        <v>1</v>
      </c>
      <c r="B166" s="360">
        <v>884</v>
      </c>
      <c r="C166" s="360" t="s">
        <v>79</v>
      </c>
      <c r="D166" s="1169">
        <v>25</v>
      </c>
      <c r="E166" s="100">
        <v>237</v>
      </c>
      <c r="F166" s="100">
        <f>SUMIF(pro!$A:$A,$V:$V,pro!$N:$N)</f>
        <v>0</v>
      </c>
      <c r="G166" s="100"/>
      <c r="H166" s="100">
        <f>SUMIF(CBIN!$A:$A,BRAN!$V:$V,CBIN!$G:$G)</f>
        <v>0</v>
      </c>
      <c r="I166" s="100">
        <f>SUMIF(data!$D:$D,$B166&amp;$D166,data!$J:$J)</f>
        <v>0</v>
      </c>
      <c r="J166" s="100">
        <f>SUMIF(data!$D:$D,$B166&amp;$D166,data!$K:$K)</f>
        <v>0</v>
      </c>
      <c r="K166" s="100">
        <f>SUMIF(AJOUT!$A:$A,BRAN!$V:$V,AJOUT!$L:$L)</f>
        <v>0</v>
      </c>
      <c r="L166" s="100">
        <f>SUMIF(CBOUT!$A:$A,BRAN!$V:$V,CBOUT!$G:$G)</f>
        <v>0</v>
      </c>
      <c r="M166" s="1158">
        <f>E166+F166+H166-I166-L166+G166-K166</f>
        <v>237</v>
      </c>
      <c r="N166" s="100">
        <f>M166*D166</f>
        <v>5925</v>
      </c>
      <c r="O166" s="1159">
        <f t="shared" ref="O166:O192" si="57">SUM(X166:BB166)</f>
        <v>4875</v>
      </c>
      <c r="P166" s="804"/>
      <c r="Q166" s="804"/>
      <c r="R166" s="804">
        <f>O166/INTGRATE!$N$293</f>
        <v>975</v>
      </c>
      <c r="S166" s="665">
        <f>IF(R166=0,0,N166/R166)</f>
        <v>6.0769230769230766</v>
      </c>
      <c r="T166" s="544"/>
      <c r="U166" s="141"/>
      <c r="V166" s="840" t="str">
        <f t="shared" si="56"/>
        <v>88425</v>
      </c>
      <c r="W166" s="831">
        <v>433000</v>
      </c>
      <c r="X166" s="91"/>
      <c r="Y166" s="91">
        <v>0</v>
      </c>
      <c r="Z166" s="100">
        <v>1250</v>
      </c>
      <c r="AA166" s="100">
        <v>3625</v>
      </c>
      <c r="AB166" s="100">
        <v>0</v>
      </c>
      <c r="AC166" s="100">
        <v>0</v>
      </c>
      <c r="AD166" s="100"/>
      <c r="AE166" s="100"/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276">
        <f t="shared" si="49"/>
        <v>4875</v>
      </c>
      <c r="BD166" s="786">
        <f>COUNTIF(X166:BB166,"&gt;0")</f>
        <v>2</v>
      </c>
      <c r="BE166" s="786">
        <f>IFERROR(BC166/BD166,0)</f>
        <v>2437.5</v>
      </c>
      <c r="BH166" s="436"/>
    </row>
    <row r="167" spans="1:151" s="38" customFormat="1" ht="15" customHeight="1">
      <c r="A167" s="91">
        <v>2</v>
      </c>
      <c r="B167" s="360" t="s">
        <v>179</v>
      </c>
      <c r="C167" s="360" t="s">
        <v>79</v>
      </c>
      <c r="D167" s="1169">
        <v>25</v>
      </c>
      <c r="E167" s="100">
        <v>0</v>
      </c>
      <c r="F167" s="100">
        <f>SUMIF(pro!$A:$A,$V:$V,pro!$N:$N)</f>
        <v>193</v>
      </c>
      <c r="G167" s="100"/>
      <c r="H167" s="100">
        <f>SUMIF(CBIN!$A:$A,BRAN!$V:$V,CBIN!$G:$G)</f>
        <v>0</v>
      </c>
      <c r="I167" s="100">
        <f>SUMIF(data!$D:$D,$B167&amp;$D167,data!$J:$J)</f>
        <v>0</v>
      </c>
      <c r="J167" s="100">
        <f>SUMIF(data!$D:$D,$B167&amp;$D167,data!$K:$K)</f>
        <v>0</v>
      </c>
      <c r="K167" s="100">
        <f>SUMIF(AJOUT!$A:$A,BRAN!$V:$V,AJOUT!$L:$L)</f>
        <v>0</v>
      </c>
      <c r="L167" s="100">
        <f>SUMIF(CBOUT!$A:$A,BRAN!$V:$V,CBOUT!$G:$G)</f>
        <v>0</v>
      </c>
      <c r="M167" s="1158">
        <f t="shared" ref="M167:M191" si="58">E167+F167+H167-I167-L167+G167-K167</f>
        <v>193</v>
      </c>
      <c r="N167" s="100">
        <f t="shared" ref="N167:N192" si="59">M167*D167</f>
        <v>4825</v>
      </c>
      <c r="O167" s="1159">
        <f t="shared" si="57"/>
        <v>0</v>
      </c>
      <c r="P167" s="804">
        <f>+SUM(N166:N167)</f>
        <v>10750</v>
      </c>
      <c r="Q167" s="804">
        <f>+SUM(O166:O167)</f>
        <v>4875</v>
      </c>
      <c r="R167" s="804">
        <f>O167/INTGRATE!$N$293</f>
        <v>0</v>
      </c>
      <c r="S167" s="665">
        <f>IF(R167=0,0,N167/R167)</f>
        <v>0</v>
      </c>
      <c r="T167" s="402"/>
      <c r="U167" s="141"/>
      <c r="V167" s="840" t="str">
        <f t="shared" si="56"/>
        <v>885S25</v>
      </c>
      <c r="W167" s="831">
        <v>433010</v>
      </c>
      <c r="X167" s="91"/>
      <c r="Y167" s="91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/>
      <c r="AE167" s="100"/>
      <c r="AF167" s="100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B167" s="100"/>
      <c r="BC167" s="276">
        <f t="shared" si="49"/>
        <v>0</v>
      </c>
      <c r="BD167" s="786">
        <f t="shared" ref="BD167" si="60">COUNTIF(X167:BB167,"&gt;0")</f>
        <v>0</v>
      </c>
      <c r="BE167" s="786">
        <f t="shared" ref="BE167" si="61">IFERROR(BC167/BD167,0)</f>
        <v>0</v>
      </c>
      <c r="BH167" s="436"/>
    </row>
    <row r="168" spans="1:151" s="101" customFormat="1" ht="15" customHeight="1">
      <c r="A168" s="91">
        <v>3</v>
      </c>
      <c r="B168" s="167">
        <v>910</v>
      </c>
      <c r="C168" s="167" t="s">
        <v>132</v>
      </c>
      <c r="D168" s="166">
        <v>25</v>
      </c>
      <c r="E168" s="100">
        <v>0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58">
        <f t="shared" si="58"/>
        <v>0</v>
      </c>
      <c r="N168" s="100">
        <f t="shared" si="59"/>
        <v>0</v>
      </c>
      <c r="O168" s="1159">
        <f t="shared" si="57"/>
        <v>0</v>
      </c>
      <c r="P168" s="804">
        <f>+N170+N169</f>
        <v>0</v>
      </c>
      <c r="Q168" s="804">
        <f>+O170+O169</f>
        <v>0</v>
      </c>
      <c r="R168" s="804">
        <f>O168/INTGRATE!$N$293</f>
        <v>0</v>
      </c>
      <c r="S168" s="665">
        <f>IF(R168=0,0,(N42+N168)/(R168+R42))</f>
        <v>0</v>
      </c>
      <c r="T168" s="402"/>
      <c r="U168" s="141"/>
      <c r="V168" s="840" t="str">
        <f t="shared" si="56"/>
        <v>91025</v>
      </c>
      <c r="W168" s="831">
        <v>112001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100"/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276">
        <f t="shared" ref="BC168:BC192" si="62">SUM(X168:BB168)</f>
        <v>0</v>
      </c>
      <c r="BD168" s="786">
        <f t="shared" ref="BD168:BD192" si="63">COUNTIF(X168:BB168,"&gt;0")</f>
        <v>0</v>
      </c>
      <c r="BE168" s="786">
        <f t="shared" ref="BE168:BE192" si="64">IFERROR(BC168/BD168,0)</f>
        <v>0</v>
      </c>
      <c r="BF168" s="38"/>
      <c r="BG168" s="38"/>
      <c r="BH168" s="436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67" t="s">
        <v>180</v>
      </c>
      <c r="C169" s="167" t="s">
        <v>55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58">
        <f>E169+F169+H169-I169-L169+G169-K169</f>
        <v>0</v>
      </c>
      <c r="N169" s="100">
        <f t="shared" si="59"/>
        <v>0</v>
      </c>
      <c r="O169" s="1159">
        <f>SUM(X169:BB169)</f>
        <v>0</v>
      </c>
      <c r="P169" s="804">
        <f>+N168</f>
        <v>0</v>
      </c>
      <c r="Q169" s="804"/>
      <c r="R169" s="804">
        <f>O169/INTGRATE!$N$293</f>
        <v>0</v>
      </c>
      <c r="S169" s="665">
        <f>IF(R169=0,0,(N43+N169)/(R169+R43))</f>
        <v>0</v>
      </c>
      <c r="T169" s="402"/>
      <c r="U169" s="141"/>
      <c r="V169" s="840" t="str">
        <f>B169&amp;D169</f>
        <v>911B25</v>
      </c>
      <c r="W169" s="831" t="s">
        <v>140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100"/>
      <c r="AE169" s="100"/>
      <c r="AF169" s="100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si="62"/>
        <v>0</v>
      </c>
      <c r="BD169" s="786">
        <f t="shared" si="63"/>
        <v>0</v>
      </c>
      <c r="BE169" s="786">
        <f t="shared" si="64"/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551">
        <v>948</v>
      </c>
      <c r="C170" s="551" t="s">
        <v>55</v>
      </c>
      <c r="D170" s="552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58">
        <f>E170+F170+H170-I170-L170+G170-K170</f>
        <v>0</v>
      </c>
      <c r="N170" s="100">
        <f t="shared" si="59"/>
        <v>0</v>
      </c>
      <c r="O170" s="1159">
        <f>SUM(X170:BB170)</f>
        <v>0</v>
      </c>
      <c r="P170" s="804">
        <f>SUM(N178:N181)+N176</f>
        <v>16475</v>
      </c>
      <c r="Q170" s="804">
        <f>SUM(O178:O181)+O176</f>
        <v>21675</v>
      </c>
      <c r="R170" s="804">
        <f>O170/INTGRATE!$N$293</f>
        <v>0</v>
      </c>
      <c r="S170" s="665">
        <f>IF(R170=0,0,(N56+N170)/(R170+R56))</f>
        <v>0</v>
      </c>
      <c r="T170" s="402"/>
      <c r="U170" s="136"/>
      <c r="V170" s="840" t="str">
        <f t="shared" si="56"/>
        <v>94825</v>
      </c>
      <c r="W170" s="823">
        <v>201101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100"/>
      <c r="AE170" s="100"/>
      <c r="AF170" s="100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2"/>
        <v>0</v>
      </c>
      <c r="BD170" s="786">
        <f t="shared" si="63"/>
        <v>0</v>
      </c>
      <c r="BE170" s="786">
        <f t="shared" si="64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551" t="s">
        <v>181</v>
      </c>
      <c r="C171" s="551" t="s">
        <v>64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58">
        <f>E171+F171+H171-I171-L171+G171-K171</f>
        <v>0</v>
      </c>
      <c r="N171" s="100">
        <f t="shared" si="59"/>
        <v>0</v>
      </c>
      <c r="O171" s="1159">
        <f t="shared" si="57"/>
        <v>0</v>
      </c>
      <c r="P171" s="804">
        <f>+SUM(N166:N192)-P167-P168-P170</f>
        <v>16925</v>
      </c>
      <c r="Q171" s="804">
        <f>+SUM(O166:O192)-Q167-Q168-Q170</f>
        <v>90075</v>
      </c>
      <c r="R171" s="804">
        <f>O171/INTGRATE!$N$293</f>
        <v>0</v>
      </c>
      <c r="S171" s="665">
        <f>IF(R171=0,0,(N56+N171)/(R171+R56))</f>
        <v>0</v>
      </c>
      <c r="T171" s="402"/>
      <c r="U171" s="136"/>
      <c r="V171" s="840" t="str">
        <f t="shared" si="56"/>
        <v>949M25</v>
      </c>
      <c r="W171" s="823">
        <v>203201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100"/>
      <c r="AE171" s="100"/>
      <c r="AF171" s="100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2"/>
        <v>0</v>
      </c>
      <c r="BD171" s="786">
        <f t="shared" si="63"/>
        <v>0</v>
      </c>
      <c r="BE171" s="786">
        <f t="shared" si="64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551">
        <v>949</v>
      </c>
      <c r="C172" s="551" t="s">
        <v>64</v>
      </c>
      <c r="D172" s="552">
        <v>25</v>
      </c>
      <c r="E172" s="100">
        <v>385</v>
      </c>
      <c r="F172" s="100">
        <f>SUMIF(pro!$A:$A,$V:$V,pro!$N:$N)</f>
        <v>0</v>
      </c>
      <c r="G172" s="100"/>
      <c r="H172" s="100">
        <f>SUMIF(CBIN!$A:$A,BRAN!$V:$V,CBIN!$G:$G)</f>
        <v>0</v>
      </c>
      <c r="I172" s="100">
        <f>SUMIF(data!$D:$D,$B172&amp;$D172,data!$J:$J)</f>
        <v>270</v>
      </c>
      <c r="J172" s="100">
        <f>SUMIF(data!$D:$D,$B172&amp;$D172,data!$K:$K)</f>
        <v>6750</v>
      </c>
      <c r="K172" s="100">
        <f>SUMIF(AJOUT!$A:$A,BRAN!$V:$V,AJOUT!$L:$L)</f>
        <v>0</v>
      </c>
      <c r="L172" s="100">
        <f>SUMIF(CBOUT!$A:$A,BRAN!$V:$V,CBOUT!$G:$G)</f>
        <v>0</v>
      </c>
      <c r="M172" s="1158">
        <f>E172+F172+H172-I172-L172+G172-K172</f>
        <v>115</v>
      </c>
      <c r="N172" s="100">
        <f t="shared" si="59"/>
        <v>2875</v>
      </c>
      <c r="O172" s="1159">
        <f>SUM(X172:BB172)</f>
        <v>22100</v>
      </c>
      <c r="P172" s="804"/>
      <c r="Q172" s="804"/>
      <c r="R172" s="804">
        <f>O172/INTGRATE!$N$293</f>
        <v>4420</v>
      </c>
      <c r="S172" s="665">
        <f>IF(R172=0,0,(N57+N172)/(R172+R57))</f>
        <v>0.67896060352053644</v>
      </c>
      <c r="T172" s="402"/>
      <c r="U172" s="136"/>
      <c r="V172" s="840" t="str">
        <f t="shared" si="56"/>
        <v>94925</v>
      </c>
      <c r="W172" s="823">
        <v>203101</v>
      </c>
      <c r="X172" s="91"/>
      <c r="Y172" s="91">
        <v>4850</v>
      </c>
      <c r="Z172" s="100">
        <v>0</v>
      </c>
      <c r="AA172" s="100">
        <v>0</v>
      </c>
      <c r="AB172" s="100">
        <v>10500</v>
      </c>
      <c r="AC172" s="100">
        <v>6750</v>
      </c>
      <c r="AD172" s="100"/>
      <c r="AE172" s="100"/>
      <c r="AF172" s="100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2"/>
        <v>22100</v>
      </c>
      <c r="BD172" s="786">
        <f t="shared" si="63"/>
        <v>3</v>
      </c>
      <c r="BE172" s="786">
        <f t="shared" si="64"/>
        <v>7366.666666666667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551">
        <v>944</v>
      </c>
      <c r="C173" s="551" t="s">
        <v>64</v>
      </c>
      <c r="D173" s="552">
        <v>25</v>
      </c>
      <c r="E173" s="100">
        <v>60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0</v>
      </c>
      <c r="J173" s="100">
        <f>SUMIF(data!$D:$D,$B173&amp;$D173,data!$K:$K)</f>
        <v>0</v>
      </c>
      <c r="K173" s="100">
        <f>SUMIF(AJOUT!$A:$A,BRAN!$V:$V,AJOUT!$L:$L)</f>
        <v>1</v>
      </c>
      <c r="L173" s="100">
        <f>SUMIF(CBOUT!$A:$A,BRAN!$V:$V,CBOUT!$G:$G)</f>
        <v>0</v>
      </c>
      <c r="M173" s="1158">
        <f>E173+F173+H173-I173-L173+G173-K173</f>
        <v>59</v>
      </c>
      <c r="N173" s="100">
        <f t="shared" si="59"/>
        <v>1475</v>
      </c>
      <c r="O173" s="1159">
        <f>SUM(X173:BB173)</f>
        <v>4750</v>
      </c>
      <c r="P173" s="804"/>
      <c r="Q173" s="804"/>
      <c r="R173" s="804">
        <f>O173/INTGRATE!$N$293</f>
        <v>950</v>
      </c>
      <c r="S173" s="665">
        <f>IF(R173=0,0,(N58+N173)/(R173+R58))</f>
        <v>4.1675915649278581</v>
      </c>
      <c r="T173" s="402"/>
      <c r="U173" s="136"/>
      <c r="V173" s="840" t="str">
        <f t="shared" si="56"/>
        <v>94425</v>
      </c>
      <c r="W173" s="831">
        <v>216201</v>
      </c>
      <c r="X173" s="91"/>
      <c r="Y173" s="91">
        <v>4750</v>
      </c>
      <c r="Z173" s="100">
        <v>0</v>
      </c>
      <c r="AA173" s="100">
        <v>0</v>
      </c>
      <c r="AB173" s="100">
        <v>0</v>
      </c>
      <c r="AC173" s="100">
        <v>0</v>
      </c>
      <c r="AD173" s="100"/>
      <c r="AE173" s="100"/>
      <c r="AF173" s="100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2"/>
        <v>4750</v>
      </c>
      <c r="BD173" s="786">
        <f t="shared" si="63"/>
        <v>1</v>
      </c>
      <c r="BE173" s="786">
        <f t="shared" si="64"/>
        <v>4750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64</v>
      </c>
      <c r="D174" s="103">
        <v>40</v>
      </c>
      <c r="E174" s="100">
        <v>0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0</v>
      </c>
      <c r="J174" s="100">
        <f>SUMIF(data!$D:$D,$B174&amp;$D174,data!$K:$K)</f>
        <v>0</v>
      </c>
      <c r="K174" s="100">
        <f>SUMIF(AJOUT!$A:$A,BRAN!$V:$V,AJOUT!$L:$L)</f>
        <v>0</v>
      </c>
      <c r="L174" s="100">
        <f>SUMIF(CBOUT!$A:$A,BRAN!$V:$V,CBOUT!$G:$G)</f>
        <v>0</v>
      </c>
      <c r="M174" s="1158">
        <f t="shared" si="58"/>
        <v>0</v>
      </c>
      <c r="N174" s="100">
        <f t="shared" si="59"/>
        <v>0</v>
      </c>
      <c r="O174" s="1159">
        <f t="shared" si="57"/>
        <v>0</v>
      </c>
      <c r="P174" s="804"/>
      <c r="Q174" s="804"/>
      <c r="R174" s="804">
        <f>O174/INTGRATE!$N$293</f>
        <v>0</v>
      </c>
      <c r="S174" s="665">
        <f t="shared" ref="S174:S192" si="65">IF(R174=0,0,N174/R174)</f>
        <v>0</v>
      </c>
      <c r="T174" s="402"/>
      <c r="U174" s="141"/>
      <c r="V174" s="840" t="str">
        <f t="shared" si="56"/>
        <v>94440</v>
      </c>
      <c r="W174" s="831">
        <v>216201</v>
      </c>
      <c r="X174" s="559"/>
      <c r="Y174" s="559">
        <v>0</v>
      </c>
      <c r="Z174" s="100">
        <v>0</v>
      </c>
      <c r="AA174" s="100">
        <v>0</v>
      </c>
      <c r="AB174" s="100">
        <v>0</v>
      </c>
      <c r="AC174" s="100">
        <v>0</v>
      </c>
      <c r="AD174" s="100"/>
      <c r="AE174" s="100"/>
      <c r="AF174" s="100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2"/>
        <v>0</v>
      </c>
      <c r="BD174" s="786">
        <f t="shared" si="63"/>
        <v>0</v>
      </c>
      <c r="BE174" s="786">
        <f t="shared" si="64"/>
        <v>0</v>
      </c>
      <c r="BF174" s="63"/>
      <c r="BG174" s="38"/>
      <c r="BH174" s="437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58">
        <f t="shared" si="58"/>
        <v>0</v>
      </c>
      <c r="N175" s="100">
        <f t="shared" si="59"/>
        <v>0</v>
      </c>
      <c r="O175" s="1159">
        <f t="shared" si="57"/>
        <v>0</v>
      </c>
      <c r="P175" s="804"/>
      <c r="Q175" s="804"/>
      <c r="R175" s="804">
        <f>O175/INTGRATE!$N$293</f>
        <v>0</v>
      </c>
      <c r="S175" s="665">
        <f t="shared" si="65"/>
        <v>0</v>
      </c>
      <c r="T175" s="402"/>
      <c r="U175" s="141"/>
      <c r="V175" s="840" t="str">
        <f t="shared" si="56"/>
        <v>94540</v>
      </c>
      <c r="W175" s="831">
        <v>216251</v>
      </c>
      <c r="X175" s="91"/>
      <c r="Y175" s="91">
        <v>0</v>
      </c>
      <c r="Z175" s="100">
        <v>0</v>
      </c>
      <c r="AA175" s="100">
        <v>0</v>
      </c>
      <c r="AB175" s="100">
        <v>0</v>
      </c>
      <c r="AC175" s="100">
        <v>0</v>
      </c>
      <c r="AD175" s="100"/>
      <c r="AE175" s="100"/>
      <c r="AF175" s="100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2"/>
        <v>0</v>
      </c>
      <c r="BD175" s="786">
        <f t="shared" si="63"/>
        <v>0</v>
      </c>
      <c r="BE175" s="786">
        <f t="shared" si="64"/>
        <v>0</v>
      </c>
      <c r="BF175" s="104"/>
      <c r="BG175" s="38"/>
      <c r="BH175" s="437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0">
        <v>951</v>
      </c>
      <c r="C176" s="538" t="s">
        <v>61</v>
      </c>
      <c r="D176" s="164">
        <v>25</v>
      </c>
      <c r="E176" s="100">
        <v>130</v>
      </c>
      <c r="F176" s="100">
        <f>SUMIF(pro!$A:$A,$V:$V,pro!$N:$N)</f>
        <v>0</v>
      </c>
      <c r="G176" s="100"/>
      <c r="H176" s="100">
        <f>SUMIF(CBIN!$A:$A,BRAN!$V:$V,CBIN!$G:$G)</f>
        <v>0</v>
      </c>
      <c r="I176" s="100">
        <f>SUMIF(data!$D:$D,$B176&amp;$D176,data!$J:$J)</f>
        <v>30</v>
      </c>
      <c r="J176" s="100">
        <f>SUMIF(data!$D:$D,$B176&amp;$D176,data!$K:$K)</f>
        <v>750</v>
      </c>
      <c r="K176" s="100">
        <f>SUMIF(AJOUT!$A:$A,BRAN!$V:$V,AJOUT!$L:$L)</f>
        <v>0</v>
      </c>
      <c r="L176" s="100">
        <f>SUMIF(CBOUT!$A:$A,BRAN!$V:$V,CBOUT!$G:$G)</f>
        <v>0</v>
      </c>
      <c r="M176" s="1158">
        <f t="shared" si="58"/>
        <v>100</v>
      </c>
      <c r="N176" s="100">
        <f t="shared" si="59"/>
        <v>2500</v>
      </c>
      <c r="O176" s="1159">
        <f t="shared" si="57"/>
        <v>7450</v>
      </c>
      <c r="P176" s="804"/>
      <c r="Q176" s="804"/>
      <c r="R176" s="804">
        <f>O176/INTGRATE!$N$293</f>
        <v>1490</v>
      </c>
      <c r="S176" s="665">
        <f t="shared" si="65"/>
        <v>1.6778523489932886</v>
      </c>
      <c r="T176" s="402"/>
      <c r="U176" s="141"/>
      <c r="V176" s="840" t="str">
        <f t="shared" si="56"/>
        <v>95125</v>
      </c>
      <c r="W176" s="831">
        <v>314001</v>
      </c>
      <c r="X176" s="91"/>
      <c r="Y176" s="91">
        <v>1925</v>
      </c>
      <c r="Z176" s="100">
        <v>600</v>
      </c>
      <c r="AA176" s="100">
        <v>550</v>
      </c>
      <c r="AB176" s="100">
        <v>3625</v>
      </c>
      <c r="AC176" s="100">
        <v>750</v>
      </c>
      <c r="AD176" s="100"/>
      <c r="AE176" s="100"/>
      <c r="AF176" s="100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2"/>
        <v>7450</v>
      </c>
      <c r="BD176" s="786">
        <f t="shared" si="63"/>
        <v>5</v>
      </c>
      <c r="BE176" s="786">
        <f t="shared" si="64"/>
        <v>1490</v>
      </c>
      <c r="BH176" s="436"/>
    </row>
    <row r="177" spans="1:60" s="38" customFormat="1" ht="15" customHeight="1">
      <c r="A177" s="91">
        <v>12</v>
      </c>
      <c r="B177" s="94">
        <v>952</v>
      </c>
      <c r="C177" s="94" t="s">
        <v>64</v>
      </c>
      <c r="D177" s="91">
        <v>25</v>
      </c>
      <c r="E177" s="100">
        <v>256</v>
      </c>
      <c r="F177" s="100">
        <f>SUMIF(pro!$A:$A,$V:$V,pro!$N:$N)</f>
        <v>0</v>
      </c>
      <c r="G177" s="100"/>
      <c r="H177" s="100">
        <f>SUMIF(CBIN!$A:$A,BRAN!$V:$V,CBIN!$G:$G)</f>
        <v>0</v>
      </c>
      <c r="I177" s="100">
        <f>SUMIF(data!$D:$D,$B177&amp;$D177,data!$J:$J)</f>
        <v>0</v>
      </c>
      <c r="J177" s="100">
        <f>SUMIF(data!$D:$D,$B177&amp;$D177,data!$K:$K)</f>
        <v>0</v>
      </c>
      <c r="K177" s="100">
        <f>SUMIF(AJOUT!$A:$A,BRAN!$V:$V,AJOUT!$L:$L)</f>
        <v>0</v>
      </c>
      <c r="L177" s="100">
        <f>SUMIF(CBOUT!$A:$A,BRAN!$V:$V,CBOUT!$G:$G)</f>
        <v>1</v>
      </c>
      <c r="M177" s="1158">
        <f t="shared" si="58"/>
        <v>255</v>
      </c>
      <c r="N177" s="100">
        <f t="shared" si="59"/>
        <v>6375</v>
      </c>
      <c r="O177" s="1159">
        <f t="shared" si="57"/>
        <v>20150</v>
      </c>
      <c r="P177" s="804"/>
      <c r="Q177" s="804"/>
      <c r="R177" s="804">
        <f>O177/INTGRATE!$N$293</f>
        <v>4030</v>
      </c>
      <c r="S177" s="665">
        <f t="shared" si="65"/>
        <v>1.5818858560794045</v>
      </c>
      <c r="T177" s="403"/>
      <c r="U177" s="141"/>
      <c r="V177" s="840" t="str">
        <f t="shared" si="56"/>
        <v>95225</v>
      </c>
      <c r="W177" s="831">
        <v>321001</v>
      </c>
      <c r="X177" s="91"/>
      <c r="Y177" s="91">
        <v>7150</v>
      </c>
      <c r="Z177" s="100">
        <v>2775</v>
      </c>
      <c r="AA177" s="100">
        <v>3125</v>
      </c>
      <c r="AB177" s="100">
        <v>7100</v>
      </c>
      <c r="AC177" s="100">
        <v>0</v>
      </c>
      <c r="AD177" s="100"/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2"/>
        <v>20150</v>
      </c>
      <c r="BD177" s="786">
        <f t="shared" si="63"/>
        <v>4</v>
      </c>
      <c r="BE177" s="786">
        <f t="shared" si="64"/>
        <v>5037.5</v>
      </c>
      <c r="BH177" s="436"/>
    </row>
    <row r="178" spans="1:60" s="38" customFormat="1" ht="15" customHeight="1">
      <c r="A178" s="91">
        <v>13</v>
      </c>
      <c r="B178" s="94" t="s">
        <v>182</v>
      </c>
      <c r="C178" s="92" t="s">
        <v>61</v>
      </c>
      <c r="D178" s="91">
        <v>25</v>
      </c>
      <c r="E178" s="100">
        <v>0</v>
      </c>
      <c r="F178" s="100">
        <f>SUMIF(pro!$A:$A,$V:$V,pro!$N:$N)</f>
        <v>0</v>
      </c>
      <c r="G178" s="100"/>
      <c r="H178" s="100">
        <f>SUMIF(CBIN!$A:$A,BRAN!$V:$V,CBIN!$G:$G)</f>
        <v>0</v>
      </c>
      <c r="I178" s="100">
        <f>SUMIF(data!$D:$D,$B178&amp;$D178,data!$J:$J)</f>
        <v>0</v>
      </c>
      <c r="J178" s="100">
        <f>SUMIF(data!$D:$D,$B178&amp;$D178,data!$K:$K)</f>
        <v>0</v>
      </c>
      <c r="K178" s="100">
        <f>SUMIF(AJOUT!$A:$A,BRAN!$V:$V,AJOUT!$L:$L)</f>
        <v>0</v>
      </c>
      <c r="L178" s="100">
        <f>SUMIF(CBOUT!$A:$A,BRAN!$V:$V,CBOUT!$G:$G)</f>
        <v>0</v>
      </c>
      <c r="M178" s="1158">
        <f>E178+F178+H178-I178-L178+G178-K178</f>
        <v>0</v>
      </c>
      <c r="N178" s="100">
        <f t="shared" si="59"/>
        <v>0</v>
      </c>
      <c r="O178" s="1159">
        <f>SUM(X178:BB178)</f>
        <v>0</v>
      </c>
      <c r="P178" s="804"/>
      <c r="Q178" s="804"/>
      <c r="R178" s="804">
        <f>O178/INTGRATE!$N$293</f>
        <v>0</v>
      </c>
      <c r="S178" s="665">
        <f t="shared" si="65"/>
        <v>0</v>
      </c>
      <c r="T178" s="403"/>
      <c r="U178" s="141"/>
      <c r="V178" s="840" t="str">
        <f t="shared" si="56"/>
        <v>952M25</v>
      </c>
      <c r="W178" s="831">
        <v>321012</v>
      </c>
      <c r="X178" s="91"/>
      <c r="Y178" s="91">
        <v>0</v>
      </c>
      <c r="Z178" s="100">
        <v>0</v>
      </c>
      <c r="AA178" s="100">
        <v>0</v>
      </c>
      <c r="AB178" s="100">
        <v>0</v>
      </c>
      <c r="AC178" s="100">
        <v>0</v>
      </c>
      <c r="AD178" s="100"/>
      <c r="AE178" s="100"/>
      <c r="AF178" s="100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2"/>
        <v>0</v>
      </c>
      <c r="BD178" s="786">
        <f t="shared" si="63"/>
        <v>0</v>
      </c>
      <c r="BE178" s="786">
        <f t="shared" si="64"/>
        <v>0</v>
      </c>
      <c r="BH178" s="436"/>
    </row>
    <row r="179" spans="1:60" s="38" customFormat="1" ht="15" customHeight="1">
      <c r="A179" s="91">
        <v>14</v>
      </c>
      <c r="B179" s="170" t="s">
        <v>183</v>
      </c>
      <c r="C179" s="538" t="s">
        <v>61</v>
      </c>
      <c r="D179" s="164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58">
        <f>E179+F179+H179-I179-L179+G179-K179</f>
        <v>0</v>
      </c>
      <c r="N179" s="100">
        <f t="shared" si="59"/>
        <v>0</v>
      </c>
      <c r="O179" s="1159">
        <f>SUM(X179:BB179)</f>
        <v>0</v>
      </c>
      <c r="P179" s="804"/>
      <c r="Q179" s="804"/>
      <c r="R179" s="804">
        <f>O179/INTGRATE!$N$293</f>
        <v>0</v>
      </c>
      <c r="S179" s="665">
        <f t="shared" si="65"/>
        <v>0</v>
      </c>
      <c r="T179" s="403"/>
      <c r="U179" s="141"/>
      <c r="V179" s="840" t="str">
        <f t="shared" si="56"/>
        <v>952MX25</v>
      </c>
      <c r="W179" s="831">
        <v>321018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/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2"/>
        <v>0</v>
      </c>
      <c r="BD179" s="786">
        <f t="shared" si="63"/>
        <v>0</v>
      </c>
      <c r="BE179" s="786">
        <f t="shared" si="64"/>
        <v>0</v>
      </c>
      <c r="BH179" s="436"/>
    </row>
    <row r="180" spans="1:60" s="38" customFormat="1" ht="15" customHeight="1">
      <c r="A180" s="91">
        <v>15</v>
      </c>
      <c r="B180" s="94" t="s">
        <v>184</v>
      </c>
      <c r="C180" s="92" t="s">
        <v>61</v>
      </c>
      <c r="D180" s="91">
        <v>25</v>
      </c>
      <c r="E180" s="100">
        <v>223</v>
      </c>
      <c r="F180" s="100">
        <f>SUMIF(pro!$A:$A,$V:$V,pro!$N:$N)</f>
        <v>380</v>
      </c>
      <c r="G180" s="100"/>
      <c r="H180" s="100">
        <f>SUMIF(CBIN!$A:$A,BRAN!$V:$V,CBIN!$G:$G)</f>
        <v>0</v>
      </c>
      <c r="I180" s="100">
        <f>SUMIF(data!$D:$D,$B180&amp;$D180,data!$J:$J)</f>
        <v>44</v>
      </c>
      <c r="J180" s="100">
        <f>SUMIF(data!$D:$D,$B180&amp;$D180,data!$K:$K)</f>
        <v>1100</v>
      </c>
      <c r="K180" s="100">
        <f>SUMIF(AJOUT!$A:$A,BRAN!$V:$V,AJOUT!$L:$L)</f>
        <v>0</v>
      </c>
      <c r="L180" s="100">
        <f>SUMIF(CBOUT!$A:$A,BRAN!$V:$V,CBOUT!$G:$G)</f>
        <v>0</v>
      </c>
      <c r="M180" s="1158">
        <f t="shared" si="58"/>
        <v>559</v>
      </c>
      <c r="N180" s="100">
        <f t="shared" si="59"/>
        <v>13975</v>
      </c>
      <c r="O180" s="1159">
        <f t="shared" si="57"/>
        <v>14225</v>
      </c>
      <c r="P180" s="804"/>
      <c r="Q180" s="804"/>
      <c r="R180" s="804">
        <f>O180/INTGRATE!$N$293</f>
        <v>2845</v>
      </c>
      <c r="S180" s="665">
        <f t="shared" si="65"/>
        <v>4.9121265377855892</v>
      </c>
      <c r="T180" s="402"/>
      <c r="U180" s="141"/>
      <c r="V180" s="841" t="str">
        <f t="shared" si="56"/>
        <v>952S25</v>
      </c>
      <c r="W180" s="842">
        <v>320001</v>
      </c>
      <c r="X180" s="91"/>
      <c r="Y180" s="91">
        <v>1250</v>
      </c>
      <c r="Z180" s="100">
        <v>1250</v>
      </c>
      <c r="AA180" s="100">
        <v>750</v>
      </c>
      <c r="AB180" s="100">
        <v>9875</v>
      </c>
      <c r="AC180" s="100">
        <v>1100</v>
      </c>
      <c r="AD180" s="100"/>
      <c r="AE180" s="100"/>
      <c r="AF180" s="100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2"/>
        <v>14225</v>
      </c>
      <c r="BD180" s="786">
        <f t="shared" si="63"/>
        <v>5</v>
      </c>
      <c r="BE180" s="786">
        <f t="shared" si="64"/>
        <v>2845</v>
      </c>
      <c r="BH180" s="436"/>
    </row>
    <row r="181" spans="1:60" s="38" customFormat="1" ht="15" customHeight="1">
      <c r="A181" s="91">
        <v>16</v>
      </c>
      <c r="B181" s="170" t="s">
        <v>185</v>
      </c>
      <c r="C181" s="538" t="s">
        <v>61</v>
      </c>
      <c r="D181" s="164">
        <v>25</v>
      </c>
      <c r="E181" s="100">
        <v>0</v>
      </c>
      <c r="F181" s="100">
        <f>SUMIF(pro!$A:$A,$V:$V,pro!$N:$N)</f>
        <v>0</v>
      </c>
      <c r="G181" s="100"/>
      <c r="H181" s="100">
        <f>SUMIF(CBIN!$A:$A,BRAN!$V:$V,CBIN!$G:$G)</f>
        <v>0</v>
      </c>
      <c r="I181" s="100">
        <f>SUMIF(data!$D:$D,$B181&amp;$D181,data!$J:$J)</f>
        <v>0</v>
      </c>
      <c r="J181" s="100">
        <f>SUMIF(data!$D:$D,$B181&amp;$D181,data!$K:$K)</f>
        <v>0</v>
      </c>
      <c r="K181" s="100">
        <f>SUMIF(AJOUT!$A:$A,BRAN!$V:$V,AJOUT!$L:$L)</f>
        <v>0</v>
      </c>
      <c r="L181" s="100">
        <f>SUMIF(CBOUT!$A:$A,BRAN!$V:$V,CBOUT!$G:$G)</f>
        <v>0</v>
      </c>
      <c r="M181" s="1158">
        <f>E181+F181+H181-I181-L181+G181-K181</f>
        <v>0</v>
      </c>
      <c r="N181" s="100">
        <f t="shared" si="59"/>
        <v>0</v>
      </c>
      <c r="O181" s="1159">
        <f t="shared" si="57"/>
        <v>0</v>
      </c>
      <c r="P181" s="804"/>
      <c r="Q181" s="804"/>
      <c r="R181" s="804">
        <f>O181/INTGRATE!$N$293</f>
        <v>0</v>
      </c>
      <c r="S181" s="665">
        <f t="shared" si="65"/>
        <v>0</v>
      </c>
      <c r="T181" s="402"/>
      <c r="U181" s="141"/>
      <c r="V181" s="841" t="str">
        <f t="shared" si="56"/>
        <v>952SX25</v>
      </c>
      <c r="W181" s="823">
        <v>320008</v>
      </c>
      <c r="X181" s="91"/>
      <c r="Y181" s="91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/>
      <c r="AE181" s="100"/>
      <c r="AF181" s="100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2"/>
        <v>0</v>
      </c>
      <c r="BD181" s="786">
        <f t="shared" si="63"/>
        <v>0</v>
      </c>
      <c r="BE181" s="786">
        <f t="shared" si="64"/>
        <v>0</v>
      </c>
      <c r="BH181" s="436"/>
    </row>
    <row r="182" spans="1:60" s="38" customFormat="1" ht="15" customHeight="1">
      <c r="A182" s="91">
        <v>17</v>
      </c>
      <c r="B182" s="94">
        <v>953</v>
      </c>
      <c r="C182" s="94" t="s">
        <v>64</v>
      </c>
      <c r="D182" s="91">
        <v>25</v>
      </c>
      <c r="E182" s="100">
        <v>241</v>
      </c>
      <c r="F182" s="100">
        <f>SUMIF(pro!$A:$A,$V:$V,pro!$N:$N)</f>
        <v>0</v>
      </c>
      <c r="G182" s="100"/>
      <c r="H182" s="100">
        <f>SUMIF(CBIN!$A:$A,BRAN!$V:$V,CBIN!$G:$G)</f>
        <v>0</v>
      </c>
      <c r="I182" s="100">
        <f>SUMIF(data!$D:$D,$B182&amp;$D182,data!$J:$J)</f>
        <v>213</v>
      </c>
      <c r="J182" s="100">
        <f>SUMIF(data!$D:$D,$B182&amp;$D182,data!$K:$K)</f>
        <v>5325</v>
      </c>
      <c r="K182" s="100">
        <f>SUMIF(AJOUT!$A:$A,BRAN!$V:$V,AJOUT!$L:$L)</f>
        <v>0</v>
      </c>
      <c r="L182" s="100">
        <f>SUMIF(CBOUT!$A:$A,BRAN!$V:$V,CBOUT!$G:$G)</f>
        <v>0</v>
      </c>
      <c r="M182" s="1158">
        <f t="shared" si="58"/>
        <v>28</v>
      </c>
      <c r="N182" s="100">
        <f t="shared" si="59"/>
        <v>700</v>
      </c>
      <c r="O182" s="1159">
        <f t="shared" si="57"/>
        <v>13600</v>
      </c>
      <c r="P182" s="804"/>
      <c r="Q182" s="804"/>
      <c r="R182" s="804">
        <f>O182/INTGRATE!$N$293</f>
        <v>2720</v>
      </c>
      <c r="S182" s="665">
        <f t="shared" si="65"/>
        <v>0.25735294117647056</v>
      </c>
      <c r="T182" s="403"/>
      <c r="U182" s="141"/>
      <c r="V182" s="836" t="str">
        <f t="shared" si="56"/>
        <v>95325</v>
      </c>
      <c r="W182" s="823">
        <v>332301</v>
      </c>
      <c r="X182" s="91"/>
      <c r="Y182" s="91">
        <v>1750</v>
      </c>
      <c r="Z182" s="100">
        <v>1525</v>
      </c>
      <c r="AA182" s="100">
        <v>0</v>
      </c>
      <c r="AB182" s="100">
        <v>5000</v>
      </c>
      <c r="AC182" s="100">
        <v>5325</v>
      </c>
      <c r="AD182" s="100"/>
      <c r="AE182" s="100"/>
      <c r="AF182" s="100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2"/>
        <v>13600</v>
      </c>
      <c r="BD182" s="786">
        <f t="shared" si="63"/>
        <v>4</v>
      </c>
      <c r="BE182" s="786">
        <f t="shared" si="64"/>
        <v>3400</v>
      </c>
      <c r="BH182" s="436"/>
    </row>
    <row r="183" spans="1:60" s="38" customFormat="1" ht="15" customHeight="1">
      <c r="A183" s="91">
        <v>18</v>
      </c>
      <c r="B183" s="94" t="s">
        <v>186</v>
      </c>
      <c r="C183" s="94" t="s">
        <v>64</v>
      </c>
      <c r="D183" s="91">
        <v>25</v>
      </c>
      <c r="E183" s="100">
        <v>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0</v>
      </c>
      <c r="J183" s="100">
        <f>SUMIF(data!$D:$D,$B183&amp;$D183,data!$K:$K)</f>
        <v>0</v>
      </c>
      <c r="K183" s="100">
        <f>SUMIF(AJOUT!$A:$A,BRAN!$V:$V,AJOUT!$L:$L)</f>
        <v>0</v>
      </c>
      <c r="L183" s="100">
        <f>SUMIF(CBOUT!$A:$A,BRAN!$V:$V,CBOUT!$G:$G)</f>
        <v>0</v>
      </c>
      <c r="M183" s="1158">
        <f t="shared" si="58"/>
        <v>0</v>
      </c>
      <c r="N183" s="100">
        <f t="shared" si="59"/>
        <v>0</v>
      </c>
      <c r="O183" s="1159">
        <f t="shared" si="57"/>
        <v>0</v>
      </c>
      <c r="P183" s="804"/>
      <c r="Q183" s="804"/>
      <c r="R183" s="804">
        <f>O183/INTGRATE!$N$293</f>
        <v>0</v>
      </c>
      <c r="S183" s="665">
        <f t="shared" si="65"/>
        <v>0</v>
      </c>
      <c r="T183" s="404"/>
      <c r="U183" s="141"/>
      <c r="V183" s="840" t="str">
        <f t="shared" si="56"/>
        <v>953S25</v>
      </c>
      <c r="W183" s="831">
        <v>332101</v>
      </c>
      <c r="X183" s="91"/>
      <c r="Y183" s="91">
        <v>0</v>
      </c>
      <c r="Z183" s="100">
        <v>0</v>
      </c>
      <c r="AA183" s="100">
        <v>0</v>
      </c>
      <c r="AB183" s="100">
        <v>0</v>
      </c>
      <c r="AC183" s="100">
        <v>0</v>
      </c>
      <c r="AD183" s="100"/>
      <c r="AE183" s="100"/>
      <c r="AF183" s="100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2"/>
        <v>0</v>
      </c>
      <c r="BD183" s="786">
        <f t="shared" si="63"/>
        <v>0</v>
      </c>
      <c r="BE183" s="786">
        <f t="shared" si="64"/>
        <v>0</v>
      </c>
      <c r="BH183" s="436"/>
    </row>
    <row r="184" spans="1:60" s="38" customFormat="1" ht="15" customHeight="1">
      <c r="A184" s="91">
        <v>19</v>
      </c>
      <c r="B184" s="171">
        <v>966</v>
      </c>
      <c r="C184" s="171" t="s">
        <v>64</v>
      </c>
      <c r="D184" s="173">
        <v>25</v>
      </c>
      <c r="E184" s="100">
        <v>245</v>
      </c>
      <c r="F184" s="100">
        <f>SUMIF(pro!$A:$A,$V:$V,pro!$N:$N)</f>
        <v>0</v>
      </c>
      <c r="G184" s="100"/>
      <c r="H184" s="100">
        <f>SUMIF(CBIN!$A:$A,BRAN!$V:$V,CBIN!$G:$G)</f>
        <v>0</v>
      </c>
      <c r="I184" s="100">
        <f>SUMIF(data!$D:$D,$B184&amp;$D184,data!$J:$J)</f>
        <v>138</v>
      </c>
      <c r="J184" s="100">
        <f>SUMIF(data!$D:$D,$B184&amp;$D184,data!$K:$K)</f>
        <v>3450</v>
      </c>
      <c r="K184" s="100">
        <f>SUMIF(AJOUT!$A:$A,BRAN!$V:$V,AJOUT!$L:$L)</f>
        <v>0</v>
      </c>
      <c r="L184" s="100">
        <f>SUMIF(CBOUT!$A:$A,BRAN!$V:$V,CBOUT!$G:$G)</f>
        <v>0</v>
      </c>
      <c r="M184" s="1158">
        <f t="shared" si="58"/>
        <v>107</v>
      </c>
      <c r="N184" s="100">
        <f t="shared" si="59"/>
        <v>2675</v>
      </c>
      <c r="O184" s="1159">
        <f t="shared" si="57"/>
        <v>16075</v>
      </c>
      <c r="P184" s="804"/>
      <c r="Q184" s="804"/>
      <c r="R184" s="804">
        <f>O184/INTGRATE!$N$293</f>
        <v>3215</v>
      </c>
      <c r="S184" s="665">
        <f t="shared" si="65"/>
        <v>0.83203732503888028</v>
      </c>
      <c r="T184" s="402"/>
      <c r="U184" s="141"/>
      <c r="V184" s="840" t="str">
        <f t="shared" si="56"/>
        <v>96625</v>
      </c>
      <c r="W184" s="831">
        <v>366201</v>
      </c>
      <c r="X184" s="91"/>
      <c r="Y184" s="91">
        <v>1500</v>
      </c>
      <c r="Z184" s="100">
        <v>1625</v>
      </c>
      <c r="AA184" s="100">
        <v>5250</v>
      </c>
      <c r="AB184" s="100">
        <v>4250</v>
      </c>
      <c r="AC184" s="100">
        <v>3450</v>
      </c>
      <c r="AD184" s="100"/>
      <c r="AE184" s="100"/>
      <c r="AF184" s="100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2"/>
        <v>16075</v>
      </c>
      <c r="BD184" s="786">
        <f t="shared" si="63"/>
        <v>5</v>
      </c>
      <c r="BE184" s="786">
        <f t="shared" si="64"/>
        <v>3215</v>
      </c>
      <c r="BH184" s="436"/>
    </row>
    <row r="185" spans="1:60" s="38" customFormat="1" ht="15" customHeight="1">
      <c r="A185" s="91">
        <v>20</v>
      </c>
      <c r="B185" s="181">
        <v>967</v>
      </c>
      <c r="C185" s="171" t="s">
        <v>64</v>
      </c>
      <c r="D185" s="182">
        <v>25</v>
      </c>
      <c r="E185" s="157">
        <v>143</v>
      </c>
      <c r="F185" s="100">
        <f>SUMIF(pro!$A:$A,$V:$V,pro!$N:$N)</f>
        <v>0</v>
      </c>
      <c r="G185" s="100"/>
      <c r="H185" s="100">
        <f>SUMIF(CBIN!$A:$A,BRAN!$V:$V,CBIN!$G:$G)</f>
        <v>0</v>
      </c>
      <c r="I185" s="100">
        <f>SUMIF(data!$D:$D,$B185&amp;$D185,data!$J:$J)</f>
        <v>56</v>
      </c>
      <c r="J185" s="100">
        <f>SUMIF(data!$D:$D,$B185&amp;$D185,data!$K:$K)</f>
        <v>1400</v>
      </c>
      <c r="K185" s="100">
        <f>SUMIF(AJOUT!$A:$A,BRAN!$V:$V,AJOUT!$L:$L)</f>
        <v>0</v>
      </c>
      <c r="L185" s="100">
        <f>SUMIF(CBOUT!$A:$A,BRAN!$V:$V,CBOUT!$G:$G)</f>
        <v>0</v>
      </c>
      <c r="M185" s="1158">
        <f t="shared" si="58"/>
        <v>87</v>
      </c>
      <c r="N185" s="100">
        <f t="shared" si="59"/>
        <v>2175</v>
      </c>
      <c r="O185" s="1159">
        <f t="shared" si="57"/>
        <v>3375</v>
      </c>
      <c r="P185" s="804"/>
      <c r="Q185" s="804"/>
      <c r="R185" s="804">
        <f>O185/INTGRATE!$N$293</f>
        <v>675</v>
      </c>
      <c r="S185" s="665">
        <f t="shared" si="65"/>
        <v>3.2222222222222223</v>
      </c>
      <c r="T185" s="402"/>
      <c r="U185" s="141"/>
      <c r="V185" s="840" t="str">
        <f t="shared" si="56"/>
        <v>96725</v>
      </c>
      <c r="W185" s="831">
        <v>367201</v>
      </c>
      <c r="X185" s="91"/>
      <c r="Y185" s="91">
        <v>50</v>
      </c>
      <c r="Z185" s="100">
        <v>625</v>
      </c>
      <c r="AA185" s="100">
        <v>1050</v>
      </c>
      <c r="AB185" s="100">
        <v>250</v>
      </c>
      <c r="AC185" s="100">
        <v>1400</v>
      </c>
      <c r="AD185" s="100"/>
      <c r="AE185" s="100"/>
      <c r="AF185" s="100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2"/>
        <v>3375</v>
      </c>
      <c r="BD185" s="786">
        <f t="shared" si="63"/>
        <v>5</v>
      </c>
      <c r="BE185" s="786">
        <f t="shared" si="64"/>
        <v>675</v>
      </c>
      <c r="BH185" s="436"/>
    </row>
    <row r="186" spans="1:60" s="38" customFormat="1" ht="15" customHeight="1">
      <c r="A186" s="91">
        <v>21</v>
      </c>
      <c r="B186" s="181" t="s">
        <v>187</v>
      </c>
      <c r="C186" s="181" t="s">
        <v>64</v>
      </c>
      <c r="D186" s="182">
        <v>25</v>
      </c>
      <c r="E186" s="157">
        <v>0</v>
      </c>
      <c r="F186" s="100">
        <f>SUMIF(pro!$A:$A,$V:$V,pro!$N:$N)</f>
        <v>0</v>
      </c>
      <c r="G186" s="157"/>
      <c r="H186" s="100">
        <f>SUMIF(CBIN!$A:$A,BRAN!$V:$V,CBIN!$G:$G)</f>
        <v>0</v>
      </c>
      <c r="I186" s="100">
        <f>SUMIF(data!$D:$D,$B186&amp;$D186,data!$J:$J)</f>
        <v>0</v>
      </c>
      <c r="J186" s="100">
        <f>SUMIF(data!$D:$D,$B186&amp;$D186,data!$K:$K)</f>
        <v>0</v>
      </c>
      <c r="K186" s="100">
        <f>SUMIF(AJOUT!$A:$A,BRAN!$V:$V,AJOUT!$L:$L)</f>
        <v>0</v>
      </c>
      <c r="L186" s="100">
        <f>SUMIF(CBOUT!$A:$A,BRAN!$V:$V,CBOUT!$G:$G)</f>
        <v>0</v>
      </c>
      <c r="M186" s="1158">
        <f t="shared" si="58"/>
        <v>0</v>
      </c>
      <c r="N186" s="100">
        <f t="shared" si="59"/>
        <v>0</v>
      </c>
      <c r="O186" s="1159">
        <f t="shared" si="57"/>
        <v>4075</v>
      </c>
      <c r="P186" s="804"/>
      <c r="Q186" s="804"/>
      <c r="R186" s="804">
        <f>O186/INTGRATE!$N$293</f>
        <v>815</v>
      </c>
      <c r="S186" s="665">
        <f t="shared" si="65"/>
        <v>0</v>
      </c>
      <c r="T186" s="405"/>
      <c r="U186" s="141"/>
      <c r="V186" s="840" t="str">
        <f t="shared" si="56"/>
        <v>967S25</v>
      </c>
      <c r="W186" s="831">
        <v>367101</v>
      </c>
      <c r="X186" s="560"/>
      <c r="Y186" s="560">
        <v>3000</v>
      </c>
      <c r="Z186" s="100">
        <v>0</v>
      </c>
      <c r="AA186" s="100">
        <v>0</v>
      </c>
      <c r="AB186" s="100">
        <v>1075</v>
      </c>
      <c r="AC186" s="100">
        <v>0</v>
      </c>
      <c r="AD186" s="100"/>
      <c r="AE186" s="100"/>
      <c r="AF186" s="100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2"/>
        <v>4075</v>
      </c>
      <c r="BD186" s="786">
        <f t="shared" si="63"/>
        <v>2</v>
      </c>
      <c r="BE186" s="786">
        <f t="shared" si="64"/>
        <v>2037.5</v>
      </c>
      <c r="BF186" s="85"/>
      <c r="BH186" s="436"/>
    </row>
    <row r="187" spans="1:60" s="38" customFormat="1" ht="15" customHeight="1">
      <c r="A187" s="91">
        <v>22</v>
      </c>
      <c r="B187" s="410" t="s">
        <v>188</v>
      </c>
      <c r="C187" s="410" t="s">
        <v>64</v>
      </c>
      <c r="D187" s="410">
        <v>25</v>
      </c>
      <c r="E187" s="157">
        <v>0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0</v>
      </c>
      <c r="J187" s="100">
        <f>SUMIF(data!$D:$D,$B187&amp;$D187,data!$K:$K)</f>
        <v>0</v>
      </c>
      <c r="K187" s="100">
        <f>SUMIF(AJOUT!$A:$A,BRAN!$V:$V,AJOUT!$L:$L)</f>
        <v>0</v>
      </c>
      <c r="L187" s="100">
        <f>SUMIF(CBOUT!$A:$A,BRAN!$V:$V,CBOUT!$G:$G)</f>
        <v>0</v>
      </c>
      <c r="M187" s="1158">
        <f t="shared" si="58"/>
        <v>0</v>
      </c>
      <c r="N187" s="100">
        <f t="shared" si="59"/>
        <v>0</v>
      </c>
      <c r="O187" s="1159">
        <f t="shared" si="57"/>
        <v>0</v>
      </c>
      <c r="P187" s="804"/>
      <c r="Q187" s="804"/>
      <c r="R187" s="804">
        <f>O187/INTGRATE!$N$293</f>
        <v>0</v>
      </c>
      <c r="S187" s="665">
        <f t="shared" si="65"/>
        <v>0</v>
      </c>
      <c r="T187" s="403"/>
      <c r="U187" s="141"/>
      <c r="V187" s="840" t="str">
        <f t="shared" si="56"/>
        <v>985S25</v>
      </c>
      <c r="W187" s="831">
        <v>433011</v>
      </c>
      <c r="X187" s="560"/>
      <c r="Y187" s="56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/>
      <c r="AE187" s="100"/>
      <c r="AF187" s="100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2"/>
        <v>0</v>
      </c>
      <c r="BD187" s="786">
        <f t="shared" si="63"/>
        <v>0</v>
      </c>
      <c r="BE187" s="786">
        <f t="shared" si="64"/>
        <v>0</v>
      </c>
      <c r="BH187" s="436"/>
    </row>
    <row r="188" spans="1:60" s="38" customFormat="1" ht="15" customHeight="1">
      <c r="A188" s="91">
        <v>23</v>
      </c>
      <c r="B188" s="410">
        <v>996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58">
        <f>E188+F188+H188-I188-L188+G188-K188</f>
        <v>0</v>
      </c>
      <c r="N188" s="100">
        <f t="shared" si="59"/>
        <v>0</v>
      </c>
      <c r="O188" s="1159">
        <f t="shared" si="57"/>
        <v>0</v>
      </c>
      <c r="P188" s="804"/>
      <c r="Q188" s="804"/>
      <c r="R188" s="804">
        <f>O188/INTGRATE!$N$293</f>
        <v>0</v>
      </c>
      <c r="S188" s="665">
        <f t="shared" si="65"/>
        <v>0</v>
      </c>
      <c r="T188" s="405"/>
      <c r="U188" s="141"/>
      <c r="V188" s="840" t="str">
        <f t="shared" si="56"/>
        <v>99625</v>
      </c>
      <c r="W188" s="823">
        <v>424001</v>
      </c>
      <c r="X188" s="560"/>
      <c r="Y188" s="56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2"/>
        <v>0</v>
      </c>
      <c r="BD188" s="786">
        <f t="shared" si="63"/>
        <v>0</v>
      </c>
      <c r="BE188" s="786">
        <f t="shared" si="64"/>
        <v>0</v>
      </c>
      <c r="BH188" s="436"/>
    </row>
    <row r="189" spans="1:60" s="38" customFormat="1">
      <c r="A189" s="91">
        <v>24</v>
      </c>
      <c r="B189" s="410">
        <v>995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58">
        <f>E189+F189+H189-I189-L189+G189-K189</f>
        <v>0</v>
      </c>
      <c r="N189" s="100">
        <f t="shared" si="59"/>
        <v>0</v>
      </c>
      <c r="O189" s="1159">
        <f t="shared" si="57"/>
        <v>0</v>
      </c>
      <c r="P189" s="804"/>
      <c r="Q189" s="804"/>
      <c r="R189" s="804">
        <f>O189/INTGRATE!$N$293</f>
        <v>0</v>
      </c>
      <c r="S189" s="665">
        <f t="shared" si="65"/>
        <v>0</v>
      </c>
      <c r="T189" s="405"/>
      <c r="U189" s="141"/>
      <c r="V189" s="840" t="str">
        <f t="shared" si="56"/>
        <v>99525</v>
      </c>
      <c r="W189" s="831">
        <v>423001</v>
      </c>
      <c r="X189" s="560"/>
      <c r="Y189" s="560">
        <v>0</v>
      </c>
      <c r="Z189" s="100">
        <v>0</v>
      </c>
      <c r="AA189" s="100">
        <v>0</v>
      </c>
      <c r="AB189" s="100">
        <v>0</v>
      </c>
      <c r="AC189" s="100">
        <v>0</v>
      </c>
      <c r="AD189" s="100"/>
      <c r="AE189" s="100"/>
      <c r="AF189" s="100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2"/>
        <v>0</v>
      </c>
      <c r="BD189" s="786">
        <f t="shared" si="63"/>
        <v>0</v>
      </c>
      <c r="BE189" s="786">
        <f t="shared" si="64"/>
        <v>0</v>
      </c>
      <c r="BH189" s="436"/>
    </row>
    <row r="190" spans="1:60" s="38" customFormat="1" ht="15" customHeight="1">
      <c r="A190" s="91">
        <v>25</v>
      </c>
      <c r="B190" s="448" t="s">
        <v>189</v>
      </c>
      <c r="C190" s="448" t="s">
        <v>64</v>
      </c>
      <c r="D190" s="448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58">
        <f t="shared" si="58"/>
        <v>0</v>
      </c>
      <c r="N190" s="100">
        <f t="shared" si="59"/>
        <v>0</v>
      </c>
      <c r="O190" s="1159">
        <f t="shared" si="57"/>
        <v>0</v>
      </c>
      <c r="P190" s="804"/>
      <c r="Q190" s="804"/>
      <c r="R190" s="804">
        <f>O190/INTGRATE!$N$293</f>
        <v>0</v>
      </c>
      <c r="S190" s="665">
        <f t="shared" si="65"/>
        <v>0</v>
      </c>
      <c r="T190" s="461"/>
      <c r="U190" s="141"/>
      <c r="V190" s="840" t="str">
        <f t="shared" si="56"/>
        <v>991-1425</v>
      </c>
      <c r="W190" s="831">
        <v>513001</v>
      </c>
      <c r="X190" s="560"/>
      <c r="Y190" s="560">
        <v>0</v>
      </c>
      <c r="Z190" s="100">
        <v>0</v>
      </c>
      <c r="AA190" s="100">
        <v>0</v>
      </c>
      <c r="AB190" s="100">
        <v>0</v>
      </c>
      <c r="AC190" s="100">
        <v>0</v>
      </c>
      <c r="AD190" s="100"/>
      <c r="AE190" s="100"/>
      <c r="AF190" s="100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2"/>
        <v>0</v>
      </c>
      <c r="BD190" s="786">
        <f t="shared" si="63"/>
        <v>0</v>
      </c>
      <c r="BE190" s="786">
        <f t="shared" si="64"/>
        <v>0</v>
      </c>
      <c r="BH190" s="436"/>
    </row>
    <row r="191" spans="1:60" s="38" customFormat="1" ht="15" customHeight="1">
      <c r="A191" s="91">
        <v>26</v>
      </c>
      <c r="B191" s="448" t="s">
        <v>190</v>
      </c>
      <c r="C191" s="448" t="s">
        <v>64</v>
      </c>
      <c r="D191" s="448">
        <v>25</v>
      </c>
      <c r="E191" s="157">
        <v>57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30</v>
      </c>
      <c r="J191" s="100">
        <f>SUMIF(data!$D:$D,$B191&amp;$D191,data!$K:$K)</f>
        <v>750</v>
      </c>
      <c r="K191" s="100">
        <f>SUMIF(AJOUT!$A:$A,BRAN!$V:$V,AJOUT!$L:$L)</f>
        <v>1</v>
      </c>
      <c r="L191" s="100">
        <f>SUMIF(CBOUT!$A:$A,BRAN!$V:$V,CBOUT!$G:$G)</f>
        <v>0</v>
      </c>
      <c r="M191" s="1158">
        <f t="shared" si="58"/>
        <v>26</v>
      </c>
      <c r="N191" s="100">
        <f t="shared" si="59"/>
        <v>650</v>
      </c>
      <c r="O191" s="1159">
        <f t="shared" si="57"/>
        <v>3700</v>
      </c>
      <c r="P191" s="804"/>
      <c r="Q191" s="804"/>
      <c r="R191" s="804">
        <f>O191/INTGRATE!$N$293</f>
        <v>740</v>
      </c>
      <c r="S191" s="665">
        <f t="shared" si="65"/>
        <v>0.8783783783783784</v>
      </c>
      <c r="T191" s="461"/>
      <c r="U191" s="141"/>
      <c r="V191" s="840" t="str">
        <f t="shared" si="56"/>
        <v>991-1825</v>
      </c>
      <c r="W191" s="831">
        <v>511001</v>
      </c>
      <c r="X191" s="560"/>
      <c r="Y191" s="560">
        <v>2700</v>
      </c>
      <c r="Z191" s="100">
        <v>0</v>
      </c>
      <c r="AA191" s="100">
        <v>250</v>
      </c>
      <c r="AB191" s="100">
        <v>0</v>
      </c>
      <c r="AC191" s="100">
        <v>750</v>
      </c>
      <c r="AD191" s="100"/>
      <c r="AE191" s="100"/>
      <c r="AF191" s="100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2"/>
        <v>3700</v>
      </c>
      <c r="BD191" s="786">
        <f t="shared" si="63"/>
        <v>3</v>
      </c>
      <c r="BE191" s="786">
        <f t="shared" si="64"/>
        <v>1233.3333333333333</v>
      </c>
      <c r="BH191" s="436"/>
    </row>
    <row r="192" spans="1:60" s="38" customFormat="1" ht="15" customHeight="1">
      <c r="A192" s="91">
        <v>27</v>
      </c>
      <c r="B192" s="410">
        <v>984</v>
      </c>
      <c r="C192" s="780" t="s">
        <v>64</v>
      </c>
      <c r="D192" s="1174">
        <v>25</v>
      </c>
      <c r="E192" s="157">
        <v>1</v>
      </c>
      <c r="F192" s="100">
        <f>SUMIF(pro!$A:$A,$V:$V,pro!$N:$N)</f>
        <v>0</v>
      </c>
      <c r="G192" s="157"/>
      <c r="H192" s="100">
        <f>SUMIF(CBIN!$A:$A,BRAN!$V:$V,CBIN!$G:$G)</f>
        <v>0</v>
      </c>
      <c r="I192" s="100">
        <f>SUMIF(data!$D:$D,$B192&amp;$D192,data!$J:$J)</f>
        <v>0</v>
      </c>
      <c r="J192" s="100">
        <f>SUMIF(data!$D:$D,$B192&amp;$D192,data!$K:$K)</f>
        <v>0</v>
      </c>
      <c r="K192" s="100">
        <f>SUMIF(AJOUT!$A:$A,BRAN!$V:$V,AJOUT!$L:$L)</f>
        <v>1</v>
      </c>
      <c r="L192" s="100">
        <f>SUMIF(CBOUT!$A:$A,BRAN!$V:$V,CBOUT!$G:$G)</f>
        <v>0</v>
      </c>
      <c r="M192" s="1158">
        <f>E192+F192+H192-I192-L192+G192-K192</f>
        <v>0</v>
      </c>
      <c r="N192" s="100">
        <f t="shared" si="59"/>
        <v>0</v>
      </c>
      <c r="O192" s="1159">
        <f t="shared" si="57"/>
        <v>2250</v>
      </c>
      <c r="P192" s="804"/>
      <c r="Q192" s="804"/>
      <c r="R192" s="804">
        <f>O192/INTGRATE!$N$293</f>
        <v>450</v>
      </c>
      <c r="S192" s="665">
        <f t="shared" si="65"/>
        <v>0</v>
      </c>
      <c r="T192" s="406"/>
      <c r="U192" s="141"/>
      <c r="V192" s="840" t="str">
        <f t="shared" si="56"/>
        <v>98425</v>
      </c>
      <c r="W192" s="831">
        <v>433001</v>
      </c>
      <c r="X192" s="156"/>
      <c r="Y192" s="156">
        <v>1750</v>
      </c>
      <c r="Z192" s="558">
        <v>0</v>
      </c>
      <c r="AA192" s="558">
        <v>0</v>
      </c>
      <c r="AB192" s="558">
        <v>500</v>
      </c>
      <c r="AC192" s="558"/>
      <c r="AD192" s="100"/>
      <c r="AE192" s="558"/>
      <c r="AF192" s="100"/>
      <c r="AG192" s="558"/>
      <c r="AH192" s="558"/>
      <c r="AI192" s="558"/>
      <c r="AJ192" s="558"/>
      <c r="AK192" s="558"/>
      <c r="AL192" s="558"/>
      <c r="AM192" s="558"/>
      <c r="AN192" s="558"/>
      <c r="AO192" s="558"/>
      <c r="AP192" s="558"/>
      <c r="AQ192" s="100"/>
      <c r="AR192" s="558"/>
      <c r="AS192" s="558"/>
      <c r="AT192" s="558"/>
      <c r="AU192" s="100"/>
      <c r="AV192" s="558"/>
      <c r="AW192" s="558"/>
      <c r="AX192" s="558"/>
      <c r="AY192" s="558"/>
      <c r="AZ192" s="558"/>
      <c r="BA192" s="558"/>
      <c r="BB192" s="558"/>
      <c r="BC192" s="276">
        <f t="shared" si="62"/>
        <v>2250</v>
      </c>
      <c r="BD192" s="786">
        <f t="shared" si="63"/>
        <v>2</v>
      </c>
      <c r="BE192" s="786">
        <f t="shared" si="64"/>
        <v>1125</v>
      </c>
      <c r="BH192" s="436"/>
    </row>
    <row r="193" spans="1:60" s="63" customFormat="1" ht="15" customHeight="1">
      <c r="A193" s="1099" t="s">
        <v>71</v>
      </c>
      <c r="B193" s="1100"/>
      <c r="C193" s="1100"/>
      <c r="D193" s="1101"/>
      <c r="E193" s="64"/>
      <c r="F193" s="64"/>
      <c r="G193" s="64"/>
      <c r="H193" s="64"/>
      <c r="I193" s="64"/>
      <c r="J193" s="64"/>
      <c r="K193" s="64"/>
      <c r="L193" s="64"/>
      <c r="M193" s="470"/>
      <c r="N193" s="64"/>
      <c r="O193" s="64"/>
      <c r="P193" s="64"/>
      <c r="Q193" s="64"/>
      <c r="R193" s="64"/>
      <c r="S193" s="82"/>
      <c r="T193" s="1105"/>
      <c r="U193" s="137"/>
      <c r="V193" s="840" t="str">
        <f t="shared" si="56"/>
        <v/>
      </c>
      <c r="W193" s="831"/>
      <c r="X193" s="79">
        <f t="shared" ref="X193:BB193" si="66">SUM(X166:X192)</f>
        <v>0</v>
      </c>
      <c r="Y193" s="79">
        <f t="shared" si="66"/>
        <v>30675</v>
      </c>
      <c r="Z193" s="79">
        <f t="shared" si="66"/>
        <v>9650</v>
      </c>
      <c r="AA193" s="79">
        <f t="shared" si="66"/>
        <v>14600</v>
      </c>
      <c r="AB193" s="79">
        <f t="shared" si="66"/>
        <v>42175</v>
      </c>
      <c r="AC193" s="79">
        <f t="shared" si="66"/>
        <v>19525</v>
      </c>
      <c r="AD193" s="79">
        <f t="shared" si="66"/>
        <v>0</v>
      </c>
      <c r="AE193" s="79">
        <f t="shared" si="66"/>
        <v>0</v>
      </c>
      <c r="AF193" s="79">
        <f t="shared" si="66"/>
        <v>0</v>
      </c>
      <c r="AG193" s="79">
        <f t="shared" si="66"/>
        <v>0</v>
      </c>
      <c r="AH193" s="79">
        <f t="shared" si="66"/>
        <v>0</v>
      </c>
      <c r="AI193" s="79">
        <f t="shared" si="66"/>
        <v>0</v>
      </c>
      <c r="AJ193" s="79">
        <f t="shared" si="66"/>
        <v>0</v>
      </c>
      <c r="AK193" s="79">
        <f t="shared" si="66"/>
        <v>0</v>
      </c>
      <c r="AL193" s="79">
        <f t="shared" si="66"/>
        <v>0</v>
      </c>
      <c r="AM193" s="79">
        <f t="shared" si="66"/>
        <v>0</v>
      </c>
      <c r="AN193" s="79">
        <f t="shared" si="66"/>
        <v>0</v>
      </c>
      <c r="AO193" s="79">
        <f t="shared" si="66"/>
        <v>0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532">
        <f>SUM(X193:BB193)</f>
        <v>116625</v>
      </c>
      <c r="BD193" s="789"/>
      <c r="BE193" s="789"/>
      <c r="BH193" s="437"/>
    </row>
    <row r="194" spans="1:60" s="63" customFormat="1" ht="15" customHeight="1">
      <c r="A194" s="1099" t="s">
        <v>72</v>
      </c>
      <c r="B194" s="1100"/>
      <c r="C194" s="1100"/>
      <c r="D194" s="1101"/>
      <c r="E194" s="64">
        <f>SUM(E166:E173,E176:E192)</f>
        <v>1978</v>
      </c>
      <c r="F194" s="64">
        <f>SUM(F166:F173,F176:F192)</f>
        <v>573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781</v>
      </c>
      <c r="J194" s="64">
        <f t="shared" si="67"/>
        <v>19525</v>
      </c>
      <c r="K194" s="64">
        <f t="shared" si="67"/>
        <v>3</v>
      </c>
      <c r="L194" s="64">
        <f t="shared" si="67"/>
        <v>1</v>
      </c>
      <c r="M194" s="64">
        <f t="shared" si="67"/>
        <v>1766</v>
      </c>
      <c r="N194" s="64">
        <f t="shared" si="67"/>
        <v>44150</v>
      </c>
      <c r="O194" s="64">
        <f t="shared" si="67"/>
        <v>116625</v>
      </c>
      <c r="P194" s="64">
        <f t="shared" si="67"/>
        <v>44150</v>
      </c>
      <c r="Q194" s="64">
        <f t="shared" si="67"/>
        <v>116625</v>
      </c>
      <c r="R194" s="64">
        <f t="shared" si="67"/>
        <v>23325</v>
      </c>
      <c r="S194" s="64">
        <f>SUM(S166:S172,S176:S192)</f>
        <v>20.117739290117846</v>
      </c>
      <c r="T194" s="1106"/>
      <c r="U194" s="137">
        <f>SUM(U166:U168,U176:U192)*25</f>
        <v>0</v>
      </c>
      <c r="V194" s="840" t="str">
        <f t="shared" si="56"/>
        <v/>
      </c>
      <c r="W194" s="83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437"/>
    </row>
    <row r="195" spans="1:60" s="63" customFormat="1" ht="15" customHeight="1">
      <c r="A195" s="1099" t="s">
        <v>73</v>
      </c>
      <c r="B195" s="1100"/>
      <c r="C195" s="1100"/>
      <c r="D195" s="1101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474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106"/>
      <c r="U195" s="151">
        <f>SUM(U174:U175)*40</f>
        <v>0</v>
      </c>
      <c r="V195" s="834" t="str">
        <f t="shared" si="56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126" customFormat="1" ht="15" customHeight="1">
      <c r="A196" s="1109" t="s">
        <v>75</v>
      </c>
      <c r="B196" s="1110"/>
      <c r="C196" s="1110"/>
      <c r="D196" s="1111"/>
      <c r="E196" s="125">
        <f>SUM(E193:E195)</f>
        <v>1978</v>
      </c>
      <c r="F196" s="125">
        <f>SUM(F193:F195)</f>
        <v>573</v>
      </c>
      <c r="G196" s="125">
        <f>SUM(G193:G195)</f>
        <v>0</v>
      </c>
      <c r="H196" s="125">
        <f t="shared" ref="H196:N196" si="69">SUM(H193:H195)</f>
        <v>0</v>
      </c>
      <c r="I196" s="125">
        <f>SUM(I193:I195)</f>
        <v>781</v>
      </c>
      <c r="J196" s="125">
        <f>SUM(J193:J195)</f>
        <v>19525</v>
      </c>
      <c r="K196" s="125">
        <f>SUM(K193:K195)</f>
        <v>3</v>
      </c>
      <c r="L196" s="125">
        <f t="shared" si="69"/>
        <v>1</v>
      </c>
      <c r="M196" s="475">
        <f t="shared" si="69"/>
        <v>1766</v>
      </c>
      <c r="N196" s="125">
        <f t="shared" si="69"/>
        <v>44150</v>
      </c>
      <c r="O196" s="1112">
        <f>SUM(O166:O192)</f>
        <v>116625</v>
      </c>
      <c r="P196" s="186"/>
      <c r="Q196" s="186"/>
      <c r="R196" s="1095">
        <f>SUM(R166:R192)</f>
        <v>23325</v>
      </c>
      <c r="S196" s="1097" t="s">
        <v>191</v>
      </c>
      <c r="T196" s="1106"/>
      <c r="U196" s="143">
        <f>SUM(U166:U192)</f>
        <v>0</v>
      </c>
      <c r="V196" s="834" t="str">
        <f t="shared" si="56"/>
        <v/>
      </c>
      <c r="W196" s="831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353"/>
      <c r="BD196" s="353"/>
      <c r="BE196" s="353"/>
      <c r="BF196" s="353"/>
      <c r="BG196" s="353"/>
      <c r="BH196" s="437"/>
    </row>
    <row r="197" spans="1:60" s="86" customFormat="1" ht="15" customHeight="1">
      <c r="A197" s="1099" t="s">
        <v>77</v>
      </c>
      <c r="B197" s="1100"/>
      <c r="C197" s="1100"/>
      <c r="D197" s="1101"/>
      <c r="E197" s="120">
        <f>SUM(E193:E194)*25+E195*40</f>
        <v>49450</v>
      </c>
      <c r="F197" s="120">
        <f>SUM(F193:F194)*25+F195*40</f>
        <v>14325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19525</v>
      </c>
      <c r="J197" s="120">
        <f>SUM(J193:J194)+J195</f>
        <v>19525</v>
      </c>
      <c r="K197" s="120">
        <f>+K194*25</f>
        <v>75</v>
      </c>
      <c r="L197" s="120">
        <f>SUM(L193:L194)*25+L195*40</f>
        <v>25</v>
      </c>
      <c r="M197" s="476">
        <f>SUM(M193:M194)*25+M195*40</f>
        <v>44150</v>
      </c>
      <c r="N197" s="120">
        <f>SUM(N193:N194)+N195</f>
        <v>44150</v>
      </c>
      <c r="O197" s="1113"/>
      <c r="P197" s="187"/>
      <c r="Q197" s="187"/>
      <c r="R197" s="1096"/>
      <c r="S197" s="1098"/>
      <c r="T197" s="1107"/>
      <c r="U197" s="144">
        <f>SUM(U193:U195)</f>
        <v>0</v>
      </c>
      <c r="V197" s="834" t="str">
        <f t="shared" si="56"/>
        <v/>
      </c>
      <c r="W197" s="83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437"/>
    </row>
    <row r="198" spans="1:60" s="86" customFormat="1" ht="15" customHeight="1">
      <c r="A198" s="286" t="s">
        <v>174</v>
      </c>
      <c r="B198" s="37"/>
      <c r="C198" s="37"/>
      <c r="D198" s="37"/>
      <c r="E198" s="130"/>
      <c r="F198" s="130"/>
      <c r="G198" s="130"/>
      <c r="H198" s="37"/>
      <c r="I198" s="37"/>
      <c r="J198" s="37"/>
      <c r="K198" s="37"/>
      <c r="L198" s="37"/>
      <c r="M198" s="472"/>
      <c r="N198" s="37"/>
      <c r="O198" s="37"/>
      <c r="P198" s="37"/>
      <c r="Q198" s="37"/>
      <c r="R198" s="37"/>
      <c r="S198" s="37"/>
      <c r="T198" s="458"/>
      <c r="U198" s="145"/>
      <c r="V198" s="834" t="str">
        <f t="shared" si="56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175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465"/>
      <c r="N199" s="38"/>
      <c r="O199" s="38"/>
      <c r="P199" s="38"/>
      <c r="Q199" s="38"/>
      <c r="R199" s="38"/>
      <c r="S199" s="38"/>
      <c r="T199" s="459"/>
      <c r="U199" s="134"/>
      <c r="V199" s="834" t="str">
        <f t="shared" si="56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176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473"/>
      <c r="N200" s="362"/>
      <c r="O200" s="362"/>
      <c r="P200" s="362"/>
      <c r="Q200" s="362"/>
      <c r="R200" s="362"/>
      <c r="S200" s="362"/>
      <c r="T200" s="460"/>
      <c r="U200" s="134"/>
      <c r="V200" s="834" t="str">
        <f t="shared" si="56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38" customFormat="1" ht="15" customHeight="1">
      <c r="A201" s="443" t="s">
        <v>20</v>
      </c>
      <c r="B201" s="443"/>
      <c r="C201" s="443"/>
      <c r="D201" s="443"/>
      <c r="E201" s="443"/>
      <c r="F201" s="443"/>
      <c r="G201" s="443"/>
      <c r="H201" s="443"/>
      <c r="I201" s="443"/>
      <c r="J201" s="443"/>
      <c r="K201" s="443"/>
      <c r="L201" s="443"/>
      <c r="M201" s="468"/>
      <c r="N201" s="443"/>
      <c r="O201" s="443"/>
      <c r="P201" s="443"/>
      <c r="Q201" s="443"/>
      <c r="R201" s="443"/>
      <c r="S201" s="443"/>
      <c r="T201" s="78"/>
      <c r="U201" s="139"/>
      <c r="V201" s="839" t="str">
        <f t="shared" si="56"/>
        <v/>
      </c>
      <c r="W201" s="82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436"/>
    </row>
    <row r="202" spans="1:60" s="38" customFormat="1" ht="15" customHeight="1">
      <c r="A202" s="444" t="s">
        <v>192</v>
      </c>
      <c r="B202" s="444"/>
      <c r="C202" s="444"/>
      <c r="D202" s="444"/>
      <c r="E202" s="444"/>
      <c r="F202" s="444"/>
      <c r="G202" s="444"/>
      <c r="H202" s="444"/>
      <c r="I202" s="444"/>
      <c r="J202" s="444"/>
      <c r="K202" s="444"/>
      <c r="L202" s="444"/>
      <c r="M202" s="469"/>
      <c r="N202" s="444"/>
      <c r="O202" s="444"/>
      <c r="P202" s="444"/>
      <c r="Q202" s="444"/>
      <c r="R202" s="444"/>
      <c r="S202" s="444"/>
      <c r="T202" s="407"/>
      <c r="U202" s="140"/>
      <c r="V202" s="839" t="str">
        <f t="shared" si="56"/>
        <v/>
      </c>
      <c r="W202" s="82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63" customFormat="1" ht="28.5" customHeight="1">
      <c r="A203" s="925" t="s">
        <v>22</v>
      </c>
      <c r="B203" s="916" t="s">
        <v>23</v>
      </c>
      <c r="C203" s="916" t="s">
        <v>24</v>
      </c>
      <c r="D203" s="928" t="s">
        <v>178</v>
      </c>
      <c r="E203" s="61" t="s">
        <v>26</v>
      </c>
      <c r="F203" s="931" t="s">
        <v>27</v>
      </c>
      <c r="G203" s="936"/>
      <c r="H203" s="932"/>
      <c r="I203" s="931" t="s">
        <v>28</v>
      </c>
      <c r="J203" s="936"/>
      <c r="K203" s="936"/>
      <c r="L203" s="936"/>
      <c r="M203" s="931" t="s">
        <v>29</v>
      </c>
      <c r="N203" s="932"/>
      <c r="O203" s="183" t="s">
        <v>30</v>
      </c>
      <c r="P203" s="183"/>
      <c r="Q203" s="183"/>
      <c r="R203" s="183" t="s">
        <v>31</v>
      </c>
      <c r="S203" s="928" t="s">
        <v>32</v>
      </c>
      <c r="T203" s="1049" t="s">
        <v>33</v>
      </c>
      <c r="U203" s="881" t="s">
        <v>34</v>
      </c>
      <c r="V203" s="830"/>
      <c r="W203" s="83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437"/>
    </row>
    <row r="204" spans="1:60" s="63" customFormat="1" ht="46.5" customHeight="1">
      <c r="A204" s="926"/>
      <c r="B204" s="917"/>
      <c r="C204" s="917"/>
      <c r="D204" s="929" t="s">
        <v>35</v>
      </c>
      <c r="E204" s="64" t="s">
        <v>36</v>
      </c>
      <c r="F204" s="680" t="s">
        <v>37</v>
      </c>
      <c r="G204" s="512" t="s">
        <v>38</v>
      </c>
      <c r="H204" s="681" t="s">
        <v>39</v>
      </c>
      <c r="I204" s="931" t="s">
        <v>40</v>
      </c>
      <c r="J204" s="936"/>
      <c r="K204" s="512" t="s">
        <v>41</v>
      </c>
      <c r="L204" s="681" t="s">
        <v>42</v>
      </c>
      <c r="M204" s="931" t="s">
        <v>43</v>
      </c>
      <c r="N204" s="932"/>
      <c r="O204" s="683" t="s">
        <v>44</v>
      </c>
      <c r="P204" s="184"/>
      <c r="Q204" s="184"/>
      <c r="R204" s="683" t="s">
        <v>45</v>
      </c>
      <c r="S204" s="929"/>
      <c r="T204" s="1050"/>
      <c r="U204" s="882"/>
      <c r="V204" s="830" t="str">
        <f t="shared" ref="V204:V221" si="70">B204&amp;D204</f>
        <v>SIZE</v>
      </c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20.25" customHeight="1">
      <c r="A205" s="927"/>
      <c r="B205" s="918"/>
      <c r="C205" s="918"/>
      <c r="D205" s="930" t="s">
        <v>46</v>
      </c>
      <c r="E205" s="64" t="s">
        <v>47</v>
      </c>
      <c r="F205" s="64" t="s">
        <v>47</v>
      </c>
      <c r="G205" s="64" t="s">
        <v>47</v>
      </c>
      <c r="H205" s="64" t="s">
        <v>47</v>
      </c>
      <c r="I205" s="64" t="s">
        <v>47</v>
      </c>
      <c r="J205" s="64" t="s">
        <v>46</v>
      </c>
      <c r="K205" s="64" t="s">
        <v>47</v>
      </c>
      <c r="L205" s="64" t="s">
        <v>47</v>
      </c>
      <c r="M205" s="64" t="s">
        <v>47</v>
      </c>
      <c r="N205" s="65" t="s">
        <v>46</v>
      </c>
      <c r="O205" s="65" t="s">
        <v>46</v>
      </c>
      <c r="P205" s="185"/>
      <c r="Q205" s="185"/>
      <c r="R205" s="65" t="s">
        <v>48</v>
      </c>
      <c r="S205" s="930"/>
      <c r="T205" s="1051"/>
      <c r="U205" s="684" t="s">
        <v>47</v>
      </c>
      <c r="V205" s="835" t="str">
        <f t="shared" si="70"/>
        <v>(Kg)</v>
      </c>
      <c r="W205" s="831"/>
      <c r="X205" s="311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49</v>
      </c>
      <c r="BD205" s="785" t="s">
        <v>85</v>
      </c>
      <c r="BE205" s="785" t="s">
        <v>86</v>
      </c>
      <c r="BH205" s="437"/>
    </row>
    <row r="206" spans="1:60" s="38" customFormat="1" ht="15" customHeight="1">
      <c r="A206" s="68">
        <v>1</v>
      </c>
      <c r="B206" s="346" t="s">
        <v>193</v>
      </c>
      <c r="C206" s="346" t="s">
        <v>79</v>
      </c>
      <c r="D206" s="526">
        <v>25</v>
      </c>
      <c r="E206" s="1158">
        <v>0</v>
      </c>
      <c r="F206" s="100">
        <f>SUMIF(pro!$A:$A,$V:$V,pro!$N:$N)</f>
        <v>0</v>
      </c>
      <c r="G206" s="100"/>
      <c r="H206" s="100">
        <f>SUMIF(CBIN!$A:$A,BRAN!$V:$V,CBIN!$G:$G)</f>
        <v>0</v>
      </c>
      <c r="I206" s="100">
        <f>SUMIF(data!$D:$D,$B206&amp;$D206,data!$J:$J)</f>
        <v>0</v>
      </c>
      <c r="J206" s="100">
        <f>SUMIF(data!$D:$D,$B206&amp;$D206,data!$K:$K)</f>
        <v>0</v>
      </c>
      <c r="K206" s="100">
        <f>SUMIF(AJOUT!$A:$A,BRAN!$V:$V,AJOUT!$L:$L)</f>
        <v>0</v>
      </c>
      <c r="L206" s="100">
        <f>SUMIF(CBOUT!$A:$A,BRAN!$V:$V,CBOUT!$G:$G)</f>
        <v>0</v>
      </c>
      <c r="M206" s="1158">
        <f>E206+F206+H206-I206-L206+G206-K206</f>
        <v>0</v>
      </c>
      <c r="N206" s="100">
        <f>+M206*D206</f>
        <v>0</v>
      </c>
      <c r="O206" s="1159">
        <f t="shared" ref="O206:O275" si="71">SUM(X206:BB206)</f>
        <v>0</v>
      </c>
      <c r="P206" s="805">
        <f>SUM(N233:N243,N206:N207,N216,N232)+N227+N228+N209</f>
        <v>34625</v>
      </c>
      <c r="Q206" s="805">
        <f>SUM(O233:O243,O206:O207,O216,O232)+O227+O228+O209</f>
        <v>122340</v>
      </c>
      <c r="R206" s="804">
        <f>O206/INTGRATE!$N$293</f>
        <v>0</v>
      </c>
      <c r="S206" s="665">
        <f t="shared" ref="S206:S212" si="72">IF(R206=0,0,N206/R206)</f>
        <v>0</v>
      </c>
      <c r="T206" s="592"/>
      <c r="U206" s="141"/>
      <c r="V206" s="840" t="str">
        <f t="shared" si="70"/>
        <v>GD0425</v>
      </c>
      <c r="W206" s="823">
        <v>127000</v>
      </c>
      <c r="X206" s="387"/>
      <c r="Y206" s="387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/>
      <c r="AE206" s="100"/>
      <c r="AF206" s="100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274">
        <f t="shared" ref="BC206:BC276" si="73">SUM(X206:BB206)</f>
        <v>0</v>
      </c>
      <c r="BD206" s="786">
        <f>COUNTIF(X206:BB206,"&gt;0")</f>
        <v>0</v>
      </c>
      <c r="BE206" s="786">
        <f>IFERROR(BC206/BD206,0)</f>
        <v>0</v>
      </c>
      <c r="BH206" s="436"/>
    </row>
    <row r="207" spans="1:60" s="38" customFormat="1" ht="15" customHeight="1">
      <c r="A207" s="68">
        <v>2</v>
      </c>
      <c r="B207" s="346" t="s">
        <v>193</v>
      </c>
      <c r="C207" s="346" t="s">
        <v>79</v>
      </c>
      <c r="D207" s="526" t="s">
        <v>58</v>
      </c>
      <c r="E207" s="1158">
        <v>0</v>
      </c>
      <c r="F207" s="100">
        <f>+J207</f>
        <v>0</v>
      </c>
      <c r="G207" s="100"/>
      <c r="H207" s="100"/>
      <c r="I207" s="100">
        <f>SUMIF(data!$D:$D,$B207&amp;$D207,data!$J:$J)</f>
        <v>0</v>
      </c>
      <c r="J207" s="100">
        <f>SUMIF(data!$D:$D,$B207&amp;$D207,data!$K:$K)</f>
        <v>0</v>
      </c>
      <c r="K207" s="100"/>
      <c r="L207" s="100"/>
      <c r="M207" s="1158">
        <f>E207+F207+H207-I207-L207+G207-K207</f>
        <v>0</v>
      </c>
      <c r="N207" s="100"/>
      <c r="O207" s="1159">
        <f t="shared" si="71"/>
        <v>0</v>
      </c>
      <c r="P207" s="805"/>
      <c r="Q207" s="805"/>
      <c r="R207" s="804">
        <f>O207/INTGRATE!$N$293</f>
        <v>0</v>
      </c>
      <c r="S207" s="665">
        <f t="shared" si="72"/>
        <v>0</v>
      </c>
      <c r="T207" s="592"/>
      <c r="U207" s="141"/>
      <c r="V207" s="840" t="str">
        <f t="shared" si="70"/>
        <v>GD04silo</v>
      </c>
      <c r="W207" s="823">
        <v>127000</v>
      </c>
      <c r="X207" s="387"/>
      <c r="Y207" s="387">
        <v>0</v>
      </c>
      <c r="Z207" s="100">
        <v>0</v>
      </c>
      <c r="AA207" s="100">
        <v>0</v>
      </c>
      <c r="AB207" s="100">
        <v>0</v>
      </c>
      <c r="AC207" s="100">
        <v>0</v>
      </c>
      <c r="AD207" s="100"/>
      <c r="AE207" s="100"/>
      <c r="AF207" s="100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si="73"/>
        <v>0</v>
      </c>
      <c r="BD207" s="786">
        <f t="shared" ref="BD207" si="74">COUNTIF(X207:BB207,"&gt;0")</f>
        <v>0</v>
      </c>
      <c r="BE207" s="786">
        <f t="shared" ref="BE207" si="75">IFERROR(BC207/BD207,0)</f>
        <v>0</v>
      </c>
      <c r="BH207" s="436"/>
    </row>
    <row r="208" spans="1:60" s="38" customFormat="1" ht="15" customHeight="1">
      <c r="A208" s="68">
        <v>3</v>
      </c>
      <c r="B208" s="346" t="s">
        <v>194</v>
      </c>
      <c r="C208" s="346" t="s">
        <v>51</v>
      </c>
      <c r="D208" s="526" t="s">
        <v>58</v>
      </c>
      <c r="E208" s="1158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>
        <v>0</v>
      </c>
      <c r="L208" s="100">
        <f>SUMIF(CBOUT!$A:$A,BRAN!$V:$V,CBOUT!$G:$G)</f>
        <v>0</v>
      </c>
      <c r="M208" s="1158">
        <v>0</v>
      </c>
      <c r="N208" s="100">
        <f t="shared" ref="N208:N210" si="76">M208*25</f>
        <v>0</v>
      </c>
      <c r="O208" s="1159">
        <f t="shared" si="71"/>
        <v>0</v>
      </c>
      <c r="P208" s="805"/>
      <c r="Q208" s="805"/>
      <c r="R208" s="804">
        <f>O208/INTGRATE!$N$293</f>
        <v>0</v>
      </c>
      <c r="S208" s="665">
        <f t="shared" si="72"/>
        <v>0</v>
      </c>
      <c r="T208" s="592"/>
      <c r="U208" s="141"/>
      <c r="V208" s="840" t="str">
        <f t="shared" si="70"/>
        <v>GD12silo</v>
      </c>
      <c r="W208" s="823">
        <v>122001</v>
      </c>
      <c r="X208" s="387"/>
      <c r="Y208" s="387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/>
      <c r="AE208" s="100"/>
      <c r="AF208" s="100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ref="BC208:BC272" si="77">SUM(X208:BB208)</f>
        <v>0</v>
      </c>
      <c r="BD208" s="786">
        <f t="shared" ref="BD208:BD272" si="78">COUNTIF(X208:BB208,"&gt;0")</f>
        <v>0</v>
      </c>
      <c r="BE208" s="786">
        <f t="shared" ref="BE208:BE272" si="79">IFERROR(BC208/BD208,0)</f>
        <v>0</v>
      </c>
      <c r="BH208" s="436"/>
    </row>
    <row r="209" spans="1:60" s="38" customFormat="1" ht="15" customHeight="1">
      <c r="A209" s="68">
        <v>4</v>
      </c>
      <c r="B209" s="346" t="s">
        <v>195</v>
      </c>
      <c r="C209" s="346" t="s">
        <v>132</v>
      </c>
      <c r="D209" s="526" t="s">
        <v>58</v>
      </c>
      <c r="E209" s="1158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f>SUMIF(AJOUT!$A:$A,BRAN!$V:$V,AJOUT!$L:$L)</f>
        <v>0</v>
      </c>
      <c r="L209" s="100">
        <f>SUMIF(CBOUT!$A:$A,BRAN!$V:$V,CBOUT!$G:$G)</f>
        <v>0</v>
      </c>
      <c r="M209" s="1158">
        <v>0</v>
      </c>
      <c r="N209" s="100">
        <f t="shared" si="76"/>
        <v>0</v>
      </c>
      <c r="O209" s="1159">
        <f t="shared" si="71"/>
        <v>0</v>
      </c>
      <c r="P209" s="805"/>
      <c r="Q209" s="805"/>
      <c r="R209" s="804">
        <f>O209/INTGRATE!$N$293</f>
        <v>0</v>
      </c>
      <c r="S209" s="665">
        <f t="shared" si="72"/>
        <v>0</v>
      </c>
      <c r="T209" s="592"/>
      <c r="U209" s="141"/>
      <c r="V209" s="840" t="str">
        <f t="shared" si="70"/>
        <v>GD11silo</v>
      </c>
      <c r="W209" s="823">
        <v>122001</v>
      </c>
      <c r="X209" s="387"/>
      <c r="Y209" s="387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/>
      <c r="AE209" s="100"/>
      <c r="AF209" s="100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si="77"/>
        <v>0</v>
      </c>
      <c r="BD209" s="786">
        <f t="shared" si="78"/>
        <v>0</v>
      </c>
      <c r="BE209" s="786">
        <f t="shared" si="79"/>
        <v>0</v>
      </c>
      <c r="BH209" s="436"/>
    </row>
    <row r="210" spans="1:60" s="38" customFormat="1" ht="15" customHeight="1">
      <c r="A210" s="68">
        <v>5</v>
      </c>
      <c r="B210" s="346" t="s">
        <v>196</v>
      </c>
      <c r="C210" s="346" t="s">
        <v>51</v>
      </c>
      <c r="D210" s="526" t="s">
        <v>58</v>
      </c>
      <c r="E210" s="1158">
        <v>0</v>
      </c>
      <c r="F210" s="100">
        <f>+J210</f>
        <v>0</v>
      </c>
      <c r="G210" s="100"/>
      <c r="H210" s="100">
        <f>SUMIF(CBIN!$A:$A,BRAN!$V:$V,CBIN!$G:$G)</f>
        <v>0</v>
      </c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58">
        <v>0</v>
      </c>
      <c r="N210" s="100">
        <f t="shared" si="76"/>
        <v>0</v>
      </c>
      <c r="O210" s="1159">
        <f t="shared" si="71"/>
        <v>0</v>
      </c>
      <c r="P210" s="805"/>
      <c r="Q210" s="805"/>
      <c r="R210" s="804">
        <f>O210/INTGRATE!$N$293</f>
        <v>0</v>
      </c>
      <c r="S210" s="665">
        <f t="shared" si="72"/>
        <v>0</v>
      </c>
      <c r="T210" s="592"/>
      <c r="U210" s="141"/>
      <c r="V210" s="840" t="str">
        <f t="shared" si="70"/>
        <v>GD14silo</v>
      </c>
      <c r="W210" s="823">
        <v>127001</v>
      </c>
      <c r="X210" s="387"/>
      <c r="Y210" s="387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/>
      <c r="AE210" s="100"/>
      <c r="AF210" s="100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77"/>
        <v>0</v>
      </c>
      <c r="BD210" s="786">
        <f t="shared" si="78"/>
        <v>0</v>
      </c>
      <c r="BE210" s="786">
        <f t="shared" si="79"/>
        <v>0</v>
      </c>
      <c r="BH210" s="436"/>
    </row>
    <row r="211" spans="1:60" s="38" customFormat="1" ht="15" customHeight="1">
      <c r="A211" s="68">
        <v>6</v>
      </c>
      <c r="B211" s="346" t="s">
        <v>196</v>
      </c>
      <c r="C211" s="346" t="s">
        <v>51</v>
      </c>
      <c r="D211" s="526">
        <v>25</v>
      </c>
      <c r="E211" s="1158">
        <v>1531</v>
      </c>
      <c r="F211" s="100">
        <f>SUMIF(pro!$A:$A,$V:$V,pro!$N:$N)</f>
        <v>0</v>
      </c>
      <c r="G211" s="100"/>
      <c r="H211" s="100">
        <f>SUMIF(CBIN!$A:$A,BRAN!$V:$V,CBIN!$G:$G)</f>
        <v>0</v>
      </c>
      <c r="I211" s="100">
        <f>SUMIF(data!$D:$D,$B211&amp;$D211,data!$J:$J)</f>
        <v>130</v>
      </c>
      <c r="J211" s="100">
        <f>SUMIF(data!$D:$D,$B211&amp;$D211,data!$K:$K)</f>
        <v>3250</v>
      </c>
      <c r="K211" s="100">
        <f>SUMIF(AJOUT!$A:$A,BRAN!$V:$V,AJOUT!$L:$L)</f>
        <v>0</v>
      </c>
      <c r="L211" s="100">
        <f>SUMIF(CBOUT!$A:$A,BRAN!$V:$V,CBOUT!$G:$G)</f>
        <v>0</v>
      </c>
      <c r="M211" s="1158">
        <f>E211+F211+H211-I211-L211+G211-K211</f>
        <v>1401</v>
      </c>
      <c r="N211" s="100">
        <f>+M211*D211</f>
        <v>35025</v>
      </c>
      <c r="O211" s="1159">
        <f t="shared" si="71"/>
        <v>22125</v>
      </c>
      <c r="P211" s="805"/>
      <c r="Q211" s="805"/>
      <c r="R211" s="804">
        <f>O211/INTGRATE!$N$293</f>
        <v>4425</v>
      </c>
      <c r="S211" s="665">
        <f t="shared" si="72"/>
        <v>7.9152542372881358</v>
      </c>
      <c r="T211" s="592"/>
      <c r="U211" s="141"/>
      <c r="V211" s="840" t="str">
        <f t="shared" si="70"/>
        <v>GD1425</v>
      </c>
      <c r="W211" s="823">
        <v>127001</v>
      </c>
      <c r="X211" s="387"/>
      <c r="Y211" s="387">
        <v>18875</v>
      </c>
      <c r="Z211" s="100">
        <v>0</v>
      </c>
      <c r="AA211" s="100">
        <v>0</v>
      </c>
      <c r="AB211" s="100">
        <v>0</v>
      </c>
      <c r="AC211" s="100">
        <v>3250</v>
      </c>
      <c r="AD211" s="100"/>
      <c r="AE211" s="100"/>
      <c r="AF211" s="100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77"/>
        <v>22125</v>
      </c>
      <c r="BD211" s="786">
        <f t="shared" si="78"/>
        <v>2</v>
      </c>
      <c r="BE211" s="786">
        <f t="shared" si="79"/>
        <v>11062.5</v>
      </c>
      <c r="BH211" s="436"/>
    </row>
    <row r="212" spans="1:60" s="38" customFormat="1" ht="15" customHeight="1">
      <c r="A212" s="68">
        <v>7</v>
      </c>
      <c r="B212" s="346" t="s">
        <v>197</v>
      </c>
      <c r="C212" s="346" t="s">
        <v>64</v>
      </c>
      <c r="D212" s="526" t="s">
        <v>58</v>
      </c>
      <c r="E212" s="1158"/>
      <c r="F212" s="100">
        <f>+J212</f>
        <v>0</v>
      </c>
      <c r="G212" s="100"/>
      <c r="H212" s="100"/>
      <c r="I212" s="100"/>
      <c r="J212" s="100">
        <f>SUMIF(data!$D:$D,$B212&amp;$D212,data!$K:$K)</f>
        <v>0</v>
      </c>
      <c r="K212" s="100">
        <f>SUMIF(AJOUT!$A:$A,BRAN!$V:$V,AJOUT!$L:$L)</f>
        <v>0</v>
      </c>
      <c r="L212" s="100">
        <f>SUMIF(CBOUT!$A:$A,BRAN!$V:$V,CBOUT!$G:$G)</f>
        <v>0</v>
      </c>
      <c r="M212" s="1158"/>
      <c r="N212" s="100"/>
      <c r="O212" s="1159">
        <f>SUM(X212:BB212)</f>
        <v>0</v>
      </c>
      <c r="P212" s="805"/>
      <c r="Q212" s="805"/>
      <c r="R212" s="804">
        <f>O212/INTGRATE!$N$293</f>
        <v>0</v>
      </c>
      <c r="S212" s="665">
        <f t="shared" si="72"/>
        <v>0</v>
      </c>
      <c r="T212" s="592"/>
      <c r="U212" s="141"/>
      <c r="V212" s="840" t="str">
        <f t="shared" si="70"/>
        <v>GD14Asilo</v>
      </c>
      <c r="W212" s="823">
        <v>127061</v>
      </c>
      <c r="X212" s="387"/>
      <c r="Y212" s="387">
        <v>0</v>
      </c>
      <c r="Z212" s="100">
        <v>0</v>
      </c>
      <c r="AA212" s="100">
        <v>0</v>
      </c>
      <c r="AB212" s="100">
        <v>0</v>
      </c>
      <c r="AC212" s="100">
        <v>0</v>
      </c>
      <c r="AD212" s="100"/>
      <c r="AE212" s="100"/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77"/>
        <v>0</v>
      </c>
      <c r="BD212" s="786">
        <f t="shared" si="78"/>
        <v>0</v>
      </c>
      <c r="BE212" s="786">
        <f t="shared" si="79"/>
        <v>0</v>
      </c>
      <c r="BH212" s="436"/>
    </row>
    <row r="213" spans="1:60" s="38" customFormat="1" ht="15" customHeight="1">
      <c r="A213" s="68">
        <v>8</v>
      </c>
      <c r="B213" s="346" t="s">
        <v>198</v>
      </c>
      <c r="C213" s="346" t="s">
        <v>64</v>
      </c>
      <c r="D213" s="526" t="s">
        <v>58</v>
      </c>
      <c r="E213" s="1158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v>0</v>
      </c>
      <c r="L213" s="100">
        <f>SUMIF(CBOUT!$A:$A,BRAN!$V:$V,CBOUT!$G:$G)</f>
        <v>0</v>
      </c>
      <c r="M213" s="1158"/>
      <c r="N213" s="100"/>
      <c r="O213" s="1159">
        <f>SUM(X213:BB213)</f>
        <v>0</v>
      </c>
      <c r="P213" s="805"/>
      <c r="Q213" s="805"/>
      <c r="R213" s="804">
        <f>O213/INTGRATE!$N$293</f>
        <v>0</v>
      </c>
      <c r="S213" s="665">
        <f t="shared" ref="S213" si="80">IF(R213=0,0,N213/R213)</f>
        <v>0</v>
      </c>
      <c r="T213" s="592"/>
      <c r="U213" s="141"/>
      <c r="V213" s="840" t="str">
        <f t="shared" si="70"/>
        <v>GD14APsilo</v>
      </c>
      <c r="W213" s="823">
        <v>12706832</v>
      </c>
      <c r="X213" s="387"/>
      <c r="Y213" s="387">
        <v>0</v>
      </c>
      <c r="Z213" s="100">
        <v>0</v>
      </c>
      <c r="AA213" s="100">
        <v>0</v>
      </c>
      <c r="AB213" s="100">
        <v>0</v>
      </c>
      <c r="AC213" s="100">
        <v>0</v>
      </c>
      <c r="AD213" s="100"/>
      <c r="AE213" s="100"/>
      <c r="AF213" s="100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77"/>
        <v>0</v>
      </c>
      <c r="BD213" s="786">
        <f t="shared" si="78"/>
        <v>0</v>
      </c>
      <c r="BE213" s="786">
        <f t="shared" si="79"/>
        <v>0</v>
      </c>
      <c r="BH213" s="436"/>
    </row>
    <row r="214" spans="1:60" s="38" customFormat="1" ht="15" customHeight="1">
      <c r="A214" s="68">
        <v>9</v>
      </c>
      <c r="B214" s="346" t="s">
        <v>199</v>
      </c>
      <c r="C214" s="346" t="s">
        <v>51</v>
      </c>
      <c r="D214" s="526">
        <v>25</v>
      </c>
      <c r="E214" s="1158">
        <v>0</v>
      </c>
      <c r="F214" s="100">
        <f>SUMIF(pro!$A:$A,$V:$V,pro!$N:$N)</f>
        <v>0</v>
      </c>
      <c r="G214" s="100"/>
      <c r="H214" s="100"/>
      <c r="I214" s="100">
        <f>SUMIF(data!$D:$D,$B214&amp;$D214,data!$J:$J)</f>
        <v>0</v>
      </c>
      <c r="J214" s="100">
        <f>SUMIF(data!$D:$D,$B214&amp;$D214,data!$K:$K)</f>
        <v>0</v>
      </c>
      <c r="K214" s="100">
        <f>SUMIF(AJOUT!$A:$A,BRAN!$V:$V,AJOUT!$L:$L)</f>
        <v>0</v>
      </c>
      <c r="L214" s="100">
        <f>SUMIF(CBOUT!$A:$A,BRAN!$V:$V,CBOUT!$G:$G)</f>
        <v>0</v>
      </c>
      <c r="M214" s="1158">
        <f>E214+F214+H214-I214-L214+G214-K214</f>
        <v>0</v>
      </c>
      <c r="N214" s="100">
        <f t="shared" ref="N214:N275" si="81">+M214*D214</f>
        <v>0</v>
      </c>
      <c r="O214" s="1159">
        <f>SUM(X214:BB214)</f>
        <v>0</v>
      </c>
      <c r="P214" s="805"/>
      <c r="Q214" s="805"/>
      <c r="R214" s="804">
        <f>O214/INTGRATE!$N$293</f>
        <v>0</v>
      </c>
      <c r="S214" s="665">
        <f>IF(R214=0,0,N214/R214)</f>
        <v>0</v>
      </c>
      <c r="T214" s="592"/>
      <c r="U214" s="141"/>
      <c r="V214" s="840" t="str">
        <f t="shared" si="70"/>
        <v>GD14P25</v>
      </c>
      <c r="W214" s="823">
        <v>127008</v>
      </c>
      <c r="X214" s="387"/>
      <c r="Y214" s="387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77"/>
        <v>0</v>
      </c>
      <c r="BD214" s="786">
        <f t="shared" si="78"/>
        <v>0</v>
      </c>
      <c r="BE214" s="786">
        <f t="shared" si="79"/>
        <v>0</v>
      </c>
      <c r="BH214" s="436"/>
    </row>
    <row r="215" spans="1:60" s="38" customFormat="1" ht="15" customHeight="1">
      <c r="A215" s="68">
        <v>10</v>
      </c>
      <c r="B215" s="346" t="s">
        <v>200</v>
      </c>
      <c r="C215" s="346" t="s">
        <v>51</v>
      </c>
      <c r="D215" s="526">
        <v>25</v>
      </c>
      <c r="E215" s="1158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/>
      <c r="M215" s="1158">
        <f>E215+F215+H215-I215-L215+G215-K215</f>
        <v>0</v>
      </c>
      <c r="N215" s="100">
        <f t="shared" si="81"/>
        <v>0</v>
      </c>
      <c r="O215" s="1159">
        <f>SUM(X215:BB215)</f>
        <v>0</v>
      </c>
      <c r="P215" s="805" t="s">
        <v>201</v>
      </c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0"/>
        <v>GD1525</v>
      </c>
      <c r="W215" s="823">
        <v>128001</v>
      </c>
      <c r="X215" s="387"/>
      <c r="Y215" s="387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/>
      <c r="AE215" s="100"/>
      <c r="AF215" s="100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77"/>
        <v>0</v>
      </c>
      <c r="BD215" s="786">
        <f t="shared" si="78"/>
        <v>0</v>
      </c>
      <c r="BE215" s="786">
        <f t="shared" si="79"/>
        <v>0</v>
      </c>
      <c r="BH215" s="436"/>
    </row>
    <row r="216" spans="1:60" s="38" customFormat="1" ht="15" customHeight="1">
      <c r="A216" s="68">
        <v>11</v>
      </c>
      <c r="B216" s="346" t="s">
        <v>202</v>
      </c>
      <c r="C216" s="346" t="s">
        <v>79</v>
      </c>
      <c r="D216" s="526" t="s">
        <v>58</v>
      </c>
      <c r="E216" s="1158">
        <v>0</v>
      </c>
      <c r="F216" s="100">
        <f>+J216</f>
        <v>0</v>
      </c>
      <c r="G216" s="100"/>
      <c r="H216" s="100">
        <f>SUMIF(CBIN!$A:$A,BRAN!$V:$V,CBIN!$G:$G)</f>
        <v>0</v>
      </c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>
        <f>SUMIF(CBOUT!$A:$A,BRAN!$V:$V,CBOUT!$G:$G)</f>
        <v>0</v>
      </c>
      <c r="M216" s="1158">
        <f>E216+F216+H216-I216-L216+G216-K216</f>
        <v>0</v>
      </c>
      <c r="N216" s="100"/>
      <c r="O216" s="1159">
        <f t="shared" si="71"/>
        <v>0</v>
      </c>
      <c r="P216" s="805">
        <f>+N245+N246+N223+N224+N230+N231</f>
        <v>26200</v>
      </c>
      <c r="Q216" s="805">
        <f>+O245+O246+O223+O224+O230+O231</f>
        <v>14925</v>
      </c>
      <c r="R216" s="804">
        <f>O216/INTGRATE!$N$293</f>
        <v>0</v>
      </c>
      <c r="S216" s="665">
        <f t="shared" ref="S216:S275" si="82">IF(R216=0,0,N216/R216)</f>
        <v>0</v>
      </c>
      <c r="T216" s="592"/>
      <c r="U216" s="141"/>
      <c r="V216" s="840" t="str">
        <f t="shared" si="70"/>
        <v>GD04Asilo</v>
      </c>
      <c r="W216" s="823">
        <v>127060</v>
      </c>
      <c r="X216" s="387"/>
      <c r="Y216" s="387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/>
      <c r="AE216" s="100"/>
      <c r="AF216" s="100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77"/>
        <v>0</v>
      </c>
      <c r="BD216" s="786">
        <f t="shared" si="78"/>
        <v>0</v>
      </c>
      <c r="BE216" s="786">
        <f t="shared" si="79"/>
        <v>0</v>
      </c>
      <c r="BH216" s="436"/>
    </row>
    <row r="217" spans="1:60" s="38" customFormat="1" ht="15" customHeight="1">
      <c r="A217" s="68">
        <v>12</v>
      </c>
      <c r="B217" s="609" t="s">
        <v>203</v>
      </c>
      <c r="C217" s="609" t="s">
        <v>61</v>
      </c>
      <c r="D217" s="610">
        <v>25</v>
      </c>
      <c r="E217" s="1158">
        <v>243</v>
      </c>
      <c r="F217" s="100">
        <f>SUMIF(pro!$A:$A,$V:$V,pro!$N:$N)</f>
        <v>0</v>
      </c>
      <c r="G217" s="100"/>
      <c r="H217" s="100">
        <f>SUMIF(CBIN!$A:$A,BRAN!$V:$V,CBIN!$G:$G)</f>
        <v>0</v>
      </c>
      <c r="I217" s="100">
        <f>SUMIF(data!$D:$D,$B217&amp;$D217,data!$J:$J)</f>
        <v>20</v>
      </c>
      <c r="J217" s="100">
        <f>SUMIF(data!$D:$D,$B217&amp;$D217,data!$K:$K)</f>
        <v>500</v>
      </c>
      <c r="K217" s="100">
        <f>SUMIF(AJOUT!$A:$A,BRAN!$V:$V,AJOUT!$L:$L)</f>
        <v>0</v>
      </c>
      <c r="L217" s="100">
        <f>SUMIF(CBOUT!$A:$A,BRAN!$V:$V,CBOUT!$G:$G)</f>
        <v>0</v>
      </c>
      <c r="M217" s="1158">
        <f>E217+F217+H217-I217-L217+G217-K217</f>
        <v>223</v>
      </c>
      <c r="N217" s="100">
        <f t="shared" si="81"/>
        <v>5575</v>
      </c>
      <c r="O217" s="1159">
        <f t="shared" si="71"/>
        <v>1750</v>
      </c>
      <c r="P217" s="805"/>
      <c r="Q217" s="805"/>
      <c r="R217" s="804">
        <f>O217/INTGRATE!$N$293</f>
        <v>350</v>
      </c>
      <c r="S217" s="665">
        <f t="shared" si="82"/>
        <v>15.928571428571429</v>
      </c>
      <c r="T217" s="403"/>
      <c r="U217" s="141"/>
      <c r="V217" s="840" t="str">
        <f t="shared" si="70"/>
        <v>GT1125</v>
      </c>
      <c r="W217" s="823">
        <v>112601</v>
      </c>
      <c r="X217" s="387"/>
      <c r="Y217" s="387">
        <v>0</v>
      </c>
      <c r="Z217" s="100">
        <v>1250</v>
      </c>
      <c r="AA217" s="100">
        <v>0</v>
      </c>
      <c r="AB217" s="100">
        <v>0</v>
      </c>
      <c r="AC217" s="100">
        <v>500</v>
      </c>
      <c r="AD217" s="100"/>
      <c r="AE217" s="100"/>
      <c r="AF217" s="100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77"/>
        <v>1750</v>
      </c>
      <c r="BD217" s="786">
        <f t="shared" si="78"/>
        <v>2</v>
      </c>
      <c r="BE217" s="786">
        <f t="shared" si="79"/>
        <v>875</v>
      </c>
      <c r="BH217" s="436"/>
    </row>
    <row r="218" spans="1:60" s="38" customFormat="1" ht="15" customHeight="1">
      <c r="A218" s="68">
        <v>13</v>
      </c>
      <c r="B218" s="609" t="s">
        <v>203</v>
      </c>
      <c r="C218" s="609" t="s">
        <v>61</v>
      </c>
      <c r="D218" s="610" t="s">
        <v>66</v>
      </c>
      <c r="E218" s="1158">
        <v>0</v>
      </c>
      <c r="F218" s="100">
        <f>+J218</f>
        <v>0</v>
      </c>
      <c r="G218" s="100"/>
      <c r="H218" s="100"/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58">
        <v>0</v>
      </c>
      <c r="N218" s="100"/>
      <c r="O218" s="1159">
        <f>SUM(X218:BB218)</f>
        <v>0</v>
      </c>
      <c r="P218" s="805"/>
      <c r="Q218" s="805"/>
      <c r="R218" s="804">
        <f>O218/INTGRATE!$N$293</f>
        <v>0</v>
      </c>
      <c r="S218" s="665">
        <f>IF(R218=0,0,N218/R218)</f>
        <v>0</v>
      </c>
      <c r="T218" s="403"/>
      <c r="U218" s="141"/>
      <c r="V218" s="840" t="str">
        <f t="shared" si="70"/>
        <v>GT11SILO</v>
      </c>
      <c r="W218" s="823">
        <v>112601</v>
      </c>
      <c r="X218" s="387"/>
      <c r="Y218" s="387">
        <v>0</v>
      </c>
      <c r="Z218" s="100">
        <v>0</v>
      </c>
      <c r="AA218" s="100">
        <v>0</v>
      </c>
      <c r="AB218" s="100">
        <v>0</v>
      </c>
      <c r="AC218" s="100">
        <v>0</v>
      </c>
      <c r="AD218" s="100"/>
      <c r="AE218" s="100"/>
      <c r="AF218" s="100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77"/>
        <v>0</v>
      </c>
      <c r="BD218" s="786">
        <f t="shared" si="78"/>
        <v>0</v>
      </c>
      <c r="BE218" s="786">
        <f t="shared" si="79"/>
        <v>0</v>
      </c>
      <c r="BH218" s="436"/>
    </row>
    <row r="219" spans="1:60" s="38" customFormat="1" ht="15" customHeight="1">
      <c r="A219" s="68">
        <v>14</v>
      </c>
      <c r="B219" s="609" t="s">
        <v>204</v>
      </c>
      <c r="C219" s="609" t="s">
        <v>51</v>
      </c>
      <c r="D219" s="610" t="s">
        <v>66</v>
      </c>
      <c r="E219" s="1158"/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/>
      <c r="L219" s="100"/>
      <c r="M219" s="1158"/>
      <c r="N219" s="100"/>
      <c r="O219" s="1159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0"/>
        <v>GT11SSILO</v>
      </c>
      <c r="W219" s="823">
        <v>114301</v>
      </c>
      <c r="X219" s="387"/>
      <c r="Y219" s="387">
        <v>0</v>
      </c>
      <c r="Z219" s="100">
        <v>0</v>
      </c>
      <c r="AA219" s="100">
        <v>0</v>
      </c>
      <c r="AB219" s="100">
        <v>0</v>
      </c>
      <c r="AC219" s="100">
        <v>0</v>
      </c>
      <c r="AD219" s="100"/>
      <c r="AE219" s="100"/>
      <c r="AF219" s="100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77"/>
        <v>0</v>
      </c>
      <c r="BD219" s="786">
        <f t="shared" si="78"/>
        <v>0</v>
      </c>
      <c r="BE219" s="786">
        <f t="shared" si="79"/>
        <v>0</v>
      </c>
      <c r="BH219" s="436"/>
    </row>
    <row r="220" spans="1:60" s="38" customFormat="1" ht="15" customHeight="1">
      <c r="A220" s="68">
        <v>15</v>
      </c>
      <c r="B220" s="609" t="s">
        <v>204</v>
      </c>
      <c r="C220" s="609" t="s">
        <v>51</v>
      </c>
      <c r="D220" s="610">
        <v>25</v>
      </c>
      <c r="E220" s="1158">
        <v>215</v>
      </c>
      <c r="F220" s="100">
        <f>SUMIF(pro!$A:$A,$V:$V,pro!$N:$N)</f>
        <v>281</v>
      </c>
      <c r="G220" s="100"/>
      <c r="H220" s="100"/>
      <c r="I220" s="100">
        <f>SUMIF(data!$D:$D,$B220&amp;$D220,data!$J:$J)</f>
        <v>0</v>
      </c>
      <c r="J220" s="100">
        <f>SUMIF(data!$D:$D,$B220&amp;$D220,data!$K:$K)</f>
        <v>0</v>
      </c>
      <c r="K220" s="100">
        <f>SUMIF(AJOUT!$A:$A,BRAN!$V:$V,AJOUT!$L:$L)</f>
        <v>1</v>
      </c>
      <c r="L220" s="100">
        <f>SUMIF(CBOUT!$A:$A,BRAN!$V:$V,CBOUT!$G:$G)</f>
        <v>0</v>
      </c>
      <c r="M220" s="1158">
        <f>E220+F220+H220-I220-L220+G220-K220</f>
        <v>495</v>
      </c>
      <c r="N220" s="100">
        <f t="shared" si="81"/>
        <v>12375</v>
      </c>
      <c r="O220" s="1159">
        <f>SUM(X220:BB220)</f>
        <v>4300</v>
      </c>
      <c r="P220" s="805"/>
      <c r="Q220" s="805"/>
      <c r="R220" s="804">
        <f>O220/INTGRATE!$N$293</f>
        <v>860</v>
      </c>
      <c r="S220" s="665">
        <f>IF(R220=0,0,N220/R220)</f>
        <v>14.38953488372093</v>
      </c>
      <c r="T220" s="403"/>
      <c r="U220" s="141"/>
      <c r="V220" s="840" t="str">
        <f t="shared" si="70"/>
        <v>GT11S25</v>
      </c>
      <c r="W220" s="823">
        <v>114301</v>
      </c>
      <c r="X220" s="387"/>
      <c r="Y220" s="387">
        <v>0</v>
      </c>
      <c r="Z220" s="100">
        <v>0</v>
      </c>
      <c r="AA220" s="100">
        <v>0</v>
      </c>
      <c r="AB220" s="100">
        <v>4300</v>
      </c>
      <c r="AC220" s="100">
        <v>0</v>
      </c>
      <c r="AD220" s="100"/>
      <c r="AE220" s="100"/>
      <c r="AF220" s="100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77"/>
        <v>4300</v>
      </c>
      <c r="BD220" s="786">
        <f t="shared" si="78"/>
        <v>1</v>
      </c>
      <c r="BE220" s="786">
        <f t="shared" si="79"/>
        <v>4300</v>
      </c>
      <c r="BH220" s="436"/>
    </row>
    <row r="221" spans="1:60" s="38" customFormat="1" ht="15" customHeight="1">
      <c r="A221" s="68">
        <v>16</v>
      </c>
      <c r="B221" s="609" t="s">
        <v>205</v>
      </c>
      <c r="C221" s="609" t="s">
        <v>64</v>
      </c>
      <c r="D221" s="610">
        <v>25</v>
      </c>
      <c r="E221" s="1158">
        <v>1286</v>
      </c>
      <c r="F221" s="100">
        <f>SUMIF(pro!$A:$A,$V:$V,pro!$N:$N)</f>
        <v>0</v>
      </c>
      <c r="G221" s="100"/>
      <c r="H221" s="100">
        <f>SUMIF(CBIN!$A:$A,BRAN!$V:$V,CBIN!$G:$G)</f>
        <v>0</v>
      </c>
      <c r="I221" s="100">
        <f>SUMIF(data!$D:$D,$B221&amp;$D221,data!$J:$J)</f>
        <v>0</v>
      </c>
      <c r="J221" s="100">
        <f>SUMIF(data!$D:$D,$B221&amp;$D221,data!$K:$K)</f>
        <v>0</v>
      </c>
      <c r="K221" s="100">
        <f>SUMIF(AJOUT!$A:$A,BRAN!$V:$V,AJOUT!$L:$L)</f>
        <v>1</v>
      </c>
      <c r="L221" s="100">
        <f>SUMIF(CBOUT!$A:$A,BRAN!$V:$V,CBOUT!$G:$G)</f>
        <v>0</v>
      </c>
      <c r="M221" s="1158">
        <f>E221+F221+H221-I221-L221+G221-K221</f>
        <v>1285</v>
      </c>
      <c r="N221" s="100">
        <f t="shared" si="81"/>
        <v>32125</v>
      </c>
      <c r="O221" s="1159">
        <f t="shared" si="71"/>
        <v>0</v>
      </c>
      <c r="P221" s="805"/>
      <c r="Q221" s="805"/>
      <c r="R221" s="804">
        <f>O221/INTGRATE!$N$293</f>
        <v>0</v>
      </c>
      <c r="S221" s="665">
        <f t="shared" si="82"/>
        <v>0</v>
      </c>
      <c r="T221" s="549"/>
      <c r="U221" s="141"/>
      <c r="V221" s="840" t="str">
        <f t="shared" si="70"/>
        <v>GT1225</v>
      </c>
      <c r="W221" s="823">
        <v>114601</v>
      </c>
      <c r="X221" s="387"/>
      <c r="Y221" s="387">
        <v>0</v>
      </c>
      <c r="Z221" s="100">
        <v>0</v>
      </c>
      <c r="AA221" s="100">
        <v>0</v>
      </c>
      <c r="AB221" s="100">
        <v>0</v>
      </c>
      <c r="AC221" s="100">
        <v>0</v>
      </c>
      <c r="AD221" s="100"/>
      <c r="AE221" s="100"/>
      <c r="AF221" s="100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77"/>
        <v>0</v>
      </c>
      <c r="BD221" s="786">
        <f t="shared" si="78"/>
        <v>0</v>
      </c>
      <c r="BE221" s="786">
        <f t="shared" si="79"/>
        <v>0</v>
      </c>
      <c r="BH221" s="436"/>
    </row>
    <row r="222" spans="1:60" s="38" customFormat="1" ht="15" customHeight="1">
      <c r="A222" s="68">
        <v>17</v>
      </c>
      <c r="B222" s="609" t="s">
        <v>205</v>
      </c>
      <c r="C222" s="609" t="s">
        <v>64</v>
      </c>
      <c r="D222" s="610" t="s">
        <v>58</v>
      </c>
      <c r="E222" s="1158">
        <v>0</v>
      </c>
      <c r="F222" s="100">
        <f>+J222</f>
        <v>0</v>
      </c>
      <c r="G222" s="100"/>
      <c r="H222" s="100"/>
      <c r="I222" s="100">
        <f>SUMIF(data!$D:$D,$B222&amp;$D222,data!$J:$J)</f>
        <v>0</v>
      </c>
      <c r="J222" s="100">
        <f>SUMIF(data!$D:$D,$B222&amp;$D222,data!$K:$K)</f>
        <v>0</v>
      </c>
      <c r="K222" s="100">
        <v>0</v>
      </c>
      <c r="L222" s="100">
        <v>0</v>
      </c>
      <c r="M222" s="1158">
        <v>0</v>
      </c>
      <c r="N222" s="100"/>
      <c r="O222" s="1159">
        <f t="shared" si="71"/>
        <v>15000</v>
      </c>
      <c r="P222" s="805"/>
      <c r="Q222" s="805"/>
      <c r="R222" s="804">
        <f>O222/INTGRATE!$N$293</f>
        <v>3000</v>
      </c>
      <c r="S222" s="665">
        <f>IF(R222=0,0,N222/R222)</f>
        <v>0</v>
      </c>
      <c r="T222" s="403"/>
      <c r="U222" s="141"/>
      <c r="V222" s="840" t="str">
        <f t="shared" ref="V222:V231" si="83">B222&amp;D222</f>
        <v>GT12silo</v>
      </c>
      <c r="W222" s="823">
        <v>114601</v>
      </c>
      <c r="X222" s="387"/>
      <c r="Y222" s="387">
        <v>0</v>
      </c>
      <c r="Z222" s="100">
        <v>0</v>
      </c>
      <c r="AA222" s="100">
        <v>0</v>
      </c>
      <c r="AB222" s="100">
        <v>15000</v>
      </c>
      <c r="AC222" s="100">
        <v>0</v>
      </c>
      <c r="AD222" s="100"/>
      <c r="AE222" s="100"/>
      <c r="AF222" s="100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77"/>
        <v>15000</v>
      </c>
      <c r="BD222" s="786">
        <f t="shared" si="78"/>
        <v>1</v>
      </c>
      <c r="BE222" s="786">
        <f t="shared" si="79"/>
        <v>15000</v>
      </c>
      <c r="BH222" s="436"/>
    </row>
    <row r="223" spans="1:60" s="38" customFormat="1" ht="15" customHeight="1">
      <c r="A223" s="68">
        <v>18</v>
      </c>
      <c r="B223" s="609" t="s">
        <v>206</v>
      </c>
      <c r="C223" s="609" t="s">
        <v>55</v>
      </c>
      <c r="D223" s="610">
        <v>25</v>
      </c>
      <c r="E223" s="1158">
        <v>278</v>
      </c>
      <c r="F223" s="100">
        <f>SUMIF(pro!$A:$A,$V:$V,pro!$N:$N)</f>
        <v>0</v>
      </c>
      <c r="G223" s="100"/>
      <c r="H223" s="100">
        <f>SUMIF(CBIN!$A:$A,BRAN!$V:$V,CBIN!$G:$G)</f>
        <v>0</v>
      </c>
      <c r="I223" s="100">
        <f>SUMIF(data!$D:$D,$B223&amp;$D223,data!$J:$J)</f>
        <v>30</v>
      </c>
      <c r="J223" s="100">
        <f>SUMIF(data!$D:$D,$B223&amp;$D223,data!$K:$K)</f>
        <v>750</v>
      </c>
      <c r="K223" s="100">
        <f>SUMIF(AJOUT!$A:$A,BRAN!$V:$V,AJOUT!$L:$L)</f>
        <v>0</v>
      </c>
      <c r="L223" s="100">
        <f>SUMIF(CBOUT!$A:$A,BRAN!$V:$V,CBOUT!$G:$G)</f>
        <v>0</v>
      </c>
      <c r="M223" s="1158">
        <f t="shared" ref="M223:M250" si="84">E223+F223+H223-I223-L223+G223-K223</f>
        <v>248</v>
      </c>
      <c r="N223" s="100">
        <f t="shared" si="81"/>
        <v>6200</v>
      </c>
      <c r="O223" s="1159">
        <f t="shared" si="71"/>
        <v>1200</v>
      </c>
      <c r="P223" s="805"/>
      <c r="Q223" s="805"/>
      <c r="R223" s="804">
        <f>O223/INTGRATE!$N$293</f>
        <v>240</v>
      </c>
      <c r="S223" s="665">
        <f t="shared" si="82"/>
        <v>25.833333333333332</v>
      </c>
      <c r="T223" s="403"/>
      <c r="U223" s="141"/>
      <c r="V223" s="840" t="str">
        <f t="shared" si="83"/>
        <v>GT12B25</v>
      </c>
      <c r="W223" s="823" t="s">
        <v>140</v>
      </c>
      <c r="X223" s="387"/>
      <c r="Y223" s="387">
        <v>0</v>
      </c>
      <c r="Z223" s="100">
        <v>450</v>
      </c>
      <c r="AA223" s="100">
        <v>0</v>
      </c>
      <c r="AB223" s="100">
        <v>0</v>
      </c>
      <c r="AC223" s="100">
        <v>750</v>
      </c>
      <c r="AD223" s="100"/>
      <c r="AE223" s="100"/>
      <c r="AF223" s="100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77"/>
        <v>1200</v>
      </c>
      <c r="BD223" s="786">
        <f t="shared" si="78"/>
        <v>2</v>
      </c>
      <c r="BE223" s="786">
        <f t="shared" si="79"/>
        <v>600</v>
      </c>
      <c r="BH223" s="436"/>
    </row>
    <row r="224" spans="1:60" s="38" customFormat="1" ht="15" customHeight="1">
      <c r="A224" s="68">
        <v>19</v>
      </c>
      <c r="B224" s="609" t="s">
        <v>206</v>
      </c>
      <c r="C224" s="609" t="s">
        <v>55</v>
      </c>
      <c r="D224" s="610" t="s">
        <v>58</v>
      </c>
      <c r="E224" s="1158"/>
      <c r="F224" s="100">
        <f>+J224</f>
        <v>0</v>
      </c>
      <c r="G224" s="100"/>
      <c r="H224" s="100"/>
      <c r="I224" s="100"/>
      <c r="J224" s="100">
        <f>SUMIF(data!$D:$D,$B224&amp;$D224,data!$K:$K)</f>
        <v>0</v>
      </c>
      <c r="K224" s="100">
        <f>SUMIF(AJOUT!$A:$A,BRAN!$V:$V,AJOUT!$L:$L)</f>
        <v>0</v>
      </c>
      <c r="L224" s="100"/>
      <c r="M224" s="1158"/>
      <c r="N224" s="100"/>
      <c r="O224" s="1159">
        <f>SUM(X224:BB224)</f>
        <v>0</v>
      </c>
      <c r="P224" s="805"/>
      <c r="Q224" s="805"/>
      <c r="R224" s="804">
        <f>O224/INTGRATE!$N$293</f>
        <v>0</v>
      </c>
      <c r="S224" s="665">
        <f>IF(R224=0,0,N224/R224)</f>
        <v>0</v>
      </c>
      <c r="T224" s="403"/>
      <c r="U224" s="141"/>
      <c r="V224" s="840" t="str">
        <f t="shared" si="83"/>
        <v>GT12Bsilo</v>
      </c>
      <c r="W224" s="823" t="s">
        <v>140</v>
      </c>
      <c r="X224" s="387"/>
      <c r="Y224" s="387">
        <v>0</v>
      </c>
      <c r="Z224" s="100">
        <v>0</v>
      </c>
      <c r="AA224" s="100">
        <v>0</v>
      </c>
      <c r="AB224" s="100">
        <v>0</v>
      </c>
      <c r="AC224" s="100">
        <v>0</v>
      </c>
      <c r="AD224" s="100"/>
      <c r="AE224" s="100"/>
      <c r="AF224" s="100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77"/>
        <v>0</v>
      </c>
      <c r="BD224" s="786">
        <f t="shared" si="78"/>
        <v>0</v>
      </c>
      <c r="BE224" s="786">
        <f t="shared" si="79"/>
        <v>0</v>
      </c>
      <c r="BH224" s="436"/>
    </row>
    <row r="225" spans="1:60" s="38" customFormat="1" ht="15" customHeight="1">
      <c r="A225" s="68">
        <v>20</v>
      </c>
      <c r="B225" s="609" t="s">
        <v>207</v>
      </c>
      <c r="C225" s="609" t="s">
        <v>55</v>
      </c>
      <c r="D225" s="610">
        <v>25</v>
      </c>
      <c r="E225" s="1158">
        <v>637</v>
      </c>
      <c r="F225" s="100">
        <f>SUMIF(pro!$A:$A,$V:$V,pro!$N:$N)</f>
        <v>0</v>
      </c>
      <c r="G225" s="100"/>
      <c r="H225" s="100">
        <f>SUMIF(CBIN!$A:$A,BRAN!$V:$V,CBIN!$G:$G)</f>
        <v>0</v>
      </c>
      <c r="I225" s="100">
        <f>SUMIF(data!$D:$D,$B225&amp;$D225,data!$J:$J)</f>
        <v>0</v>
      </c>
      <c r="J225" s="100">
        <f>SUMIF(data!$D:$D,$B225&amp;$D225,data!$K:$K)</f>
        <v>0</v>
      </c>
      <c r="K225" s="100">
        <f>SUMIF(AJOUT!$A:$A,BRAN!$V:$V,AJOUT!$L:$L)</f>
        <v>0</v>
      </c>
      <c r="L225" s="100">
        <f>SUMIF(CBOUT!$A:$A,BRAN!$V:$V,CBOUT!$G:$G)</f>
        <v>0</v>
      </c>
      <c r="M225" s="1158">
        <f>E225+F225+H225-I225-L225+G225-K225</f>
        <v>637</v>
      </c>
      <c r="N225" s="100">
        <f t="shared" si="81"/>
        <v>15925</v>
      </c>
      <c r="O225" s="1159">
        <f>SUM(X225:BB225)</f>
        <v>0</v>
      </c>
      <c r="P225" s="805"/>
      <c r="Q225" s="805"/>
      <c r="R225" s="804">
        <f>O225/INTGRATE!$N$293</f>
        <v>0</v>
      </c>
      <c r="S225" s="665">
        <f>IF(R225=0,0,N225/R225)</f>
        <v>0</v>
      </c>
      <c r="T225" s="403"/>
      <c r="U225" s="141"/>
      <c r="V225" s="840" t="str">
        <f t="shared" si="83"/>
        <v>GT12BS25</v>
      </c>
      <c r="W225" s="823" t="s">
        <v>208</v>
      </c>
      <c r="X225" s="387"/>
      <c r="Y225" s="387">
        <v>0</v>
      </c>
      <c r="Z225" s="100">
        <v>0</v>
      </c>
      <c r="AA225" s="100">
        <v>0</v>
      </c>
      <c r="AB225" s="100">
        <v>0</v>
      </c>
      <c r="AC225" s="100">
        <v>0</v>
      </c>
      <c r="AD225" s="100"/>
      <c r="AE225" s="100"/>
      <c r="AF225" s="100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77"/>
        <v>0</v>
      </c>
      <c r="BD225" s="786">
        <f t="shared" si="78"/>
        <v>0</v>
      </c>
      <c r="BE225" s="786">
        <f t="shared" si="79"/>
        <v>0</v>
      </c>
      <c r="BH225" s="436"/>
    </row>
    <row r="226" spans="1:60" s="38" customFormat="1" ht="15" customHeight="1">
      <c r="A226" s="68">
        <v>21</v>
      </c>
      <c r="B226" s="609" t="s">
        <v>209</v>
      </c>
      <c r="C226" s="609" t="s">
        <v>55</v>
      </c>
      <c r="D226" s="610">
        <v>25</v>
      </c>
      <c r="E226" s="1158">
        <v>0</v>
      </c>
      <c r="F226" s="100">
        <f>SUMIF(pro!$A:$A,$V:$V,pro!$N:$N)</f>
        <v>0</v>
      </c>
      <c r="G226" s="100"/>
      <c r="H226" s="100">
        <f>SUMIF(CBIN!$A:$A,BRAN!$V:$V,CBIN!$G:$G)</f>
        <v>0</v>
      </c>
      <c r="I226" s="100">
        <f>SUMIF(data!$D:$D,$B226&amp;$D226,data!$J:$J)</f>
        <v>0</v>
      </c>
      <c r="J226" s="100">
        <f>SUMIF(data!$D:$D,$B226&amp;$D226,data!$K:$K)</f>
        <v>0</v>
      </c>
      <c r="K226" s="100">
        <f>SUMIF(AJOUT!$A:$A,BRAN!$V:$V,AJOUT!$L:$L)</f>
        <v>0</v>
      </c>
      <c r="L226" s="100">
        <f>SUMIF(CBOUT!$A:$A,BRAN!$V:$V,CBOUT!$G:$G)</f>
        <v>0</v>
      </c>
      <c r="M226" s="1158">
        <f>E226+F226+H226-I226-L226+G226-K226</f>
        <v>0</v>
      </c>
      <c r="N226" s="100">
        <f t="shared" si="81"/>
        <v>0</v>
      </c>
      <c r="O226" s="1159">
        <f>SUM(X226:BB226)</f>
        <v>0</v>
      </c>
      <c r="P226" s="805"/>
      <c r="Q226" s="805"/>
      <c r="R226" s="804">
        <f>O226/INTGRATE!$N$293</f>
        <v>0</v>
      </c>
      <c r="S226" s="665">
        <f>IF(R226=0,0,N226/R226)</f>
        <v>0</v>
      </c>
      <c r="T226" s="403"/>
      <c r="U226" s="141"/>
      <c r="V226" s="840" t="str">
        <f t="shared" si="83"/>
        <v>GT12BSP25</v>
      </c>
      <c r="W226" s="823" t="s">
        <v>210</v>
      </c>
      <c r="X226" s="387"/>
      <c r="Y226" s="387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/>
      <c r="AE226" s="100"/>
      <c r="AF226" s="100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77"/>
        <v>0</v>
      </c>
      <c r="BD226" s="786">
        <f t="shared" si="78"/>
        <v>0</v>
      </c>
      <c r="BE226" s="786">
        <f t="shared" si="79"/>
        <v>0</v>
      </c>
      <c r="BH226" s="436"/>
    </row>
    <row r="227" spans="1:60" s="38" customFormat="1" ht="15" customHeight="1">
      <c r="A227" s="68">
        <v>22</v>
      </c>
      <c r="B227" s="609" t="s">
        <v>211</v>
      </c>
      <c r="C227" s="609" t="s">
        <v>132</v>
      </c>
      <c r="D227" s="610" t="s">
        <v>58</v>
      </c>
      <c r="E227" s="1158">
        <v>0</v>
      </c>
      <c r="F227" s="100">
        <f>+J227</f>
        <v>0</v>
      </c>
      <c r="G227" s="100"/>
      <c r="H227" s="100"/>
      <c r="I227" s="100"/>
      <c r="J227" s="100">
        <f>SUMIF(data!$D:$D,$B227&amp;$D227,data!$K:$K)</f>
        <v>0</v>
      </c>
      <c r="K227" s="100">
        <f>SUMIF(AJOUT!$A:$A,BRAN!$V:$V,AJOUT!$L:$L)</f>
        <v>0</v>
      </c>
      <c r="L227" s="100"/>
      <c r="M227" s="1158">
        <v>0</v>
      </c>
      <c r="N227" s="100"/>
      <c r="O227" s="1159">
        <f>SUM(X227:BB227)</f>
        <v>26970</v>
      </c>
      <c r="P227" s="805"/>
      <c r="Q227" s="805"/>
      <c r="R227" s="804">
        <f>O227/INTGRATE!$N$293</f>
        <v>5394</v>
      </c>
      <c r="S227" s="665">
        <f>IF(R227=0,0,N227/R227)</f>
        <v>0</v>
      </c>
      <c r="T227" s="403"/>
      <c r="U227" s="141"/>
      <c r="V227" s="840" t="str">
        <f t="shared" si="83"/>
        <v>GT12Asilo</v>
      </c>
      <c r="W227" s="823">
        <v>113601</v>
      </c>
      <c r="X227" s="387"/>
      <c r="Y227" s="387">
        <v>0</v>
      </c>
      <c r="Z227" s="100">
        <v>0</v>
      </c>
      <c r="AA227" s="100">
        <v>13940</v>
      </c>
      <c r="AB227" s="100">
        <v>13030</v>
      </c>
      <c r="AC227" s="100">
        <v>0</v>
      </c>
      <c r="AD227" s="100"/>
      <c r="AE227" s="100"/>
      <c r="AF227" s="100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77"/>
        <v>26970</v>
      </c>
      <c r="BD227" s="786">
        <f t="shared" si="78"/>
        <v>2</v>
      </c>
      <c r="BE227" s="786">
        <f t="shared" si="79"/>
        <v>13485</v>
      </c>
      <c r="BH227" s="436"/>
    </row>
    <row r="228" spans="1:60" s="38" customFormat="1" ht="15" customHeight="1">
      <c r="A228" s="68">
        <v>23</v>
      </c>
      <c r="B228" s="609" t="s">
        <v>211</v>
      </c>
      <c r="C228" s="609" t="s">
        <v>132</v>
      </c>
      <c r="D228" s="610">
        <v>25</v>
      </c>
      <c r="E228" s="1158">
        <v>0</v>
      </c>
      <c r="F228" s="100">
        <f>SUMIF(pro!$A:$A,$V:$V,pro!$N:$N)</f>
        <v>0</v>
      </c>
      <c r="G228" s="100"/>
      <c r="H228" s="100">
        <f>SUMIF(CBIN!$A:$A,BRAN!$V:$V,CBIN!$G:$G)</f>
        <v>0</v>
      </c>
      <c r="I228" s="100">
        <f>SUMIF(data!$D:$D,$B228&amp;$D228,data!$J:$J)</f>
        <v>0</v>
      </c>
      <c r="J228" s="100">
        <f>SUMIF(data!$D:$D,$B228&amp;$D228,data!$K:$K)</f>
        <v>0</v>
      </c>
      <c r="K228" s="100">
        <f>SUMIF(AJOUT!$A:$A,BRAN!$V:$V,AJOUT!$L:$L)</f>
        <v>0</v>
      </c>
      <c r="L228" s="100">
        <f>SUMIF(CBOUT!$A:$A,BRAN!$V:$V,CBOUT!$G:$G)</f>
        <v>0</v>
      </c>
      <c r="M228" s="1158">
        <f t="shared" si="84"/>
        <v>0</v>
      </c>
      <c r="N228" s="100">
        <f t="shared" si="81"/>
        <v>0</v>
      </c>
      <c r="O228" s="1159">
        <f t="shared" si="71"/>
        <v>2950</v>
      </c>
      <c r="P228" s="805"/>
      <c r="Q228" s="805"/>
      <c r="R228" s="804">
        <f>O228/INTGRATE!$N$293</f>
        <v>590</v>
      </c>
      <c r="S228" s="665">
        <f t="shared" si="82"/>
        <v>0</v>
      </c>
      <c r="T228" s="403"/>
      <c r="U228" s="141"/>
      <c r="V228" s="840" t="str">
        <f t="shared" si="83"/>
        <v>GT12A25</v>
      </c>
      <c r="W228" s="823">
        <v>113601</v>
      </c>
      <c r="X228" s="387"/>
      <c r="Y228" s="387">
        <v>0</v>
      </c>
      <c r="Z228" s="100">
        <v>0</v>
      </c>
      <c r="AA228" s="100">
        <v>0</v>
      </c>
      <c r="AB228" s="100">
        <v>2950</v>
      </c>
      <c r="AC228" s="100">
        <v>0</v>
      </c>
      <c r="AD228" s="100"/>
      <c r="AE228" s="100"/>
      <c r="AF228" s="100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77"/>
        <v>2950</v>
      </c>
      <c r="BD228" s="786">
        <f t="shared" si="78"/>
        <v>1</v>
      </c>
      <c r="BE228" s="786">
        <f t="shared" si="79"/>
        <v>2950</v>
      </c>
      <c r="BH228" s="436"/>
    </row>
    <row r="229" spans="1:60" s="38" customFormat="1" ht="15" customHeight="1">
      <c r="A229" s="68">
        <v>24</v>
      </c>
      <c r="B229" s="609" t="s">
        <v>212</v>
      </c>
      <c r="C229" s="792" t="s">
        <v>80</v>
      </c>
      <c r="D229" s="610">
        <v>25</v>
      </c>
      <c r="E229" s="1158">
        <v>621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58">
        <f t="shared" si="84"/>
        <v>621</v>
      </c>
      <c r="N229" s="100">
        <f t="shared" si="81"/>
        <v>15525</v>
      </c>
      <c r="O229" s="1159">
        <f t="shared" si="71"/>
        <v>0</v>
      </c>
      <c r="P229" s="805"/>
      <c r="Q229" s="805"/>
      <c r="R229" s="804">
        <f>O229/INTGRATE!$N$293</f>
        <v>0</v>
      </c>
      <c r="S229" s="665">
        <f t="shared" si="82"/>
        <v>0</v>
      </c>
      <c r="T229" s="403"/>
      <c r="U229" s="141"/>
      <c r="V229" s="840" t="str">
        <f t="shared" si="83"/>
        <v>GT12S25</v>
      </c>
      <c r="W229" s="823">
        <v>113301</v>
      </c>
      <c r="X229" s="387"/>
      <c r="Y229" s="387">
        <v>0</v>
      </c>
      <c r="Z229" s="100">
        <v>0</v>
      </c>
      <c r="AA229" s="100">
        <v>0</v>
      </c>
      <c r="AB229" s="100">
        <v>0</v>
      </c>
      <c r="AC229" s="100">
        <v>0</v>
      </c>
      <c r="AD229" s="100"/>
      <c r="AE229" s="100"/>
      <c r="AF229" s="100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77"/>
        <v>0</v>
      </c>
      <c r="BD229" s="786">
        <f t="shared" si="78"/>
        <v>0</v>
      </c>
      <c r="BE229" s="786">
        <f t="shared" si="79"/>
        <v>0</v>
      </c>
      <c r="BH229" s="436"/>
    </row>
    <row r="230" spans="1:60" s="38" customFormat="1" ht="15" customHeight="1">
      <c r="A230" s="68">
        <v>25</v>
      </c>
      <c r="B230" s="609" t="s">
        <v>213</v>
      </c>
      <c r="C230" s="609" t="s">
        <v>55</v>
      </c>
      <c r="D230" s="610">
        <v>25</v>
      </c>
      <c r="E230" s="1158">
        <v>0</v>
      </c>
      <c r="F230" s="100">
        <f>SUMIF(pro!$A:$A,$V:$V,pro!$N:$N)</f>
        <v>237</v>
      </c>
      <c r="G230" s="100"/>
      <c r="H230" s="100">
        <f>SUMIF(CBIN!$A:$A,BRAN!$V:$V,CBIN!$G:$G)</f>
        <v>0</v>
      </c>
      <c r="I230" s="100">
        <f>SUMIF(data!$D:$D,$B230&amp;$D230,data!$J:$J)</f>
        <v>0</v>
      </c>
      <c r="J230" s="100">
        <f>SUMIF(data!$D:$D,$B230&amp;$D230,data!$K:$K)</f>
        <v>0</v>
      </c>
      <c r="K230" s="100">
        <f>SUMIF(AJOUT!$A:$A,BRAN!$V:$V,AJOUT!$L:$L)</f>
        <v>0</v>
      </c>
      <c r="L230" s="100">
        <f>SUMIF(CBOUT!$A:$A,BRAN!$V:$V,CBOUT!$G:$G)</f>
        <v>0</v>
      </c>
      <c r="M230" s="1158">
        <f>E230+F230+H230-I230-L230+G230-K230</f>
        <v>237</v>
      </c>
      <c r="N230" s="100">
        <f t="shared" si="81"/>
        <v>5925</v>
      </c>
      <c r="O230" s="1159">
        <f>SUM(X230:BB230)</f>
        <v>0</v>
      </c>
      <c r="P230" s="805"/>
      <c r="Q230" s="805"/>
      <c r="R230" s="804">
        <f>O230/INTGRATE!$N$293</f>
        <v>0</v>
      </c>
      <c r="S230" s="665">
        <f>IF(R230=0,0,N230/R230)</f>
        <v>0</v>
      </c>
      <c r="T230" s="403"/>
      <c r="U230" s="141"/>
      <c r="V230" s="840" t="str">
        <f t="shared" si="83"/>
        <v>GT12AS25</v>
      </c>
      <c r="W230" s="823">
        <v>113301</v>
      </c>
      <c r="X230" s="387"/>
      <c r="Y230" s="387">
        <v>0</v>
      </c>
      <c r="Z230" s="100">
        <v>0</v>
      </c>
      <c r="AA230" s="100">
        <v>0</v>
      </c>
      <c r="AB230" s="100">
        <v>0</v>
      </c>
      <c r="AC230" s="100">
        <v>0</v>
      </c>
      <c r="AD230" s="100"/>
      <c r="AE230" s="100"/>
      <c r="AF230" s="100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77"/>
        <v>0</v>
      </c>
      <c r="BD230" s="786">
        <f t="shared" si="78"/>
        <v>0</v>
      </c>
      <c r="BE230" s="786">
        <f t="shared" si="79"/>
        <v>0</v>
      </c>
      <c r="BH230" s="436"/>
    </row>
    <row r="231" spans="1:60" s="38" customFormat="1" ht="15" customHeight="1">
      <c r="A231" s="68">
        <v>26</v>
      </c>
      <c r="B231" s="609" t="s">
        <v>213</v>
      </c>
      <c r="C231" s="609" t="s">
        <v>55</v>
      </c>
      <c r="D231" s="610" t="s">
        <v>66</v>
      </c>
      <c r="E231" s="1158"/>
      <c r="F231" s="100">
        <f>+J231</f>
        <v>0</v>
      </c>
      <c r="G231" s="100"/>
      <c r="H231" s="100"/>
      <c r="I231" s="100">
        <f>SUMIF(data!$D:$D,$B231&amp;$D231,data!$J:$J)</f>
        <v>0</v>
      </c>
      <c r="J231" s="100">
        <f>SUMIF(data!$D:$D,$B231&amp;$D231,data!$K:$K)</f>
        <v>0</v>
      </c>
      <c r="K231" s="100"/>
      <c r="L231" s="100"/>
      <c r="M231" s="1158"/>
      <c r="N231" s="100"/>
      <c r="O231" s="1159">
        <f>SUM(X231:BB231)</f>
        <v>0</v>
      </c>
      <c r="P231" s="805" t="s">
        <v>214</v>
      </c>
      <c r="Q231" s="805"/>
      <c r="R231" s="804">
        <f>O231/INTGRATE!$N$293</f>
        <v>0</v>
      </c>
      <c r="S231" s="665">
        <f>IF(R231=0,0,N231/R231)</f>
        <v>0</v>
      </c>
      <c r="T231" s="403"/>
      <c r="U231" s="141"/>
      <c r="V231" s="840" t="str">
        <f t="shared" si="83"/>
        <v>GT12ASSILO</v>
      </c>
      <c r="W231" s="823">
        <v>113301</v>
      </c>
      <c r="X231" s="387"/>
      <c r="Y231" s="387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/>
      <c r="AE231" s="100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77"/>
        <v>0</v>
      </c>
      <c r="BD231" s="786">
        <f t="shared" si="78"/>
        <v>0</v>
      </c>
      <c r="BE231" s="786">
        <f t="shared" si="79"/>
        <v>0</v>
      </c>
      <c r="BH231" s="436"/>
    </row>
    <row r="232" spans="1:60" s="38" customFormat="1" ht="15" customHeight="1">
      <c r="A232" s="68">
        <v>27</v>
      </c>
      <c r="B232" s="159" t="s">
        <v>215</v>
      </c>
      <c r="C232" s="159" t="s">
        <v>79</v>
      </c>
      <c r="D232" s="160">
        <v>25</v>
      </c>
      <c r="E232" s="1158">
        <v>0</v>
      </c>
      <c r="F232" s="100">
        <f>SUMIF(pro!$A:$A,$V:$V,pro!$N:$N)</f>
        <v>0</v>
      </c>
      <c r="G232" s="100"/>
      <c r="H232" s="100">
        <f>SUMIF(CBIN!$A:$A,BRAN!$V:$V,CBIN!$G:$G)</f>
        <v>0</v>
      </c>
      <c r="I232" s="100">
        <f>SUMIF(data!$D:$D,$B232&amp;$D232,data!$J:$J)</f>
        <v>0</v>
      </c>
      <c r="J232" s="100">
        <f>SUMIF(data!$D:$D,$B232&amp;$D232,data!$K:$K)</f>
        <v>0</v>
      </c>
      <c r="K232" s="100">
        <f>SUMIF(AJOUT!$A:$A,BRAN!$V:$V,AJOUT!$L:$L)</f>
        <v>0</v>
      </c>
      <c r="L232" s="100">
        <f>SUMIF(CBOUT!$A:$A,BRAN!$V:$V,CBOUT!$G:$G)</f>
        <v>0</v>
      </c>
      <c r="M232" s="1158">
        <f t="shared" si="84"/>
        <v>0</v>
      </c>
      <c r="N232" s="100">
        <f t="shared" si="81"/>
        <v>0</v>
      </c>
      <c r="O232" s="1159">
        <f t="shared" si="71"/>
        <v>0</v>
      </c>
      <c r="P232" s="717">
        <f>+N217+N250+N251+N252+N254+N258+N259+N260+N261+N218+N253</f>
        <v>22725</v>
      </c>
      <c r="Q232" s="717">
        <f>+O217+O250+O251+O252+O254+O258+O259+O260+O261+O218+O253</f>
        <v>85725</v>
      </c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ref="V232:V279" si="85">B232&amp;D232</f>
        <v>CD0225</v>
      </c>
      <c r="W232" s="823">
        <v>546000</v>
      </c>
      <c r="X232" s="387"/>
      <c r="Y232" s="387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/>
      <c r="AE232" s="100"/>
      <c r="AF232" s="100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77"/>
        <v>0</v>
      </c>
      <c r="BD232" s="786">
        <f t="shared" si="78"/>
        <v>0</v>
      </c>
      <c r="BE232" s="786">
        <f t="shared" si="79"/>
        <v>0</v>
      </c>
      <c r="BH232" s="436"/>
    </row>
    <row r="233" spans="1:60" s="38" customFormat="1" ht="15" customHeight="1">
      <c r="A233" s="68">
        <v>28</v>
      </c>
      <c r="B233" s="360" t="s">
        <v>216</v>
      </c>
      <c r="C233" s="747" t="s">
        <v>79</v>
      </c>
      <c r="D233" s="748">
        <v>25</v>
      </c>
      <c r="E233" s="1158">
        <v>449</v>
      </c>
      <c r="F233" s="100">
        <f>SUMIF(pro!$A:$A,$V:$V,pro!$N:$N)</f>
        <v>0</v>
      </c>
      <c r="G233" s="100"/>
      <c r="H233" s="100">
        <f>SUMIF(CBIN!$A:$A,BRAN!$V:$V,CBIN!$G:$G)</f>
        <v>0</v>
      </c>
      <c r="I233" s="100">
        <f>SUMIF(data!$D:$D,$B233&amp;$D233,data!$J:$J)</f>
        <v>0</v>
      </c>
      <c r="J233" s="100">
        <f>SUMIF(data!$D:$D,$B233&amp;$D233,data!$K:$K)</f>
        <v>0</v>
      </c>
      <c r="K233" s="100">
        <f>SUMIF(AJOUT!$A:$A,BRAN!$V:$V,AJOUT!$L:$L)</f>
        <v>0</v>
      </c>
      <c r="L233" s="100">
        <f>SUMIF(CBOUT!$A:$A,BRAN!$V:$V,CBOUT!$G:$G)</f>
        <v>0</v>
      </c>
      <c r="M233" s="1158">
        <f t="shared" si="84"/>
        <v>449</v>
      </c>
      <c r="N233" s="100">
        <f t="shared" si="81"/>
        <v>11225</v>
      </c>
      <c r="O233" s="1159">
        <f t="shared" si="71"/>
        <v>0</v>
      </c>
      <c r="P233" s="805">
        <f>+N229+N208+N210+N211+N214+N219+N220+N215</f>
        <v>62925</v>
      </c>
      <c r="Q233" s="805">
        <f>+O229+O208+O210+O211+O214+O219+O220+O215</f>
        <v>26425</v>
      </c>
      <c r="R233" s="804">
        <f>O233/INTGRATE!$N$293</f>
        <v>0</v>
      </c>
      <c r="S233" s="665">
        <f t="shared" si="82"/>
        <v>0</v>
      </c>
      <c r="T233" s="403"/>
      <c r="U233" s="141"/>
      <c r="V233" s="840" t="str">
        <f t="shared" si="85"/>
        <v>BS045A25</v>
      </c>
      <c r="W233" s="823">
        <v>433060</v>
      </c>
      <c r="X233" s="387"/>
      <c r="Y233" s="387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/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77"/>
        <v>0</v>
      </c>
      <c r="BD233" s="786">
        <f t="shared" si="78"/>
        <v>0</v>
      </c>
      <c r="BE233" s="786">
        <f t="shared" si="79"/>
        <v>0</v>
      </c>
      <c r="BH233" s="436"/>
    </row>
    <row r="234" spans="1:60" s="38" customFormat="1" ht="14.25" customHeight="1">
      <c r="A234" s="68">
        <v>29</v>
      </c>
      <c r="B234" s="360" t="s">
        <v>217</v>
      </c>
      <c r="C234" s="747" t="s">
        <v>79</v>
      </c>
      <c r="D234" s="748">
        <v>25</v>
      </c>
      <c r="E234" s="1158">
        <v>1092</v>
      </c>
      <c r="F234" s="100">
        <f>SUMIF(pro!$A:$A,$V:$V,pro!$N:$N)</f>
        <v>0</v>
      </c>
      <c r="G234" s="100"/>
      <c r="H234" s="100">
        <f>SUMIF(CBIN!$A:$A,BRAN!$V:$V,CBIN!$G:$G)</f>
        <v>0</v>
      </c>
      <c r="I234" s="100">
        <f>SUMIF(data!$D:$D,$B234&amp;$D234,data!$J:$J)</f>
        <v>156</v>
      </c>
      <c r="J234" s="100">
        <f>SUMIF(data!$D:$D,$B234&amp;$D234,data!$K:$K)</f>
        <v>3900</v>
      </c>
      <c r="K234" s="100">
        <f>SUMIF(AJOUT!$A:$A,BRAN!$V:$V,AJOUT!$L:$L)</f>
        <v>0</v>
      </c>
      <c r="L234" s="100">
        <f>SUMIF(CBOUT!$A:$A,BRAN!$V:$V,CBOUT!$G:$G)</f>
        <v>0</v>
      </c>
      <c r="M234" s="1158">
        <f>E234+F234+H234-I234-L234+G234-K234</f>
        <v>936</v>
      </c>
      <c r="N234" s="100">
        <f t="shared" si="81"/>
        <v>23400</v>
      </c>
      <c r="O234" s="1159">
        <f t="shared" ref="O234:O236" si="86">SUM(X234:BB234)</f>
        <v>3900</v>
      </c>
      <c r="P234" s="805" t="s">
        <v>218</v>
      </c>
      <c r="Q234" s="805"/>
      <c r="R234" s="804">
        <f>O234/INTGRATE!$N$293</f>
        <v>780</v>
      </c>
      <c r="S234" s="665">
        <f t="shared" ref="S234:S236" si="87">IF(R234=0,0,N234/R234)</f>
        <v>30</v>
      </c>
      <c r="T234" s="403"/>
      <c r="U234" s="141"/>
      <c r="V234" s="840" t="str">
        <f t="shared" si="85"/>
        <v>BS04A5A25</v>
      </c>
      <c r="W234" s="823">
        <v>433760</v>
      </c>
      <c r="X234" s="387"/>
      <c r="Y234" s="387">
        <v>0</v>
      </c>
      <c r="Z234" s="100">
        <v>0</v>
      </c>
      <c r="AA234" s="100">
        <v>0</v>
      </c>
      <c r="AB234" s="100">
        <v>0</v>
      </c>
      <c r="AC234" s="100">
        <v>3900</v>
      </c>
      <c r="AD234" s="100"/>
      <c r="AE234" s="100"/>
      <c r="AF234" s="100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77"/>
        <v>3900</v>
      </c>
      <c r="BD234" s="786">
        <f t="shared" si="78"/>
        <v>1</v>
      </c>
      <c r="BE234" s="786">
        <f t="shared" si="79"/>
        <v>3900</v>
      </c>
      <c r="BH234" s="436"/>
    </row>
    <row r="235" spans="1:60" s="38" customFormat="1" ht="15" customHeight="1">
      <c r="A235" s="68">
        <v>30</v>
      </c>
      <c r="B235" s="360" t="s">
        <v>219</v>
      </c>
      <c r="C235" s="747" t="s">
        <v>79</v>
      </c>
      <c r="D235" s="748">
        <v>25</v>
      </c>
      <c r="E235" s="1158">
        <v>0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v>0</v>
      </c>
      <c r="L235" s="100">
        <f>SUMIF(CBOUT!$A:$A,BRAN!$V:$V,CBOUT!$G:$G)</f>
        <v>0</v>
      </c>
      <c r="M235" s="1158">
        <f>E235+F235+H235-I235-L235+G235-K235</f>
        <v>0</v>
      </c>
      <c r="N235" s="100">
        <f t="shared" si="81"/>
        <v>0</v>
      </c>
      <c r="O235" s="1159">
        <f t="shared" si="86"/>
        <v>0</v>
      </c>
      <c r="P235" s="805"/>
      <c r="Q235" s="805"/>
      <c r="R235" s="804">
        <f>O235/INTGRATE!$N$293</f>
        <v>0</v>
      </c>
      <c r="S235" s="665">
        <f t="shared" si="87"/>
        <v>0</v>
      </c>
      <c r="T235" s="403"/>
      <c r="U235" s="141"/>
      <c r="V235" s="840" t="str">
        <f>B235&amp;D235</f>
        <v>BS04V25</v>
      </c>
      <c r="W235" s="823">
        <v>433769</v>
      </c>
      <c r="X235" s="387"/>
      <c r="Y235" s="387">
        <v>0</v>
      </c>
      <c r="Z235" s="100">
        <v>0</v>
      </c>
      <c r="AA235" s="100">
        <v>0</v>
      </c>
      <c r="AB235" s="100">
        <v>0</v>
      </c>
      <c r="AC235" s="100">
        <v>0</v>
      </c>
      <c r="AD235" s="100"/>
      <c r="AE235" s="100"/>
      <c r="AF235" s="100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77"/>
        <v>0</v>
      </c>
      <c r="BD235" s="786">
        <f t="shared" si="78"/>
        <v>0</v>
      </c>
      <c r="BE235" s="786">
        <f t="shared" si="79"/>
        <v>0</v>
      </c>
      <c r="BH235" s="436"/>
    </row>
    <row r="236" spans="1:60" s="38" customFormat="1" ht="15" customHeight="1">
      <c r="A236" s="68">
        <v>31</v>
      </c>
      <c r="B236" s="360" t="s">
        <v>219</v>
      </c>
      <c r="C236" s="747" t="s">
        <v>79</v>
      </c>
      <c r="D236" s="748">
        <v>40</v>
      </c>
      <c r="E236" s="1158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58">
        <f>E236+F236+H236-I236-L236+G236-K236</f>
        <v>0</v>
      </c>
      <c r="N236" s="100">
        <f t="shared" si="81"/>
        <v>0</v>
      </c>
      <c r="O236" s="1159">
        <f t="shared" si="86"/>
        <v>0</v>
      </c>
      <c r="P236" s="805"/>
      <c r="Q236" s="805"/>
      <c r="R236" s="804">
        <f>O236/INTGRATE!$N$293</f>
        <v>0</v>
      </c>
      <c r="S236" s="665">
        <f t="shared" si="87"/>
        <v>0</v>
      </c>
      <c r="T236" s="403"/>
      <c r="U236" s="141"/>
      <c r="V236" s="840" t="str">
        <f t="shared" si="85"/>
        <v>BS04V40</v>
      </c>
      <c r="W236" s="823">
        <v>433769</v>
      </c>
      <c r="X236" s="387"/>
      <c r="Y236" s="387">
        <v>0</v>
      </c>
      <c r="Z236" s="100">
        <v>0</v>
      </c>
      <c r="AA236" s="100">
        <v>0</v>
      </c>
      <c r="AB236" s="100">
        <v>0</v>
      </c>
      <c r="AC236" s="100">
        <v>0</v>
      </c>
      <c r="AD236" s="100"/>
      <c r="AE236" s="100"/>
      <c r="AF236" s="100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77"/>
        <v>0</v>
      </c>
      <c r="BD236" s="786">
        <f t="shared" si="78"/>
        <v>0</v>
      </c>
      <c r="BE236" s="786">
        <f t="shared" si="79"/>
        <v>0</v>
      </c>
      <c r="BH236" s="436"/>
    </row>
    <row r="237" spans="1:60" s="38" customFormat="1" ht="15" customHeight="1">
      <c r="A237" s="68">
        <v>32</v>
      </c>
      <c r="B237" s="360" t="s">
        <v>220</v>
      </c>
      <c r="C237" s="747" t="s">
        <v>79</v>
      </c>
      <c r="D237" s="748">
        <v>40</v>
      </c>
      <c r="E237" s="1158">
        <v>0</v>
      </c>
      <c r="F237" s="100">
        <f>SUMIF(pro!$A:$A,$V:$V,pro!$N:$N)</f>
        <v>0</v>
      </c>
      <c r="G237" s="100"/>
      <c r="H237" s="100"/>
      <c r="I237" s="100">
        <f>SUMIF(data!$D:$D,$B237&amp;$D237,data!$J:$J)</f>
        <v>0</v>
      </c>
      <c r="J237" s="100">
        <f>SUMIF(data!$D:$D,$B237&amp;$D237,data!$K:$K)</f>
        <v>0</v>
      </c>
      <c r="K237" s="100">
        <v>0</v>
      </c>
      <c r="L237" s="100"/>
      <c r="M237" s="1158">
        <f>E237+F237+H237-I237-L237+G237-K237</f>
        <v>0</v>
      </c>
      <c r="N237" s="100">
        <f t="shared" ref="N237" si="88">+M237*D237</f>
        <v>0</v>
      </c>
      <c r="O237" s="1159">
        <f t="shared" ref="O237" si="89">SUM(X237:BB237)</f>
        <v>12000</v>
      </c>
      <c r="P237" s="805"/>
      <c r="Q237" s="805"/>
      <c r="R237" s="804">
        <f>O237/INTGRATE!$N$293</f>
        <v>2400</v>
      </c>
      <c r="S237" s="665">
        <f t="shared" ref="S237" si="90">IF(R237=0,0,N237/R237)</f>
        <v>0</v>
      </c>
      <c r="T237" s="403"/>
      <c r="U237" s="141"/>
      <c r="V237" s="840" t="str">
        <f t="shared" si="85"/>
        <v>BS06TA40</v>
      </c>
      <c r="W237" s="823">
        <v>433778</v>
      </c>
      <c r="X237" s="387"/>
      <c r="Y237" s="387">
        <v>12000</v>
      </c>
      <c r="Z237" s="100">
        <v>0</v>
      </c>
      <c r="AA237" s="100">
        <v>0</v>
      </c>
      <c r="AB237" s="100">
        <v>0</v>
      </c>
      <c r="AC237" s="100">
        <v>0</v>
      </c>
      <c r="AD237" s="100"/>
      <c r="AE237" s="100"/>
      <c r="AF237" s="100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ref="BC237" si="91">SUM(X237:BB237)</f>
        <v>12000</v>
      </c>
      <c r="BD237" s="786">
        <f t="shared" ref="BD237" si="92">COUNTIF(X237:BB237,"&gt;0")</f>
        <v>1</v>
      </c>
      <c r="BE237" s="786">
        <f t="shared" ref="BE237" si="93">IFERROR(BC237/BD237,0)</f>
        <v>12000</v>
      </c>
      <c r="BH237" s="618"/>
    </row>
    <row r="238" spans="1:60" s="38" customFormat="1" ht="15" customHeight="1">
      <c r="A238" s="68">
        <v>33</v>
      </c>
      <c r="B238" s="360" t="s">
        <v>221</v>
      </c>
      <c r="C238" s="747" t="s">
        <v>79</v>
      </c>
      <c r="D238" s="748" t="s">
        <v>66</v>
      </c>
      <c r="E238" s="1158">
        <v>0</v>
      </c>
      <c r="F238" s="100">
        <f>+J238</f>
        <v>32010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32010</v>
      </c>
      <c r="K238" s="100"/>
      <c r="L238" s="100"/>
      <c r="M238" s="1158">
        <v>0</v>
      </c>
      <c r="N238" s="100"/>
      <c r="O238" s="1159">
        <f t="shared" ref="O238:O246" si="94">SUM(X238:BB238)</f>
        <v>48090</v>
      </c>
      <c r="P238" s="805"/>
      <c r="Q238" s="805"/>
      <c r="R238" s="804">
        <f>O238/INTGRATE!$N$293</f>
        <v>9618</v>
      </c>
      <c r="S238" s="665">
        <f t="shared" ref="S238:S246" si="95">IF(R238=0,0,N238/R238)</f>
        <v>0</v>
      </c>
      <c r="T238" s="403"/>
      <c r="U238" s="141"/>
      <c r="V238" s="840" t="str">
        <f t="shared" si="85"/>
        <v>BS07TASILO</v>
      </c>
      <c r="W238" s="823">
        <v>433779</v>
      </c>
      <c r="X238" s="387"/>
      <c r="Y238" s="387">
        <v>0</v>
      </c>
      <c r="Z238" s="100">
        <v>0</v>
      </c>
      <c r="AA238" s="100">
        <v>16080</v>
      </c>
      <c r="AB238" s="100">
        <v>0</v>
      </c>
      <c r="AC238" s="100">
        <v>32010</v>
      </c>
      <c r="AD238" s="100"/>
      <c r="AE238" s="100"/>
      <c r="AF238" s="100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425"/>
      <c r="BB238" s="100"/>
      <c r="BC238" s="274">
        <f t="shared" si="77"/>
        <v>48090</v>
      </c>
      <c r="BD238" s="786">
        <f t="shared" si="78"/>
        <v>2</v>
      </c>
      <c r="BE238" s="786">
        <f t="shared" si="79"/>
        <v>24045</v>
      </c>
      <c r="BH238" s="436"/>
    </row>
    <row r="239" spans="1:60" s="38" customFormat="1" ht="15" customHeight="1">
      <c r="A239" s="68">
        <v>34</v>
      </c>
      <c r="B239" s="360" t="s">
        <v>222</v>
      </c>
      <c r="C239" s="747" t="s">
        <v>79</v>
      </c>
      <c r="D239" s="748" t="s">
        <v>66</v>
      </c>
      <c r="E239" s="1158">
        <v>0</v>
      </c>
      <c r="F239" s="100">
        <f>+J239</f>
        <v>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0</v>
      </c>
      <c r="K239" s="100"/>
      <c r="L239" s="100"/>
      <c r="M239" s="1158">
        <v>0</v>
      </c>
      <c r="N239" s="100"/>
      <c r="O239" s="1159">
        <f t="shared" si="94"/>
        <v>10030</v>
      </c>
      <c r="P239" s="805"/>
      <c r="Q239" s="805"/>
      <c r="R239" s="804">
        <f>O239/INTGRATE!$N$293</f>
        <v>2006</v>
      </c>
      <c r="S239" s="665">
        <f t="shared" si="95"/>
        <v>0</v>
      </c>
      <c r="T239" s="403"/>
      <c r="U239" s="141"/>
      <c r="V239" s="840" t="str">
        <f t="shared" si="85"/>
        <v>BS09TASILO</v>
      </c>
      <c r="W239" s="823">
        <v>433780</v>
      </c>
      <c r="X239" s="387"/>
      <c r="Y239" s="387">
        <v>0</v>
      </c>
      <c r="Z239" s="100">
        <v>10030</v>
      </c>
      <c r="AA239" s="100">
        <v>0</v>
      </c>
      <c r="AB239" s="100">
        <v>0</v>
      </c>
      <c r="AC239" s="100">
        <v>0</v>
      </c>
      <c r="AD239" s="100"/>
      <c r="AE239" s="100"/>
      <c r="AF239" s="100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274">
        <f t="shared" si="77"/>
        <v>10030</v>
      </c>
      <c r="BD239" s="786">
        <f t="shared" si="78"/>
        <v>1</v>
      </c>
      <c r="BE239" s="786">
        <f t="shared" si="79"/>
        <v>10030</v>
      </c>
      <c r="BF239" s="85"/>
      <c r="BH239" s="436"/>
    </row>
    <row r="240" spans="1:60" s="38" customFormat="1" ht="15" customHeight="1">
      <c r="A240" s="68">
        <v>35</v>
      </c>
      <c r="B240" s="360" t="s">
        <v>223</v>
      </c>
      <c r="C240" s="747" t="s">
        <v>79</v>
      </c>
      <c r="D240" s="748">
        <v>40</v>
      </c>
      <c r="E240" s="1158">
        <v>0</v>
      </c>
      <c r="F240" s="100">
        <f>SUMIF(pro!$A:$A,$V:$V,pro!$N:$N)</f>
        <v>0</v>
      </c>
      <c r="G240" s="100"/>
      <c r="H240" s="100">
        <f>SUMIF(CBIN!$A:$A,BRAN!$V:$V,CBIN!$G:$G)</f>
        <v>0</v>
      </c>
      <c r="I240" s="100">
        <f>SUMIF(data!$D:$D,$B240&amp;$D240,data!$J:$J)</f>
        <v>0</v>
      </c>
      <c r="J240" s="100">
        <f>SUMIF(data!$D:$D,$B240&amp;$D240,data!$K:$K)</f>
        <v>0</v>
      </c>
      <c r="K240" s="100">
        <v>0</v>
      </c>
      <c r="L240" s="100">
        <f>SUMIF(CBOUT!$A:$A,BRAN!$V:$V,CBOUT!$G:$G)</f>
        <v>0</v>
      </c>
      <c r="M240" s="1158">
        <f t="shared" ref="M240:M246" si="96">E240+F240+H240-I240-L240+G240-K240</f>
        <v>0</v>
      </c>
      <c r="N240" s="100">
        <f t="shared" si="81"/>
        <v>0</v>
      </c>
      <c r="O240" s="1159">
        <f t="shared" si="94"/>
        <v>14400</v>
      </c>
      <c r="P240" s="805"/>
      <c r="Q240" s="805"/>
      <c r="R240" s="804">
        <f>O240/INTGRATE!$N$293</f>
        <v>2880</v>
      </c>
      <c r="S240" s="665">
        <f t="shared" si="95"/>
        <v>0</v>
      </c>
      <c r="T240" s="403"/>
      <c r="U240" s="141"/>
      <c r="V240" s="840" t="str">
        <f t="shared" si="85"/>
        <v>BS10TA40</v>
      </c>
      <c r="W240" s="823">
        <v>433781</v>
      </c>
      <c r="X240" s="387"/>
      <c r="Y240" s="387">
        <v>0</v>
      </c>
      <c r="Z240" s="100">
        <v>0</v>
      </c>
      <c r="AA240" s="100">
        <v>14400</v>
      </c>
      <c r="AB240" s="100">
        <v>0</v>
      </c>
      <c r="AC240" s="100">
        <v>0</v>
      </c>
      <c r="AD240" s="100"/>
      <c r="AE240" s="100"/>
      <c r="AF240" s="100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77"/>
        <v>14400</v>
      </c>
      <c r="BD240" s="786">
        <f t="shared" si="78"/>
        <v>1</v>
      </c>
      <c r="BE240" s="786">
        <f t="shared" si="79"/>
        <v>14400</v>
      </c>
      <c r="BH240" s="436"/>
    </row>
    <row r="241" spans="1:60" s="38" customFormat="1" ht="14.25" customHeight="1">
      <c r="A241" s="68">
        <v>36</v>
      </c>
      <c r="B241" s="360" t="s">
        <v>224</v>
      </c>
      <c r="C241" s="747" t="s">
        <v>79</v>
      </c>
      <c r="D241" s="748">
        <v>40</v>
      </c>
      <c r="E241" s="1158">
        <v>0</v>
      </c>
      <c r="F241" s="100">
        <f>SUMIF(pro!$A:$A,$V:$V,pro!$N:$N)</f>
        <v>0</v>
      </c>
      <c r="G241" s="100"/>
      <c r="H241" s="100"/>
      <c r="I241" s="100">
        <f>SUMIF(data!$D:$D,$B241&amp;$D241,data!$J:$J)</f>
        <v>0</v>
      </c>
      <c r="J241" s="100">
        <f>SUMIF(data!$D:$D,$B241&amp;$D241,data!$K:$K)</f>
        <v>0</v>
      </c>
      <c r="K241" s="100"/>
      <c r="L241" s="100"/>
      <c r="M241" s="1158">
        <f t="shared" si="96"/>
        <v>0</v>
      </c>
      <c r="N241" s="100">
        <f t="shared" si="81"/>
        <v>0</v>
      </c>
      <c r="O241" s="1159">
        <f t="shared" si="94"/>
        <v>4000</v>
      </c>
      <c r="P241" s="805"/>
      <c r="Q241" s="805"/>
      <c r="R241" s="804">
        <f>O241/INTGRATE!$N$293</f>
        <v>800</v>
      </c>
      <c r="S241" s="665">
        <f t="shared" si="95"/>
        <v>0</v>
      </c>
      <c r="T241" s="403"/>
      <c r="U241" s="141"/>
      <c r="V241" s="840" t="str">
        <f t="shared" si="85"/>
        <v>BS06LD40</v>
      </c>
      <c r="W241" s="823">
        <v>433782</v>
      </c>
      <c r="X241" s="387"/>
      <c r="Y241" s="387">
        <v>0</v>
      </c>
      <c r="Z241" s="100">
        <v>0</v>
      </c>
      <c r="AA241" s="100">
        <v>4000</v>
      </c>
      <c r="AB241" s="100">
        <v>0</v>
      </c>
      <c r="AC241" s="100">
        <v>0</v>
      </c>
      <c r="AD241" s="100"/>
      <c r="AE241" s="100"/>
      <c r="AF241" s="100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77"/>
        <v>4000</v>
      </c>
      <c r="BD241" s="786">
        <f t="shared" si="78"/>
        <v>1</v>
      </c>
      <c r="BE241" s="786">
        <f t="shared" si="79"/>
        <v>4000</v>
      </c>
      <c r="BH241" s="436"/>
    </row>
    <row r="242" spans="1:60" s="38" customFormat="1" ht="15" customHeight="1">
      <c r="A242" s="68">
        <v>37</v>
      </c>
      <c r="B242" s="360" t="s">
        <v>225</v>
      </c>
      <c r="C242" s="747" t="s">
        <v>79</v>
      </c>
      <c r="D242" s="748" t="s">
        <v>66</v>
      </c>
      <c r="E242" s="1158">
        <v>0</v>
      </c>
      <c r="F242" s="100">
        <f>+J242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58">
        <v>0</v>
      </c>
      <c r="N242" s="100"/>
      <c r="O242" s="1159">
        <f t="shared" si="94"/>
        <v>0</v>
      </c>
      <c r="P242" s="805"/>
      <c r="Q242" s="805"/>
      <c r="R242" s="804">
        <f>O242/INTGRATE!$N$293</f>
        <v>0</v>
      </c>
      <c r="S242" s="665">
        <f t="shared" si="95"/>
        <v>0</v>
      </c>
      <c r="T242" s="403"/>
      <c r="U242" s="141"/>
      <c r="V242" s="840" t="str">
        <f t="shared" si="85"/>
        <v>BS07LDSILO</v>
      </c>
      <c r="W242" s="823">
        <v>433783</v>
      </c>
      <c r="X242" s="387"/>
      <c r="Y242" s="387">
        <v>0</v>
      </c>
      <c r="Z242" s="100">
        <v>0</v>
      </c>
      <c r="AA242" s="100">
        <v>0</v>
      </c>
      <c r="AB242" s="100">
        <v>0</v>
      </c>
      <c r="AC242" s="100">
        <v>0</v>
      </c>
      <c r="AD242" s="100"/>
      <c r="AE242" s="100"/>
      <c r="AF242" s="100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77"/>
        <v>0</v>
      </c>
      <c r="BD242" s="786">
        <f t="shared" si="78"/>
        <v>0</v>
      </c>
      <c r="BE242" s="786">
        <f t="shared" si="79"/>
        <v>0</v>
      </c>
      <c r="BH242" s="436"/>
    </row>
    <row r="243" spans="1:60" s="38" customFormat="1" ht="15" customHeight="1">
      <c r="A243" s="68">
        <v>38</v>
      </c>
      <c r="B243" s="360" t="s">
        <v>226</v>
      </c>
      <c r="C243" s="747" t="s">
        <v>79</v>
      </c>
      <c r="D243" s="748">
        <v>40</v>
      </c>
      <c r="E243" s="1158">
        <v>0</v>
      </c>
      <c r="F243" s="100">
        <f>SUMIF(pro!$A:$A,$V:$V,pro!$N:$N)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58">
        <f t="shared" si="96"/>
        <v>0</v>
      </c>
      <c r="N243" s="100">
        <f t="shared" si="81"/>
        <v>0</v>
      </c>
      <c r="O243" s="1159">
        <f t="shared" si="94"/>
        <v>0</v>
      </c>
      <c r="P243" s="805"/>
      <c r="Q243" s="805"/>
      <c r="R243" s="804">
        <f>O243/INTGRATE!$N$293</f>
        <v>0</v>
      </c>
      <c r="S243" s="665">
        <f t="shared" si="95"/>
        <v>0</v>
      </c>
      <c r="T243" s="403"/>
      <c r="U243" s="141"/>
      <c r="V243" s="840" t="str">
        <f t="shared" si="85"/>
        <v>BS10LD40</v>
      </c>
      <c r="W243" s="823">
        <v>433774</v>
      </c>
      <c r="X243" s="387"/>
      <c r="Y243" s="387">
        <v>0</v>
      </c>
      <c r="Z243" s="100">
        <v>0</v>
      </c>
      <c r="AA243" s="100">
        <v>0</v>
      </c>
      <c r="AB243" s="100">
        <v>0</v>
      </c>
      <c r="AC243" s="100">
        <v>0</v>
      </c>
      <c r="AD243" s="100"/>
      <c r="AE243" s="100"/>
      <c r="AF243" s="100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77"/>
        <v>0</v>
      </c>
      <c r="BD243" s="786">
        <f t="shared" si="78"/>
        <v>0</v>
      </c>
      <c r="BE243" s="786">
        <f t="shared" si="79"/>
        <v>0</v>
      </c>
      <c r="BH243" s="436"/>
    </row>
    <row r="244" spans="1:60" s="38" customFormat="1" ht="15" customHeight="1">
      <c r="A244" s="68">
        <v>39</v>
      </c>
      <c r="B244" s="360" t="s">
        <v>227</v>
      </c>
      <c r="C244" s="747" t="s">
        <v>64</v>
      </c>
      <c r="D244" s="748">
        <v>25</v>
      </c>
      <c r="E244" s="1158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>
        <f>SUMIF(AJOUT!$A:$A,BRAN!$V:$V,AJOUT!$L:$L)</f>
        <v>0</v>
      </c>
      <c r="L244" s="100">
        <f>SUMIF(CBOUT!$A:$A,BRAN!$V:$V,CBOUT!$G:$G)</f>
        <v>0</v>
      </c>
      <c r="M244" s="1158">
        <f t="shared" si="96"/>
        <v>0</v>
      </c>
      <c r="N244" s="100">
        <f t="shared" si="81"/>
        <v>0</v>
      </c>
      <c r="O244" s="1159">
        <f t="shared" si="94"/>
        <v>0</v>
      </c>
      <c r="P244" s="805"/>
      <c r="Q244" s="805"/>
      <c r="R244" s="804">
        <f>O244/INTGRATE!$N$293</f>
        <v>0</v>
      </c>
      <c r="S244" s="665">
        <f t="shared" si="95"/>
        <v>0</v>
      </c>
      <c r="T244" s="403"/>
      <c r="U244" s="141"/>
      <c r="V244" s="840" t="str">
        <f t="shared" si="85"/>
        <v>BS1425</v>
      </c>
      <c r="W244" s="823">
        <v>433061</v>
      </c>
      <c r="X244" s="387"/>
      <c r="Y244" s="387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/>
      <c r="AE244" s="100"/>
      <c r="AF244" s="100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77"/>
        <v>0</v>
      </c>
      <c r="BD244" s="786">
        <f t="shared" si="78"/>
        <v>0</v>
      </c>
      <c r="BE244" s="786">
        <f t="shared" si="79"/>
        <v>0</v>
      </c>
      <c r="BH244" s="436"/>
    </row>
    <row r="245" spans="1:60" s="38" customFormat="1" ht="15" customHeight="1">
      <c r="A245" s="68">
        <v>40</v>
      </c>
      <c r="B245" s="349" t="s">
        <v>228</v>
      </c>
      <c r="C245" s="349" t="s">
        <v>55</v>
      </c>
      <c r="D245" s="660">
        <v>25</v>
      </c>
      <c r="E245" s="1158">
        <v>664</v>
      </c>
      <c r="F245" s="100">
        <f>SUMIF(pro!$A:$A,$V:$V,pro!$N:$N)</f>
        <v>0</v>
      </c>
      <c r="G245" s="100"/>
      <c r="H245" s="100">
        <f>SUMIF(CBIN!$A:$A,BRAN!$V:$V,CBIN!$G:$G)</f>
        <v>0</v>
      </c>
      <c r="I245" s="100">
        <f>SUMIF(data!$D:$D,$B245&amp;$D245,data!$J:$J)</f>
        <v>100</v>
      </c>
      <c r="J245" s="100">
        <f>SUMIF(data!$D:$D,$B245&amp;$D245,data!$K:$K)</f>
        <v>2500</v>
      </c>
      <c r="K245" s="100">
        <f>SUMIF(AJOUT!$A:$A,BRAN!$V:$V,AJOUT!$L:$L)</f>
        <v>1</v>
      </c>
      <c r="L245" s="100">
        <f>SUMIF(CBOUT!$A:$A,BRAN!$V:$V,CBOUT!$G:$G)</f>
        <v>0</v>
      </c>
      <c r="M245" s="1158">
        <f t="shared" si="96"/>
        <v>563</v>
      </c>
      <c r="N245" s="100">
        <f t="shared" si="81"/>
        <v>14075</v>
      </c>
      <c r="O245" s="1159">
        <f t="shared" si="94"/>
        <v>13725</v>
      </c>
      <c r="P245" s="805">
        <f>N277-P233-P232-P216-P206</f>
        <v>89575</v>
      </c>
      <c r="Q245" s="805">
        <f>O277-Q233-Q232-Q216-Q206</f>
        <v>128480</v>
      </c>
      <c r="R245" s="804">
        <f>O245/INTGRATE!$N$293</f>
        <v>2745</v>
      </c>
      <c r="S245" s="665">
        <f t="shared" si="95"/>
        <v>5.1275045537340622</v>
      </c>
      <c r="T245" s="403"/>
      <c r="U245" s="141"/>
      <c r="V245" s="840" t="str">
        <f t="shared" si="85"/>
        <v>VT1125</v>
      </c>
      <c r="W245" s="831">
        <v>201101</v>
      </c>
      <c r="X245" s="387"/>
      <c r="Y245" s="387">
        <v>3725</v>
      </c>
      <c r="Z245" s="100">
        <v>0</v>
      </c>
      <c r="AA245" s="100">
        <v>5000</v>
      </c>
      <c r="AB245" s="100">
        <v>2500</v>
      </c>
      <c r="AC245" s="100">
        <v>2500</v>
      </c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77"/>
        <v>13725</v>
      </c>
      <c r="BD245" s="786">
        <f t="shared" si="78"/>
        <v>4</v>
      </c>
      <c r="BE245" s="786">
        <f t="shared" si="79"/>
        <v>3431.25</v>
      </c>
      <c r="BH245" s="436"/>
    </row>
    <row r="246" spans="1:60" s="38" customFormat="1" ht="15" customHeight="1">
      <c r="A246" s="68">
        <v>41</v>
      </c>
      <c r="B246" s="349" t="s">
        <v>228</v>
      </c>
      <c r="C246" s="349" t="s">
        <v>55</v>
      </c>
      <c r="D246" s="660" t="s">
        <v>58</v>
      </c>
      <c r="E246" s="1158">
        <v>0</v>
      </c>
      <c r="F246" s="100">
        <f>+J246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58">
        <f t="shared" si="96"/>
        <v>0</v>
      </c>
      <c r="N246" s="100"/>
      <c r="O246" s="1159">
        <f t="shared" si="94"/>
        <v>0</v>
      </c>
      <c r="P246" s="805"/>
      <c r="Q246" s="805"/>
      <c r="R246" s="804">
        <f>O246/INTGRATE!$N$293</f>
        <v>0</v>
      </c>
      <c r="S246" s="665">
        <f t="shared" si="95"/>
        <v>0</v>
      </c>
      <c r="T246" s="403"/>
      <c r="U246" s="141"/>
      <c r="V246" s="840" t="str">
        <f t="shared" si="85"/>
        <v>VT11silo</v>
      </c>
      <c r="W246" s="831">
        <v>201101</v>
      </c>
      <c r="X246" s="387"/>
      <c r="Y246" s="387">
        <v>0</v>
      </c>
      <c r="Z246" s="100">
        <v>0</v>
      </c>
      <c r="AA246" s="100">
        <v>0</v>
      </c>
      <c r="AB246" s="100">
        <v>0</v>
      </c>
      <c r="AC246" s="100">
        <v>0</v>
      </c>
      <c r="AD246" s="100"/>
      <c r="AE246" s="100"/>
      <c r="AF246" s="100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77"/>
        <v>0</v>
      </c>
      <c r="BD246" s="786">
        <f t="shared" si="78"/>
        <v>0</v>
      </c>
      <c r="BE246" s="786">
        <f t="shared" si="79"/>
        <v>0</v>
      </c>
      <c r="BH246" s="436"/>
    </row>
    <row r="247" spans="1:60" s="38" customFormat="1" ht="15" customHeight="1">
      <c r="A247" s="68">
        <v>42</v>
      </c>
      <c r="B247" s="349" t="s">
        <v>229</v>
      </c>
      <c r="C247" s="349" t="s">
        <v>64</v>
      </c>
      <c r="D247" s="660" t="s">
        <v>66</v>
      </c>
      <c r="E247" s="1158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58">
        <f t="shared" si="84"/>
        <v>0</v>
      </c>
      <c r="N247" s="100"/>
      <c r="O247" s="1159">
        <f t="shared" si="71"/>
        <v>0</v>
      </c>
      <c r="P247" s="804"/>
      <c r="Q247" s="804"/>
      <c r="R247" s="804">
        <f>O247/INTGRATE!$N$293</f>
        <v>0</v>
      </c>
      <c r="S247" s="665">
        <f t="shared" si="82"/>
        <v>0</v>
      </c>
      <c r="T247" s="403"/>
      <c r="U247" s="141"/>
      <c r="V247" s="840" t="str">
        <f t="shared" si="85"/>
        <v>VT12SILO</v>
      </c>
      <c r="W247" s="831">
        <v>203101</v>
      </c>
      <c r="X247" s="387"/>
      <c r="Y247" s="387">
        <v>0</v>
      </c>
      <c r="Z247" s="100">
        <v>0</v>
      </c>
      <c r="AA247" s="100">
        <v>0</v>
      </c>
      <c r="AB247" s="100">
        <v>0</v>
      </c>
      <c r="AC247" s="100">
        <v>0</v>
      </c>
      <c r="AD247" s="100"/>
      <c r="AE247" s="100"/>
      <c r="AF247" s="100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77"/>
        <v>0</v>
      </c>
      <c r="BD247" s="786">
        <f t="shared" si="78"/>
        <v>0</v>
      </c>
      <c r="BE247" s="786">
        <f t="shared" si="79"/>
        <v>0</v>
      </c>
      <c r="BH247" s="436"/>
    </row>
    <row r="248" spans="1:60" s="38" customFormat="1" ht="15" customHeight="1">
      <c r="A248" s="68">
        <v>43</v>
      </c>
      <c r="B248" s="349" t="s">
        <v>230</v>
      </c>
      <c r="C248" s="349" t="s">
        <v>64</v>
      </c>
      <c r="D248" s="660">
        <v>25</v>
      </c>
      <c r="E248" s="1158">
        <v>0</v>
      </c>
      <c r="F248" s="100">
        <f>SUMIF(pro!$A:$A,$V:$V,pro!$N:$N)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58">
        <f t="shared" ref="M248" si="97">E248+F248+H248-I248-L248+G248-K248</f>
        <v>0</v>
      </c>
      <c r="N248" s="100">
        <f t="shared" si="81"/>
        <v>0</v>
      </c>
      <c r="O248" s="1159">
        <f t="shared" ref="O248" si="98">SUM(X248:BB248)</f>
        <v>0</v>
      </c>
      <c r="P248" s="804"/>
      <c r="Q248" s="804"/>
      <c r="R248" s="804">
        <f>O248/INTGRATE!$N$293</f>
        <v>0</v>
      </c>
      <c r="S248" s="665">
        <f t="shared" ref="S248" si="99">IF(R248=0,0,N248/R248)</f>
        <v>0</v>
      </c>
      <c r="T248" s="403"/>
      <c r="U248" s="141"/>
      <c r="V248" s="840" t="str">
        <f t="shared" si="85"/>
        <v>VT12P25</v>
      </c>
      <c r="W248" s="831">
        <v>20310890</v>
      </c>
      <c r="X248" s="387"/>
      <c r="Y248" s="387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/>
      <c r="AE248" s="100"/>
      <c r="AF248" s="100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77"/>
        <v>0</v>
      </c>
      <c r="BD248" s="786">
        <f t="shared" si="78"/>
        <v>0</v>
      </c>
      <c r="BE248" s="786">
        <f t="shared" si="79"/>
        <v>0</v>
      </c>
      <c r="BH248" s="436"/>
    </row>
    <row r="249" spans="1:60" s="38" customFormat="1" ht="15" customHeight="1">
      <c r="A249" s="68">
        <v>44</v>
      </c>
      <c r="B249" s="349" t="s">
        <v>229</v>
      </c>
      <c r="C249" s="349" t="s">
        <v>64</v>
      </c>
      <c r="D249" s="660">
        <v>25</v>
      </c>
      <c r="E249" s="1158">
        <v>1346</v>
      </c>
      <c r="F249" s="100">
        <f>SUMIF(pro!$A:$A,$V:$V,pro!$N:$N)</f>
        <v>0</v>
      </c>
      <c r="G249" s="100"/>
      <c r="H249" s="100">
        <f>SUMIF(CBIN!$A:$A,BRAN!$V:$V,CBIN!$G:$G)</f>
        <v>0</v>
      </c>
      <c r="I249" s="100">
        <f>SUMIF(data!$D:$D,$B249&amp;$D249,data!$J:$J)</f>
        <v>469</v>
      </c>
      <c r="J249" s="100">
        <f>SUMIF(data!$D:$D,$B249&amp;$D249,data!$K:$K)</f>
        <v>11725</v>
      </c>
      <c r="K249" s="100">
        <f>SUMIF(AJOUT!$A:$A,BRAN!$V:$V,AJOUT!$L:$L)</f>
        <v>0</v>
      </c>
      <c r="L249" s="100">
        <f>SUMIF(CBOUT!$A:$A,BRAN!$V:$V,CBOUT!$G:$G)</f>
        <v>0</v>
      </c>
      <c r="M249" s="1158">
        <f t="shared" si="84"/>
        <v>877</v>
      </c>
      <c r="N249" s="100">
        <f t="shared" si="81"/>
        <v>21925</v>
      </c>
      <c r="O249" s="1159">
        <f t="shared" si="71"/>
        <v>69975</v>
      </c>
      <c r="P249" s="804"/>
      <c r="Q249" s="804"/>
      <c r="R249" s="804">
        <f>O249/INTGRATE!$N$293</f>
        <v>13995</v>
      </c>
      <c r="S249" s="665">
        <f t="shared" si="82"/>
        <v>1.5666309396212934</v>
      </c>
      <c r="T249" s="403"/>
      <c r="U249" s="141"/>
      <c r="V249" s="840" t="str">
        <f>B249&amp;D249</f>
        <v>VT1225</v>
      </c>
      <c r="W249" s="831">
        <v>203101</v>
      </c>
      <c r="X249" s="387"/>
      <c r="Y249" s="387">
        <v>12250</v>
      </c>
      <c r="Z249" s="100">
        <v>21750</v>
      </c>
      <c r="AA249" s="100">
        <v>12750</v>
      </c>
      <c r="AB249" s="100">
        <v>11500</v>
      </c>
      <c r="AC249" s="100">
        <v>11725</v>
      </c>
      <c r="AD249" s="100"/>
      <c r="AE249" s="100"/>
      <c r="AF249" s="100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77"/>
        <v>69975</v>
      </c>
      <c r="BD249" s="786">
        <f t="shared" si="78"/>
        <v>5</v>
      </c>
      <c r="BE249" s="786">
        <f t="shared" si="79"/>
        <v>13995</v>
      </c>
      <c r="BH249" s="436"/>
    </row>
    <row r="250" spans="1:60" s="38" customFormat="1" ht="15" customHeight="1">
      <c r="A250" s="68">
        <v>45</v>
      </c>
      <c r="B250" s="180" t="s">
        <v>231</v>
      </c>
      <c r="C250" s="538" t="s">
        <v>61</v>
      </c>
      <c r="D250" s="164">
        <v>25</v>
      </c>
      <c r="E250" s="1158">
        <v>145</v>
      </c>
      <c r="F250" s="100">
        <f>SUMIF(pro!$A:$A,$V:$V,pro!$N:$N)</f>
        <v>0</v>
      </c>
      <c r="G250" s="100"/>
      <c r="H250" s="100">
        <f>SUMIF(CBIN!$A:$A,BRAN!$V:$V,CBIN!$G:$G)</f>
        <v>0</v>
      </c>
      <c r="I250" s="100">
        <f>SUMIF(data!$D:$D,$B250&amp;$D250,data!$J:$J)</f>
        <v>100</v>
      </c>
      <c r="J250" s="100">
        <f>SUMIF(data!$D:$D,$B250&amp;$D250,data!$K:$K)</f>
        <v>2500</v>
      </c>
      <c r="K250" s="100">
        <f>SUMIF(AJOUT!$A:$A,BRAN!$V:$V,AJOUT!$L:$L)</f>
        <v>0</v>
      </c>
      <c r="L250" s="100">
        <f>SUMIF(CBOUT!$A:$A,BRAN!$V:$V,CBOUT!$G:$G)</f>
        <v>0</v>
      </c>
      <c r="M250" s="1158">
        <f t="shared" si="84"/>
        <v>45</v>
      </c>
      <c r="N250" s="100">
        <f t="shared" si="81"/>
        <v>1125</v>
      </c>
      <c r="O250" s="1159">
        <f t="shared" si="71"/>
        <v>2500</v>
      </c>
      <c r="P250" s="804"/>
      <c r="Q250" s="804"/>
      <c r="R250" s="804">
        <f>O250/INTGRATE!$N$293</f>
        <v>500</v>
      </c>
      <c r="S250" s="665">
        <f t="shared" si="82"/>
        <v>2.25</v>
      </c>
      <c r="T250" s="403"/>
      <c r="U250" s="141"/>
      <c r="V250" s="840" t="str">
        <f t="shared" si="85"/>
        <v>HT1125</v>
      </c>
      <c r="W250" s="831">
        <v>314001</v>
      </c>
      <c r="X250" s="387"/>
      <c r="Y250" s="387">
        <v>0</v>
      </c>
      <c r="Z250" s="100">
        <v>0</v>
      </c>
      <c r="AA250" s="100">
        <v>0</v>
      </c>
      <c r="AB250" s="100">
        <v>0</v>
      </c>
      <c r="AC250" s="100">
        <v>2500</v>
      </c>
      <c r="AD250" s="100"/>
      <c r="AE250" s="100"/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77"/>
        <v>2500</v>
      </c>
      <c r="BD250" s="786">
        <f t="shared" si="78"/>
        <v>1</v>
      </c>
      <c r="BE250" s="786">
        <f t="shared" si="79"/>
        <v>2500</v>
      </c>
      <c r="BH250" s="436"/>
    </row>
    <row r="251" spans="1:60" s="38" customFormat="1" ht="15" customHeight="1">
      <c r="A251" s="68">
        <v>46</v>
      </c>
      <c r="B251" s="180" t="s">
        <v>231</v>
      </c>
      <c r="C251" s="538" t="s">
        <v>61</v>
      </c>
      <c r="D251" s="615" t="s">
        <v>66</v>
      </c>
      <c r="E251" s="1158">
        <v>0</v>
      </c>
      <c r="F251" s="100">
        <f>+J251</f>
        <v>7430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7430</v>
      </c>
      <c r="K251" s="100">
        <f>SUMIF(AJOUT!$A:$A,BRAN!$V:$V,AJOUT!$L:$L)</f>
        <v>0</v>
      </c>
      <c r="L251" s="100">
        <f>SUMIF(CBOUT!$A:$A,BRAN!$V:$V,CBOUT!$G:$G)</f>
        <v>0</v>
      </c>
      <c r="M251" s="1158">
        <v>0</v>
      </c>
      <c r="N251" s="100"/>
      <c r="O251" s="1159">
        <f t="shared" si="71"/>
        <v>7430</v>
      </c>
      <c r="P251" s="804"/>
      <c r="Q251" s="804"/>
      <c r="R251" s="804">
        <f>O251/INTGRATE!$N$293</f>
        <v>1486</v>
      </c>
      <c r="S251" s="665">
        <f t="shared" si="82"/>
        <v>0</v>
      </c>
      <c r="T251" s="403"/>
      <c r="U251" s="141"/>
      <c r="V251" s="840" t="str">
        <f t="shared" si="85"/>
        <v>HT11SILO</v>
      </c>
      <c r="W251" s="831">
        <v>314001</v>
      </c>
      <c r="X251" s="387"/>
      <c r="Y251" s="387">
        <v>0</v>
      </c>
      <c r="Z251" s="100">
        <v>0</v>
      </c>
      <c r="AA251" s="100">
        <v>0</v>
      </c>
      <c r="AB251" s="100">
        <v>0</v>
      </c>
      <c r="AC251" s="100">
        <v>7430</v>
      </c>
      <c r="AD251" s="100"/>
      <c r="AE251" s="100"/>
      <c r="AF251" s="100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77"/>
        <v>7430</v>
      </c>
      <c r="BD251" s="786">
        <f t="shared" si="78"/>
        <v>1</v>
      </c>
      <c r="BE251" s="786">
        <f t="shared" si="79"/>
        <v>7430</v>
      </c>
      <c r="BF251" s="85"/>
      <c r="BH251" s="436"/>
    </row>
    <row r="252" spans="1:60" s="38" customFormat="1" ht="15" customHeight="1">
      <c r="A252" s="68">
        <v>47</v>
      </c>
      <c r="B252" s="180" t="s">
        <v>232</v>
      </c>
      <c r="C252" s="538" t="s">
        <v>61</v>
      </c>
      <c r="D252" s="664">
        <v>25</v>
      </c>
      <c r="E252" s="1158">
        <v>0</v>
      </c>
      <c r="F252" s="100">
        <f>SUMIF(pro!$A:$A,$V:$V,pro!$N:$N)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58">
        <f>E252+F252+H252-I252-L252+G252-K252</f>
        <v>0</v>
      </c>
      <c r="N252" s="100">
        <f t="shared" si="81"/>
        <v>0</v>
      </c>
      <c r="O252" s="1159">
        <f t="shared" si="71"/>
        <v>0</v>
      </c>
      <c r="P252" s="804"/>
      <c r="Q252" s="804"/>
      <c r="R252" s="804">
        <f>O252/INTGRATE!$N$293</f>
        <v>0</v>
      </c>
      <c r="S252" s="665">
        <f t="shared" si="82"/>
        <v>0</v>
      </c>
      <c r="T252" s="403"/>
      <c r="U252" s="141"/>
      <c r="V252" s="840" t="str">
        <f t="shared" si="85"/>
        <v>HT11X25</v>
      </c>
      <c r="W252" s="831">
        <v>314008</v>
      </c>
      <c r="X252" s="387"/>
      <c r="Y252" s="387">
        <v>0</v>
      </c>
      <c r="Z252" s="100">
        <v>0</v>
      </c>
      <c r="AA252" s="100">
        <v>0</v>
      </c>
      <c r="AB252" s="100">
        <v>0</v>
      </c>
      <c r="AC252" s="100">
        <v>0</v>
      </c>
      <c r="AD252" s="100"/>
      <c r="AE252" s="100"/>
      <c r="AF252" s="100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77"/>
        <v>0</v>
      </c>
      <c r="BD252" s="786">
        <f t="shared" si="78"/>
        <v>0</v>
      </c>
      <c r="BE252" s="786">
        <f t="shared" si="79"/>
        <v>0</v>
      </c>
      <c r="BF252" s="85"/>
      <c r="BH252" s="436"/>
    </row>
    <row r="253" spans="1:60" s="38" customFormat="1" ht="15" customHeight="1">
      <c r="A253" s="68">
        <v>48</v>
      </c>
      <c r="B253" s="180" t="s">
        <v>232</v>
      </c>
      <c r="C253" s="538" t="s">
        <v>61</v>
      </c>
      <c r="D253" s="615" t="s">
        <v>66</v>
      </c>
      <c r="E253" s="1158"/>
      <c r="F253" s="100">
        <f>+J253</f>
        <v>0</v>
      </c>
      <c r="G253" s="100"/>
      <c r="H253" s="100"/>
      <c r="I253" s="100">
        <f>SUMIF(data!$D:$D,$B253&amp;$D253,data!$J:$J)</f>
        <v>0</v>
      </c>
      <c r="J253" s="100">
        <f>SUMIF(data!$D:$D,$B253&amp;$D253,data!$K:$K)</f>
        <v>0</v>
      </c>
      <c r="K253" s="100"/>
      <c r="L253" s="100"/>
      <c r="M253" s="1158"/>
      <c r="N253" s="100"/>
      <c r="O253" s="1159">
        <f t="shared" si="71"/>
        <v>0</v>
      </c>
      <c r="P253" s="804"/>
      <c r="Q253" s="804"/>
      <c r="R253" s="804">
        <f>O253/INTGRATE!$N$293</f>
        <v>0</v>
      </c>
      <c r="S253" s="665">
        <f t="shared" si="82"/>
        <v>0</v>
      </c>
      <c r="T253" s="403"/>
      <c r="U253" s="141"/>
      <c r="V253" s="840" t="str">
        <f t="shared" si="85"/>
        <v>HT11XSILO</v>
      </c>
      <c r="W253" s="831">
        <v>314008</v>
      </c>
      <c r="X253" s="387"/>
      <c r="Y253" s="387">
        <v>0</v>
      </c>
      <c r="Z253" s="100">
        <v>0</v>
      </c>
      <c r="AA253" s="100">
        <v>0</v>
      </c>
      <c r="AB253" s="100">
        <v>0</v>
      </c>
      <c r="AC253" s="100">
        <v>0</v>
      </c>
      <c r="AD253" s="100"/>
      <c r="AE253" s="100"/>
      <c r="AF253" s="100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77"/>
        <v>0</v>
      </c>
      <c r="BD253" s="786">
        <f t="shared" si="78"/>
        <v>0</v>
      </c>
      <c r="BE253" s="786">
        <f t="shared" si="79"/>
        <v>0</v>
      </c>
      <c r="BF253" s="85"/>
      <c r="BH253" s="436"/>
    </row>
    <row r="254" spans="1:60" s="38" customFormat="1" ht="15" customHeight="1">
      <c r="A254" s="68">
        <v>49</v>
      </c>
      <c r="B254" s="180" t="s">
        <v>233</v>
      </c>
      <c r="C254" s="538" t="s">
        <v>61</v>
      </c>
      <c r="D254" s="164">
        <v>25</v>
      </c>
      <c r="E254" s="1158">
        <v>316</v>
      </c>
      <c r="F254" s="100">
        <f>SUMIF(pro!$A:$A,$V:$V,pro!$N:$N)</f>
        <v>0</v>
      </c>
      <c r="G254" s="100"/>
      <c r="H254" s="100">
        <f>SUMIF(CBIN!$A:$A,BRAN!$V:$V,CBIN!$G:$G)</f>
        <v>0</v>
      </c>
      <c r="I254" s="100">
        <f>SUMIF(data!$D:$D,$B254&amp;$D254,data!$J:$J)</f>
        <v>315</v>
      </c>
      <c r="J254" s="100">
        <f>SUMIF(data!$D:$D,$B254&amp;$D254,data!$K:$K)</f>
        <v>7875</v>
      </c>
      <c r="K254" s="100">
        <f>SUMIF(AJOUT!$A:$A,BRAN!$V:$V,AJOUT!$L:$L)</f>
        <v>0</v>
      </c>
      <c r="L254" s="100">
        <f>SUMIF(CBOUT!$A:$A,BRAN!$V:$V,CBOUT!$G:$G)</f>
        <v>0</v>
      </c>
      <c r="M254" s="1158">
        <f>E254+F254+H254-I254-L254+G254-K254</f>
        <v>1</v>
      </c>
      <c r="N254" s="100">
        <f t="shared" si="81"/>
        <v>25</v>
      </c>
      <c r="O254" s="1159">
        <f>SUM(X254:BB254)</f>
        <v>7875</v>
      </c>
      <c r="P254" s="804"/>
      <c r="Q254" s="804"/>
      <c r="R254" s="804">
        <f>O254/INTGRATE!$N$293</f>
        <v>1575</v>
      </c>
      <c r="S254" s="665">
        <f t="shared" si="82"/>
        <v>1.5873015873015872E-2</v>
      </c>
      <c r="T254" s="403"/>
      <c r="U254" s="141"/>
      <c r="V254" s="840" t="str">
        <f t="shared" si="85"/>
        <v>HT11GP25</v>
      </c>
      <c r="W254" s="823">
        <v>314011</v>
      </c>
      <c r="X254" s="387"/>
      <c r="Y254" s="387">
        <v>0</v>
      </c>
      <c r="Z254" s="100">
        <v>0</v>
      </c>
      <c r="AA254" s="100">
        <v>0</v>
      </c>
      <c r="AB254" s="100">
        <v>0</v>
      </c>
      <c r="AC254" s="100">
        <v>7875</v>
      </c>
      <c r="AD254" s="100"/>
      <c r="AE254" s="100"/>
      <c r="AF254" s="100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77"/>
        <v>7875</v>
      </c>
      <c r="BD254" s="786">
        <f t="shared" si="78"/>
        <v>1</v>
      </c>
      <c r="BE254" s="786">
        <f t="shared" si="79"/>
        <v>7875</v>
      </c>
      <c r="BH254" s="436"/>
    </row>
    <row r="255" spans="1:60" s="38" customFormat="1" ht="15" customHeight="1">
      <c r="A255" s="68">
        <v>50</v>
      </c>
      <c r="B255" s="107" t="s">
        <v>234</v>
      </c>
      <c r="C255" s="107" t="s">
        <v>64</v>
      </c>
      <c r="D255" s="91">
        <v>25</v>
      </c>
      <c r="E255" s="1158">
        <v>399</v>
      </c>
      <c r="F255" s="100">
        <f>SUMIF(pro!$A:$A,$V:$V,pro!$N:$N)</f>
        <v>0</v>
      </c>
      <c r="G255" s="100"/>
      <c r="H255" s="100">
        <f>SUMIF(CBIN!$A:$A,BRAN!$V:$V,CBIN!$G:$G)</f>
        <v>1</v>
      </c>
      <c r="I255" s="100">
        <f>SUMIF(data!$D:$D,$B255&amp;$D255,data!$J:$J)</f>
        <v>400</v>
      </c>
      <c r="J255" s="100">
        <f>SUMIF(data!$D:$D,$B255&amp;$D255,data!$K:$K)</f>
        <v>10000</v>
      </c>
      <c r="K255" s="100">
        <f>SUMIF(AJOUT!$A:$A,BRAN!$V:$V,AJOUT!$L:$L)</f>
        <v>0</v>
      </c>
      <c r="L255" s="100">
        <f>SUMIF(CBOUT!$A:$A,BRAN!$V:$V,CBOUT!$G:$G)</f>
        <v>0</v>
      </c>
      <c r="M255" s="1158">
        <f>E255+F255+H255-I255-L255+G255-K255</f>
        <v>0</v>
      </c>
      <c r="N255" s="100">
        <f t="shared" si="81"/>
        <v>0</v>
      </c>
      <c r="O255" s="1159">
        <f t="shared" si="71"/>
        <v>10000</v>
      </c>
      <c r="P255" s="804"/>
      <c r="Q255" s="804"/>
      <c r="R255" s="804">
        <f>O255/INTGRATE!$N$293</f>
        <v>2000</v>
      </c>
      <c r="S255" s="665">
        <f t="shared" si="82"/>
        <v>0</v>
      </c>
      <c r="T255" s="403"/>
      <c r="U255" s="141"/>
      <c r="V255" s="840" t="str">
        <f t="shared" si="85"/>
        <v>HT1225</v>
      </c>
      <c r="W255" s="831">
        <v>321001</v>
      </c>
      <c r="X255" s="387"/>
      <c r="Y255" s="387">
        <v>0</v>
      </c>
      <c r="Z255" s="100">
        <v>0</v>
      </c>
      <c r="AA255" s="100">
        <v>0</v>
      </c>
      <c r="AB255" s="100">
        <v>0</v>
      </c>
      <c r="AC255" s="100">
        <v>10000</v>
      </c>
      <c r="AD255" s="100"/>
      <c r="AE255" s="100"/>
      <c r="AF255" s="100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77"/>
        <v>10000</v>
      </c>
      <c r="BD255" s="786">
        <f t="shared" si="78"/>
        <v>1</v>
      </c>
      <c r="BE255" s="786">
        <f t="shared" si="79"/>
        <v>10000</v>
      </c>
      <c r="BH255" s="436"/>
    </row>
    <row r="256" spans="1:60" s="38" customFormat="1" ht="15" customHeight="1">
      <c r="A256" s="68">
        <v>51</v>
      </c>
      <c r="B256" s="107" t="s">
        <v>234</v>
      </c>
      <c r="C256" s="107" t="s">
        <v>64</v>
      </c>
      <c r="D256" s="425" t="s">
        <v>66</v>
      </c>
      <c r="E256" s="1158">
        <v>0</v>
      </c>
      <c r="F256" s="100">
        <f>+J256</f>
        <v>0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58">
        <v>0</v>
      </c>
      <c r="N256" s="100"/>
      <c r="O256" s="1159">
        <f t="shared" si="71"/>
        <v>0</v>
      </c>
      <c r="P256" s="804"/>
      <c r="Q256" s="804"/>
      <c r="R256" s="804">
        <f>O256/INTGRATE!$N$293</f>
        <v>0</v>
      </c>
      <c r="S256" s="665">
        <f t="shared" si="82"/>
        <v>0</v>
      </c>
      <c r="T256" s="403"/>
      <c r="U256" s="141"/>
      <c r="V256" s="840" t="str">
        <f t="shared" si="85"/>
        <v>HT12SILO</v>
      </c>
      <c r="W256" s="831">
        <v>321001</v>
      </c>
      <c r="X256" s="387"/>
      <c r="Y256" s="387">
        <v>0</v>
      </c>
      <c r="Z256" s="100">
        <v>0</v>
      </c>
      <c r="AA256" s="100">
        <v>0</v>
      </c>
      <c r="AB256" s="100">
        <v>0</v>
      </c>
      <c r="AC256" s="100">
        <v>0</v>
      </c>
      <c r="AD256" s="100"/>
      <c r="AE256" s="100"/>
      <c r="AF256" s="100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77"/>
        <v>0</v>
      </c>
      <c r="BD256" s="786">
        <f t="shared" si="78"/>
        <v>0</v>
      </c>
      <c r="BE256" s="786">
        <f t="shared" si="79"/>
        <v>0</v>
      </c>
      <c r="BH256" s="436"/>
    </row>
    <row r="257" spans="1:60" s="38" customFormat="1" ht="15" customHeight="1">
      <c r="A257" s="68">
        <v>52</v>
      </c>
      <c r="B257" s="107" t="s">
        <v>235</v>
      </c>
      <c r="C257" s="107" t="s">
        <v>64</v>
      </c>
      <c r="D257" s="91">
        <v>25</v>
      </c>
      <c r="E257" s="1158">
        <v>0</v>
      </c>
      <c r="F257" s="100">
        <f>SUMIF(pro!$A:$A,$V:$V,pro!$N:$N)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58">
        <f>E257+F257+H257-I257-L257+G257-K257</f>
        <v>0</v>
      </c>
      <c r="N257" s="100">
        <f t="shared" si="81"/>
        <v>0</v>
      </c>
      <c r="O257" s="1159">
        <f t="shared" si="71"/>
        <v>0</v>
      </c>
      <c r="P257" s="804"/>
      <c r="Q257" s="804"/>
      <c r="R257" s="804">
        <f>O257/INTGRATE!$N$293</f>
        <v>0</v>
      </c>
      <c r="S257" s="665">
        <f t="shared" si="82"/>
        <v>0</v>
      </c>
      <c r="T257" s="403"/>
      <c r="U257" s="141"/>
      <c r="V257" s="840" t="str">
        <f t="shared" si="85"/>
        <v>HT12M25</v>
      </c>
      <c r="W257" s="831">
        <v>321012</v>
      </c>
      <c r="X257" s="387"/>
      <c r="Y257" s="387">
        <v>0</v>
      </c>
      <c r="Z257" s="100">
        <v>0</v>
      </c>
      <c r="AA257" s="100">
        <v>0</v>
      </c>
      <c r="AB257" s="100">
        <v>0</v>
      </c>
      <c r="AC257" s="100">
        <v>0</v>
      </c>
      <c r="AD257" s="100"/>
      <c r="AE257" s="100"/>
      <c r="AF257" s="100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77"/>
        <v>0</v>
      </c>
      <c r="BD257" s="786">
        <f t="shared" si="78"/>
        <v>0</v>
      </c>
      <c r="BE257" s="786">
        <f t="shared" si="79"/>
        <v>0</v>
      </c>
      <c r="BH257" s="436"/>
    </row>
    <row r="258" spans="1:60" s="38" customFormat="1" ht="15" customHeight="1">
      <c r="A258" s="68">
        <v>53</v>
      </c>
      <c r="B258" s="107" t="s">
        <v>236</v>
      </c>
      <c r="C258" s="1175" t="s">
        <v>61</v>
      </c>
      <c r="D258" s="91">
        <v>25</v>
      </c>
      <c r="E258" s="1158">
        <v>683</v>
      </c>
      <c r="F258" s="100">
        <f>SUMIF(pro!$A:$A,$V:$V,pro!$N:$N)</f>
        <v>357</v>
      </c>
      <c r="G258" s="100"/>
      <c r="H258" s="100">
        <f>SUMIF(CBIN!$A:$A,BRAN!$V:$V,CBIN!$G:$G)</f>
        <v>0</v>
      </c>
      <c r="I258" s="100">
        <f>SUMIF(data!$D:$D,$B258&amp;$D258,data!$J:$J)</f>
        <v>400</v>
      </c>
      <c r="J258" s="100">
        <f>SUMIF(data!$D:$D,$B258&amp;$D258,data!$K:$K)</f>
        <v>10000</v>
      </c>
      <c r="K258" s="100">
        <f>SUMIF(AJOUT!$A:$A,BRAN!$V:$V,AJOUT!$L:$L)</f>
        <v>0</v>
      </c>
      <c r="L258" s="100">
        <f>SUMIF(CBOUT!$A:$A,BRAN!$V:$V,CBOUT!$G:$G)</f>
        <v>0</v>
      </c>
      <c r="M258" s="1158">
        <f>E258+F258+H258-I258-L258+G258-K258</f>
        <v>640</v>
      </c>
      <c r="N258" s="100">
        <f t="shared" si="81"/>
        <v>16000</v>
      </c>
      <c r="O258" s="1159">
        <f t="shared" si="71"/>
        <v>24250</v>
      </c>
      <c r="P258" s="804"/>
      <c r="Q258" s="804"/>
      <c r="R258" s="804">
        <f>O258/INTGRATE!$N$293</f>
        <v>4850</v>
      </c>
      <c r="S258" s="665">
        <f t="shared" si="82"/>
        <v>3.2989690721649483</v>
      </c>
      <c r="T258" s="403"/>
      <c r="U258" s="141"/>
      <c r="V258" s="836" t="str">
        <f t="shared" si="85"/>
        <v>HT12S25</v>
      </c>
      <c r="W258" s="823">
        <v>320001</v>
      </c>
      <c r="X258" s="387"/>
      <c r="Y258" s="387">
        <v>0</v>
      </c>
      <c r="Z258" s="100">
        <v>14250</v>
      </c>
      <c r="AA258" s="100">
        <v>0</v>
      </c>
      <c r="AB258" s="100">
        <v>0</v>
      </c>
      <c r="AC258" s="100">
        <v>10000</v>
      </c>
      <c r="AD258" s="100"/>
      <c r="AE258" s="100"/>
      <c r="AF258" s="100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77"/>
        <v>24250</v>
      </c>
      <c r="BD258" s="786">
        <f t="shared" si="78"/>
        <v>2</v>
      </c>
      <c r="BE258" s="786">
        <f t="shared" si="79"/>
        <v>12125</v>
      </c>
      <c r="BH258" s="436"/>
    </row>
    <row r="259" spans="1:60" s="38" customFormat="1" ht="15" customHeight="1">
      <c r="A259" s="68">
        <v>54</v>
      </c>
      <c r="B259" s="107" t="s">
        <v>236</v>
      </c>
      <c r="C259" s="1175" t="s">
        <v>61</v>
      </c>
      <c r="D259" s="425" t="s">
        <v>66</v>
      </c>
      <c r="E259" s="1158">
        <v>0</v>
      </c>
      <c r="F259" s="100">
        <f>+J259</f>
        <v>5450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5450</v>
      </c>
      <c r="K259" s="100">
        <f>SUMIF(AJOUT!$A:$A,BRAN!$V:$V,AJOUT!$L:$L)</f>
        <v>0</v>
      </c>
      <c r="L259" s="100">
        <f>SUMIF(CBOUT!$A:$A,BRAN!$V:$V,CBOUT!$G:$G)</f>
        <v>0</v>
      </c>
      <c r="M259" s="1158">
        <v>0</v>
      </c>
      <c r="N259" s="100"/>
      <c r="O259" s="1159">
        <f t="shared" si="71"/>
        <v>26630</v>
      </c>
      <c r="P259" s="804"/>
      <c r="Q259" s="804"/>
      <c r="R259" s="804">
        <f>O259/INTGRATE!$N$293</f>
        <v>5326</v>
      </c>
      <c r="S259" s="665">
        <f t="shared" si="82"/>
        <v>0</v>
      </c>
      <c r="T259" s="403"/>
      <c r="U259" s="141"/>
      <c r="V259" s="836" t="str">
        <f t="shared" si="85"/>
        <v>HT12SSILO</v>
      </c>
      <c r="W259" s="823">
        <v>320001</v>
      </c>
      <c r="X259" s="387"/>
      <c r="Y259" s="387">
        <v>13220</v>
      </c>
      <c r="Z259" s="100">
        <v>0</v>
      </c>
      <c r="AA259" s="100">
        <v>0</v>
      </c>
      <c r="AB259" s="100">
        <v>7960</v>
      </c>
      <c r="AC259" s="100">
        <v>5450</v>
      </c>
      <c r="AD259" s="100"/>
      <c r="AE259" s="100"/>
      <c r="AF259" s="100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77"/>
        <v>26630</v>
      </c>
      <c r="BD259" s="786">
        <f t="shared" si="78"/>
        <v>3</v>
      </c>
      <c r="BE259" s="786">
        <f t="shared" si="79"/>
        <v>8876.6666666666661</v>
      </c>
      <c r="BH259" s="436"/>
    </row>
    <row r="260" spans="1:60" s="38" customFormat="1" ht="15" customHeight="1">
      <c r="A260" s="68">
        <v>55</v>
      </c>
      <c r="B260" s="170" t="s">
        <v>237</v>
      </c>
      <c r="C260" s="538" t="s">
        <v>61</v>
      </c>
      <c r="D260" s="164">
        <v>25</v>
      </c>
      <c r="E260" s="1158">
        <v>0</v>
      </c>
      <c r="F260" s="100">
        <f>SUMIF(pro!$A:$A,$V:$V,pro!$N:$N)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58">
        <f>E260+F260+H260-I260-L260+G260-K260</f>
        <v>0</v>
      </c>
      <c r="N260" s="100">
        <f t="shared" si="81"/>
        <v>0</v>
      </c>
      <c r="O260" s="1159">
        <f t="shared" si="71"/>
        <v>0</v>
      </c>
      <c r="P260" s="804"/>
      <c r="Q260" s="804"/>
      <c r="R260" s="804">
        <f>O260/INTGRATE!$N$293</f>
        <v>0</v>
      </c>
      <c r="S260" s="665">
        <f t="shared" si="82"/>
        <v>0</v>
      </c>
      <c r="T260" s="403"/>
      <c r="U260" s="141"/>
      <c r="V260" s="836" t="str">
        <f t="shared" si="85"/>
        <v>HT12SX25</v>
      </c>
      <c r="W260" s="823">
        <v>320008</v>
      </c>
      <c r="X260" s="387"/>
      <c r="Y260" s="387">
        <v>0</v>
      </c>
      <c r="Z260" s="100">
        <v>0</v>
      </c>
      <c r="AA260" s="100">
        <v>0</v>
      </c>
      <c r="AB260" s="100">
        <v>0</v>
      </c>
      <c r="AC260" s="100">
        <v>0</v>
      </c>
      <c r="AD260" s="100"/>
      <c r="AE260" s="100"/>
      <c r="AF260" s="100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77"/>
        <v>0</v>
      </c>
      <c r="BD260" s="786">
        <f t="shared" si="78"/>
        <v>0</v>
      </c>
      <c r="BE260" s="786">
        <f t="shared" si="79"/>
        <v>0</v>
      </c>
      <c r="BH260" s="436"/>
    </row>
    <row r="261" spans="1:60" s="38" customFormat="1" ht="15" customHeight="1">
      <c r="A261" s="68">
        <v>56</v>
      </c>
      <c r="B261" s="170" t="s">
        <v>237</v>
      </c>
      <c r="C261" s="538" t="s">
        <v>61</v>
      </c>
      <c r="D261" s="615" t="s">
        <v>66</v>
      </c>
      <c r="E261" s="1158">
        <v>0</v>
      </c>
      <c r="F261" s="100">
        <f>+J261</f>
        <v>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0</v>
      </c>
      <c r="K261" s="100">
        <f>SUMIF(AJOUT!$A:$A,BRAN!$V:$V,AJOUT!$L:$L)</f>
        <v>0</v>
      </c>
      <c r="L261" s="100">
        <f>SUMIF(CBOUT!$A:$A,BRAN!$V:$V,CBOUT!$G:$G)</f>
        <v>0</v>
      </c>
      <c r="M261" s="1158">
        <v>0</v>
      </c>
      <c r="N261" s="100"/>
      <c r="O261" s="1159">
        <f t="shared" si="71"/>
        <v>15290</v>
      </c>
      <c r="P261" s="804"/>
      <c r="Q261" s="804"/>
      <c r="R261" s="804">
        <f>O261/INTGRATE!$N$293</f>
        <v>3058</v>
      </c>
      <c r="S261" s="665">
        <f t="shared" si="82"/>
        <v>0</v>
      </c>
      <c r="T261" s="403"/>
      <c r="U261" s="141"/>
      <c r="V261" s="836" t="str">
        <f t="shared" si="85"/>
        <v>HT12SXSILO</v>
      </c>
      <c r="W261" s="823">
        <v>320008</v>
      </c>
      <c r="X261" s="387"/>
      <c r="Y261" s="387">
        <v>0</v>
      </c>
      <c r="Z261" s="100">
        <v>0</v>
      </c>
      <c r="AA261" s="100">
        <v>0</v>
      </c>
      <c r="AB261" s="100">
        <v>15290</v>
      </c>
      <c r="AC261" s="100">
        <v>0</v>
      </c>
      <c r="AD261" s="100"/>
      <c r="AE261" s="100"/>
      <c r="AF261" s="100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77"/>
        <v>15290</v>
      </c>
      <c r="BD261" s="786">
        <f t="shared" si="78"/>
        <v>1</v>
      </c>
      <c r="BE261" s="786">
        <f t="shared" si="79"/>
        <v>15290</v>
      </c>
      <c r="BH261" s="436"/>
    </row>
    <row r="262" spans="1:60" s="38" customFormat="1" ht="15" customHeight="1">
      <c r="A262" s="68">
        <v>57</v>
      </c>
      <c r="B262" s="107" t="s">
        <v>238</v>
      </c>
      <c r="C262" s="107" t="s">
        <v>64</v>
      </c>
      <c r="D262" s="91">
        <v>25</v>
      </c>
      <c r="E262" s="1158">
        <v>0</v>
      </c>
      <c r="F262" s="100">
        <f>SUMIF(pro!$A:$A,$V:$V,pro!$N:$N)</f>
        <v>0</v>
      </c>
      <c r="G262" s="100"/>
      <c r="H262" s="100">
        <f>SUMIF(CBIN!$A:$A,BRAN!$V:$V,CBIN!$G:$G)</f>
        <v>0</v>
      </c>
      <c r="I262" s="100">
        <f>SUMIF(data!$D:$D,$B262&amp;$D262,data!$J:$J)</f>
        <v>0</v>
      </c>
      <c r="J262" s="100">
        <f>SUMIF(data!$D:$D,$B262&amp;$D262,data!$K:$K)</f>
        <v>0</v>
      </c>
      <c r="K262" s="100">
        <f>SUMIF(AJOUT!$A:$A,BRAN!$V:$V,AJOUT!$L:$L)</f>
        <v>0</v>
      </c>
      <c r="L262" s="100">
        <f>SUMIF(CBOUT!$A:$A,BRAN!$V:$V,CBOUT!$G:$G)</f>
        <v>0</v>
      </c>
      <c r="M262" s="1158">
        <f>E262+F262+H262-I262-L262+G262-K262</f>
        <v>0</v>
      </c>
      <c r="N262" s="100">
        <f t="shared" si="81"/>
        <v>0</v>
      </c>
      <c r="O262" s="1159">
        <f t="shared" si="71"/>
        <v>325</v>
      </c>
      <c r="P262" s="804"/>
      <c r="Q262" s="804"/>
      <c r="R262" s="804">
        <f>O262/INTGRATE!$N$293</f>
        <v>65</v>
      </c>
      <c r="S262" s="665">
        <f t="shared" si="82"/>
        <v>0</v>
      </c>
      <c r="T262" s="403"/>
      <c r="U262" s="141"/>
      <c r="V262" s="840" t="str">
        <f t="shared" si="85"/>
        <v>HT1325</v>
      </c>
      <c r="W262" s="831">
        <v>332301</v>
      </c>
      <c r="X262" s="387"/>
      <c r="Y262" s="387">
        <v>325</v>
      </c>
      <c r="Z262" s="100">
        <v>0</v>
      </c>
      <c r="AA262" s="100">
        <v>0</v>
      </c>
      <c r="AB262" s="100">
        <v>0</v>
      </c>
      <c r="AC262" s="100">
        <v>0</v>
      </c>
      <c r="AD262" s="100"/>
      <c r="AE262" s="100"/>
      <c r="AF262" s="100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77"/>
        <v>325</v>
      </c>
      <c r="BD262" s="786">
        <f t="shared" si="78"/>
        <v>1</v>
      </c>
      <c r="BE262" s="786">
        <f t="shared" si="79"/>
        <v>325</v>
      </c>
      <c r="BH262" s="436"/>
    </row>
    <row r="263" spans="1:60" s="38" customFormat="1" ht="15" customHeight="1">
      <c r="A263" s="68">
        <v>58</v>
      </c>
      <c r="B263" s="107" t="s">
        <v>239</v>
      </c>
      <c r="C263" s="107" t="s">
        <v>64</v>
      </c>
      <c r="D263" s="91" t="s">
        <v>66</v>
      </c>
      <c r="E263" s="1158">
        <v>0</v>
      </c>
      <c r="F263" s="100">
        <f>+J263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58">
        <v>0</v>
      </c>
      <c r="N263" s="100"/>
      <c r="O263" s="1159">
        <f t="shared" si="71"/>
        <v>0</v>
      </c>
      <c r="P263" s="804"/>
      <c r="Q263" s="804"/>
      <c r="R263" s="804">
        <f>O263/INTGRATE!$N$293</f>
        <v>0</v>
      </c>
      <c r="S263" s="665">
        <f t="shared" si="82"/>
        <v>0</v>
      </c>
      <c r="T263" s="620"/>
      <c r="U263" s="141"/>
      <c r="V263" s="840" t="str">
        <f t="shared" si="85"/>
        <v>HT13SSILO</v>
      </c>
      <c r="W263" s="831">
        <v>332101</v>
      </c>
      <c r="X263" s="387"/>
      <c r="Y263" s="387">
        <v>0</v>
      </c>
      <c r="Z263" s="100">
        <v>0</v>
      </c>
      <c r="AA263" s="100">
        <v>0</v>
      </c>
      <c r="AB263" s="100">
        <v>0</v>
      </c>
      <c r="AC263" s="100">
        <v>0</v>
      </c>
      <c r="AD263" s="100"/>
      <c r="AE263" s="100"/>
      <c r="AF263" s="100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77"/>
        <v>0</v>
      </c>
      <c r="BD263" s="786">
        <f t="shared" si="78"/>
        <v>0</v>
      </c>
      <c r="BE263" s="786">
        <f t="shared" si="79"/>
        <v>0</v>
      </c>
      <c r="BH263" s="436"/>
    </row>
    <row r="264" spans="1:60" s="38" customFormat="1" ht="15" customHeight="1">
      <c r="A264" s="68">
        <v>59</v>
      </c>
      <c r="B264" s="107" t="s">
        <v>239</v>
      </c>
      <c r="C264" s="107" t="s">
        <v>64</v>
      </c>
      <c r="D264" s="91">
        <v>25</v>
      </c>
      <c r="E264" s="1158">
        <v>0</v>
      </c>
      <c r="F264" s="100">
        <f>SUMIF(pro!$A:$A,$V:$V,pro!$N:$N)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58">
        <f>E264+F264+H264-I264-L264+G264-K264</f>
        <v>0</v>
      </c>
      <c r="N264" s="100">
        <f t="shared" si="81"/>
        <v>0</v>
      </c>
      <c r="O264" s="1159">
        <f t="shared" si="71"/>
        <v>0</v>
      </c>
      <c r="P264" s="804"/>
      <c r="Q264" s="804"/>
      <c r="R264" s="804">
        <f>O264/INTGRATE!$N$293</f>
        <v>0</v>
      </c>
      <c r="S264" s="665">
        <f t="shared" si="82"/>
        <v>0</v>
      </c>
      <c r="T264" s="404"/>
      <c r="U264" s="141"/>
      <c r="V264" s="840" t="str">
        <f t="shared" si="85"/>
        <v>HT13S25</v>
      </c>
      <c r="W264" s="831">
        <v>332101</v>
      </c>
      <c r="X264" s="387"/>
      <c r="Y264" s="387">
        <v>0</v>
      </c>
      <c r="Z264" s="100">
        <v>0</v>
      </c>
      <c r="AA264" s="100">
        <v>0</v>
      </c>
      <c r="AB264" s="100">
        <v>0</v>
      </c>
      <c r="AC264" s="100">
        <v>0</v>
      </c>
      <c r="AD264" s="100"/>
      <c r="AE264" s="100"/>
      <c r="AF264" s="100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77"/>
        <v>0</v>
      </c>
      <c r="BD264" s="786">
        <f t="shared" si="78"/>
        <v>0</v>
      </c>
      <c r="BE264" s="786">
        <f t="shared" si="79"/>
        <v>0</v>
      </c>
      <c r="BH264" s="436"/>
    </row>
    <row r="265" spans="1:60" s="38" customFormat="1" ht="15" customHeight="1">
      <c r="A265" s="68">
        <v>60</v>
      </c>
      <c r="B265" s="179" t="s">
        <v>240</v>
      </c>
      <c r="C265" s="172" t="s">
        <v>64</v>
      </c>
      <c r="D265" s="173">
        <v>25</v>
      </c>
      <c r="E265" s="1158">
        <v>517</v>
      </c>
      <c r="F265" s="100">
        <f>SUMIF(pro!$A:$A,$V:$V,pro!$N:$N)</f>
        <v>0</v>
      </c>
      <c r="G265" s="100"/>
      <c r="H265" s="100">
        <f>SUMIF(CBIN!$A:$A,BRAN!$V:$V,CBIN!$G:$G)</f>
        <v>0</v>
      </c>
      <c r="I265" s="100">
        <f>SUMIF(data!$D:$D,$B265&amp;$D265,data!$J:$J)</f>
        <v>70</v>
      </c>
      <c r="J265" s="100">
        <f>SUMIF(data!$D:$D,$B265&amp;$D265,data!$K:$K)</f>
        <v>1750</v>
      </c>
      <c r="K265" s="100">
        <f>SUMIF(AJOUT!$A:$A,BRAN!$V:$V,AJOUT!$L:$L)</f>
        <v>0</v>
      </c>
      <c r="L265" s="100">
        <f>SUMIF(CBOUT!$A:$A,BRAN!$V:$V,CBOUT!$G:$G)</f>
        <v>0</v>
      </c>
      <c r="M265" s="1158">
        <f>E265+F265+H265-I265-L265+G265-K265</f>
        <v>447</v>
      </c>
      <c r="N265" s="100">
        <f t="shared" si="81"/>
        <v>11175</v>
      </c>
      <c r="O265" s="1159">
        <f t="shared" si="71"/>
        <v>13375</v>
      </c>
      <c r="P265" s="804"/>
      <c r="Q265" s="804"/>
      <c r="R265" s="804">
        <f>O265/INTGRATE!$N$293</f>
        <v>2675</v>
      </c>
      <c r="S265" s="665">
        <f t="shared" si="82"/>
        <v>4.1775700934579438</v>
      </c>
      <c r="T265" s="401"/>
      <c r="U265" s="141"/>
      <c r="V265" s="840" t="str">
        <f t="shared" si="85"/>
        <v>HG1625</v>
      </c>
      <c r="W265" s="831">
        <v>366201</v>
      </c>
      <c r="X265" s="387"/>
      <c r="Y265" s="387">
        <v>11125</v>
      </c>
      <c r="Z265" s="100">
        <v>0</v>
      </c>
      <c r="AA265" s="100">
        <v>500</v>
      </c>
      <c r="AB265" s="100">
        <v>0</v>
      </c>
      <c r="AC265" s="100">
        <v>1750</v>
      </c>
      <c r="AD265" s="100"/>
      <c r="AE265" s="100"/>
      <c r="AF265" s="100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77"/>
        <v>13375</v>
      </c>
      <c r="BD265" s="786">
        <f t="shared" si="78"/>
        <v>3</v>
      </c>
      <c r="BE265" s="786">
        <f t="shared" si="79"/>
        <v>4458.333333333333</v>
      </c>
      <c r="BH265" s="618"/>
    </row>
    <row r="266" spans="1:60" s="38" customFormat="1" ht="15" customHeight="1">
      <c r="A266" s="68">
        <v>61</v>
      </c>
      <c r="B266" s="179" t="s">
        <v>240</v>
      </c>
      <c r="C266" s="172" t="s">
        <v>64</v>
      </c>
      <c r="D266" s="616" t="s">
        <v>66</v>
      </c>
      <c r="E266" s="1158">
        <v>0</v>
      </c>
      <c r="F266" s="100">
        <f>+J266</f>
        <v>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0</v>
      </c>
      <c r="K266" s="100">
        <f>SUMIF(AJOUT!$A:$A,BRAN!$V:$V,AJOUT!$L:$L)</f>
        <v>0</v>
      </c>
      <c r="L266" s="100">
        <f>SUMIF(CBOUT!$A:$A,BRAN!$V:$V,CBOUT!$G:$G)</f>
        <v>0</v>
      </c>
      <c r="M266" s="1158">
        <f>+F266-J266</f>
        <v>0</v>
      </c>
      <c r="N266" s="100"/>
      <c r="O266" s="1159">
        <f t="shared" si="71"/>
        <v>5180</v>
      </c>
      <c r="P266" s="805"/>
      <c r="Q266" s="805"/>
      <c r="R266" s="804">
        <f>O266/INTGRATE!$N$293</f>
        <v>1036</v>
      </c>
      <c r="S266" s="665">
        <f t="shared" si="82"/>
        <v>0</v>
      </c>
      <c r="T266" s="401"/>
      <c r="U266" s="141"/>
      <c r="V266" s="840" t="str">
        <f t="shared" si="85"/>
        <v>HG16SILO</v>
      </c>
      <c r="W266" s="831">
        <v>366201</v>
      </c>
      <c r="X266" s="387"/>
      <c r="Y266" s="387">
        <v>0</v>
      </c>
      <c r="Z266" s="100">
        <v>0</v>
      </c>
      <c r="AA266" s="100">
        <v>0</v>
      </c>
      <c r="AB266" s="100">
        <v>5180</v>
      </c>
      <c r="AC266" s="100">
        <v>0</v>
      </c>
      <c r="AD266" s="100"/>
      <c r="AE266" s="100"/>
      <c r="AF266" s="100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77"/>
        <v>5180</v>
      </c>
      <c r="BD266" s="786">
        <f t="shared" si="78"/>
        <v>1</v>
      </c>
      <c r="BE266" s="786">
        <f t="shared" si="79"/>
        <v>5180</v>
      </c>
      <c r="BH266" s="436"/>
    </row>
    <row r="267" spans="1:60" s="38" customFormat="1" ht="15" customHeight="1">
      <c r="A267" s="68">
        <v>62</v>
      </c>
      <c r="B267" s="179" t="s">
        <v>241</v>
      </c>
      <c r="C267" s="172" t="s">
        <v>64</v>
      </c>
      <c r="D267" s="616" t="s">
        <v>66</v>
      </c>
      <c r="E267" s="1158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58">
        <f>+F267-J267</f>
        <v>0</v>
      </c>
      <c r="N267" s="100"/>
      <c r="O267" s="1159">
        <f t="shared" si="71"/>
        <v>0</v>
      </c>
      <c r="P267" s="805"/>
      <c r="Q267" s="805"/>
      <c r="R267" s="804">
        <f>O267/INTGRATE!$N$293</f>
        <v>0</v>
      </c>
      <c r="S267" s="665">
        <f t="shared" si="82"/>
        <v>0</v>
      </c>
      <c r="T267" s="401"/>
      <c r="U267" s="141"/>
      <c r="V267" s="840" t="str">
        <f>B267&amp;D267</f>
        <v>HG16XSILO</v>
      </c>
      <c r="W267" s="831">
        <v>366208</v>
      </c>
      <c r="X267" s="387"/>
      <c r="Y267" s="387">
        <v>0</v>
      </c>
      <c r="Z267" s="100">
        <v>0</v>
      </c>
      <c r="AA267" s="100">
        <v>0</v>
      </c>
      <c r="AB267" s="100">
        <v>0</v>
      </c>
      <c r="AC267" s="100">
        <v>0</v>
      </c>
      <c r="AD267" s="100"/>
      <c r="AE267" s="100"/>
      <c r="AF267" s="100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77"/>
        <v>0</v>
      </c>
      <c r="BD267" s="786">
        <f t="shared" si="78"/>
        <v>0</v>
      </c>
      <c r="BE267" s="786">
        <f t="shared" si="79"/>
        <v>0</v>
      </c>
      <c r="BH267" s="436"/>
    </row>
    <row r="268" spans="1:60" s="38" customFormat="1" ht="15" customHeight="1">
      <c r="A268" s="68">
        <v>63</v>
      </c>
      <c r="B268" s="179" t="s">
        <v>241</v>
      </c>
      <c r="C268" s="172" t="s">
        <v>64</v>
      </c>
      <c r="D268" s="616">
        <v>25</v>
      </c>
      <c r="E268" s="1158">
        <v>0</v>
      </c>
      <c r="F268" s="100">
        <f>SUMIF(pro!$A:$A,$V:$V,pro!$N:$N)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58">
        <f>E268+F268+H268-I268-L268+G268-K268</f>
        <v>0</v>
      </c>
      <c r="N268" s="100"/>
      <c r="O268" s="1159">
        <f t="shared" ref="O268" si="100">SUM(X268:BB268)</f>
        <v>0</v>
      </c>
      <c r="P268" s="805"/>
      <c r="Q268" s="805"/>
      <c r="R268" s="804">
        <f>O268/INTGRATE!$N$293</f>
        <v>0</v>
      </c>
      <c r="S268" s="665">
        <f t="shared" si="82"/>
        <v>0</v>
      </c>
      <c r="T268" s="401"/>
      <c r="U268" s="141"/>
      <c r="V268" s="840" t="str">
        <f>B268&amp;D268</f>
        <v>HG16X25</v>
      </c>
      <c r="W268" s="831">
        <v>366208</v>
      </c>
      <c r="X268" s="387"/>
      <c r="Y268" s="387">
        <v>0</v>
      </c>
      <c r="Z268" s="100">
        <v>0</v>
      </c>
      <c r="AA268" s="100">
        <v>0</v>
      </c>
      <c r="AB268" s="100">
        <v>0</v>
      </c>
      <c r="AC268" s="100">
        <v>0</v>
      </c>
      <c r="AD268" s="100"/>
      <c r="AE268" s="100"/>
      <c r="AF268" s="100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77"/>
        <v>0</v>
      </c>
      <c r="BD268" s="786">
        <f t="shared" si="78"/>
        <v>0</v>
      </c>
      <c r="BE268" s="786">
        <f t="shared" si="79"/>
        <v>0</v>
      </c>
      <c r="BH268" s="436"/>
    </row>
    <row r="269" spans="1:60" s="38" customFormat="1" ht="15" customHeight="1">
      <c r="A269" s="68">
        <v>64</v>
      </c>
      <c r="B269" s="179" t="s">
        <v>242</v>
      </c>
      <c r="C269" s="172" t="s">
        <v>64</v>
      </c>
      <c r="D269" s="173">
        <v>25</v>
      </c>
      <c r="E269" s="1158">
        <v>367</v>
      </c>
      <c r="F269" s="100">
        <f>SUMIF(pro!$A:$A,$V:$V,pro!$N:$N)</f>
        <v>0</v>
      </c>
      <c r="G269" s="100"/>
      <c r="H269" s="100">
        <f>SUMIF(CBIN!$A:$A,BRAN!$V:$V,CBIN!$G:$G)</f>
        <v>0</v>
      </c>
      <c r="I269" s="100">
        <f>SUMIF(data!$D:$D,$B269&amp;$D269,data!$J:$J)</f>
        <v>30</v>
      </c>
      <c r="J269" s="100">
        <f>SUMIF(data!$D:$D,$B269&amp;$D269,data!$K:$K)</f>
        <v>750</v>
      </c>
      <c r="K269" s="100">
        <f>SUMIF(AJOUT!$A:$A,BRAN!$V:$V,AJOUT!$L:$L)</f>
        <v>0</v>
      </c>
      <c r="L269" s="100">
        <f>SUMIF(CBOUT!$A:$A,BRAN!$V:$V,CBOUT!$G:$G)</f>
        <v>0</v>
      </c>
      <c r="M269" s="1158">
        <f>E269+F269+H269-I269-L269+G269-K269</f>
        <v>337</v>
      </c>
      <c r="N269" s="100">
        <f t="shared" si="81"/>
        <v>8425</v>
      </c>
      <c r="O269" s="1159">
        <f t="shared" si="71"/>
        <v>14625</v>
      </c>
      <c r="P269" s="804"/>
      <c r="Q269" s="804"/>
      <c r="R269" s="804">
        <f>O269/INTGRATE!$N$293</f>
        <v>2925</v>
      </c>
      <c r="S269" s="665">
        <f t="shared" si="82"/>
        <v>2.8803418803418803</v>
      </c>
      <c r="T269" s="401"/>
      <c r="U269" s="141"/>
      <c r="V269" s="840" t="str">
        <f t="shared" si="85"/>
        <v>HG17S25</v>
      </c>
      <c r="W269" s="831">
        <v>367101</v>
      </c>
      <c r="X269" s="387"/>
      <c r="Y269" s="387">
        <v>13250</v>
      </c>
      <c r="Z269" s="100">
        <v>0</v>
      </c>
      <c r="AA269" s="100">
        <v>625</v>
      </c>
      <c r="AB269" s="100">
        <v>0</v>
      </c>
      <c r="AC269" s="100">
        <v>750</v>
      </c>
      <c r="AD269" s="100"/>
      <c r="AE269" s="100"/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77"/>
        <v>14625</v>
      </c>
      <c r="BD269" s="786">
        <f t="shared" si="78"/>
        <v>3</v>
      </c>
      <c r="BE269" s="786">
        <f t="shared" si="79"/>
        <v>4875</v>
      </c>
      <c r="BH269" s="436"/>
    </row>
    <row r="270" spans="1:60" s="38" customFormat="1" ht="15" customHeight="1">
      <c r="A270" s="68">
        <v>65</v>
      </c>
      <c r="B270" s="179" t="s">
        <v>242</v>
      </c>
      <c r="C270" s="172" t="s">
        <v>64</v>
      </c>
      <c r="D270" s="616" t="s">
        <v>66</v>
      </c>
      <c r="E270" s="1158">
        <v>0</v>
      </c>
      <c r="F270" s="100">
        <f>+J270</f>
        <v>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0</v>
      </c>
      <c r="K270" s="100">
        <f>SUMIF(AJOUT!$A:$A,BRAN!$V:$V,AJOUT!$L:$L)</f>
        <v>0</v>
      </c>
      <c r="L270" s="100">
        <f>SUMIF(CBOUT!$A:$A,BRAN!$V:$V,CBOUT!$G:$G)</f>
        <v>0</v>
      </c>
      <c r="M270" s="1158">
        <f>+F270-J270</f>
        <v>0</v>
      </c>
      <c r="N270" s="100"/>
      <c r="O270" s="1159">
        <f t="shared" si="71"/>
        <v>0</v>
      </c>
      <c r="P270" s="805"/>
      <c r="Q270" s="805"/>
      <c r="R270" s="804">
        <f>O270/INTGRATE!$N$293</f>
        <v>0</v>
      </c>
      <c r="S270" s="665">
        <f t="shared" si="82"/>
        <v>0</v>
      </c>
      <c r="T270" s="592"/>
      <c r="U270" s="141"/>
      <c r="V270" s="840" t="str">
        <f t="shared" si="85"/>
        <v>HG17SSILO</v>
      </c>
      <c r="W270" s="831">
        <v>367101</v>
      </c>
      <c r="X270" s="387"/>
      <c r="Y270" s="387">
        <v>0</v>
      </c>
      <c r="Z270" s="100">
        <v>0</v>
      </c>
      <c r="AA270" s="100">
        <v>0</v>
      </c>
      <c r="AB270" s="100">
        <v>0</v>
      </c>
      <c r="AC270" s="100">
        <v>0</v>
      </c>
      <c r="AD270" s="100"/>
      <c r="AE270" s="100"/>
      <c r="AF270" s="100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77"/>
        <v>0</v>
      </c>
      <c r="BD270" s="786">
        <f t="shared" si="78"/>
        <v>0</v>
      </c>
      <c r="BE270" s="786">
        <f t="shared" si="79"/>
        <v>0</v>
      </c>
      <c r="BH270" s="436"/>
    </row>
    <row r="271" spans="1:60" s="38" customFormat="1" ht="15" customHeight="1">
      <c r="A271" s="68">
        <v>66</v>
      </c>
      <c r="B271" s="179" t="s">
        <v>243</v>
      </c>
      <c r="C271" s="172" t="s">
        <v>64</v>
      </c>
      <c r="D271" s="616" t="s">
        <v>66</v>
      </c>
      <c r="E271" s="1158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58">
        <f>+F271-J271</f>
        <v>0</v>
      </c>
      <c r="N271" s="100"/>
      <c r="O271" s="1159">
        <f t="shared" si="71"/>
        <v>0</v>
      </c>
      <c r="P271" s="805"/>
      <c r="Q271" s="805"/>
      <c r="R271" s="804">
        <f>O271/INTGRATE!$N$293</f>
        <v>0</v>
      </c>
      <c r="S271" s="665">
        <f t="shared" si="82"/>
        <v>0</v>
      </c>
      <c r="T271" s="592"/>
      <c r="U271" s="141"/>
      <c r="V271" s="840" t="str">
        <f t="shared" si="85"/>
        <v>HG17SXSILO</v>
      </c>
      <c r="W271" s="831">
        <v>367108</v>
      </c>
      <c r="X271" s="387"/>
      <c r="Y271" s="387">
        <v>0</v>
      </c>
      <c r="Z271" s="100">
        <v>0</v>
      </c>
      <c r="AA271" s="100">
        <v>0</v>
      </c>
      <c r="AB271" s="100">
        <v>0</v>
      </c>
      <c r="AC271" s="100">
        <v>0</v>
      </c>
      <c r="AD271" s="100"/>
      <c r="AE271" s="100"/>
      <c r="AF271" s="100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77"/>
        <v>0</v>
      </c>
      <c r="BD271" s="786">
        <f t="shared" si="78"/>
        <v>0</v>
      </c>
      <c r="BE271" s="786">
        <f t="shared" si="79"/>
        <v>0</v>
      </c>
      <c r="BH271" s="436"/>
    </row>
    <row r="272" spans="1:60" s="38" customFormat="1" ht="15" customHeight="1">
      <c r="A272" s="68">
        <v>67</v>
      </c>
      <c r="B272" s="179" t="s">
        <v>244</v>
      </c>
      <c r="C272" s="172" t="s">
        <v>64</v>
      </c>
      <c r="D272" s="616" t="s">
        <v>66</v>
      </c>
      <c r="E272" s="1158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v>0</v>
      </c>
      <c r="L272" s="100">
        <f>SUMIF(CBOUT!$A:$A,BRAN!$V:$V,CBOUT!$G:$G)</f>
        <v>0</v>
      </c>
      <c r="M272" s="1158">
        <f>+F272-J272</f>
        <v>0</v>
      </c>
      <c r="N272" s="100"/>
      <c r="O272" s="1159">
        <f t="shared" si="71"/>
        <v>0</v>
      </c>
      <c r="P272" s="805"/>
      <c r="Q272" s="805"/>
      <c r="R272" s="804">
        <f>O272/INTGRATE!$N$293</f>
        <v>0</v>
      </c>
      <c r="S272" s="665">
        <f t="shared" si="82"/>
        <v>0</v>
      </c>
      <c r="T272" s="592"/>
      <c r="U272" s="141"/>
      <c r="V272" s="840" t="str">
        <f t="shared" si="85"/>
        <v>HG17SILO</v>
      </c>
      <c r="W272" s="831">
        <v>367201</v>
      </c>
      <c r="X272" s="387"/>
      <c r="Y272" s="387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/>
      <c r="AE272" s="100"/>
      <c r="AF272" s="100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77"/>
        <v>0</v>
      </c>
      <c r="BD272" s="786">
        <f t="shared" si="78"/>
        <v>0</v>
      </c>
      <c r="BE272" s="786">
        <f t="shared" si="79"/>
        <v>0</v>
      </c>
      <c r="BH272" s="436"/>
    </row>
    <row r="273" spans="1:151" s="38" customFormat="1" ht="15" customHeight="1">
      <c r="A273" s="68">
        <v>68</v>
      </c>
      <c r="B273" s="179" t="s">
        <v>244</v>
      </c>
      <c r="C273" s="172" t="s">
        <v>64</v>
      </c>
      <c r="D273" s="173">
        <v>25</v>
      </c>
      <c r="E273" s="1158">
        <v>0</v>
      </c>
      <c r="F273" s="100">
        <f>SUMIF(pro!$A:$A,$V:$V,pro!$N:$N)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f>SUMIF(AJOUT!$A:$A,BRAN!$V:$V,AJOUT!$L:$L)</f>
        <v>0</v>
      </c>
      <c r="L273" s="100">
        <f>SUMIF(CBOUT!$A:$A,BRAN!$V:$V,CBOUT!$G:$G)</f>
        <v>0</v>
      </c>
      <c r="M273" s="1158">
        <f>E273+F273+H273-I273-L273+G273-K273</f>
        <v>0</v>
      </c>
      <c r="N273" s="100">
        <f t="shared" si="81"/>
        <v>0</v>
      </c>
      <c r="O273" s="1159">
        <f t="shared" si="71"/>
        <v>0</v>
      </c>
      <c r="P273" s="804"/>
      <c r="Q273" s="804"/>
      <c r="R273" s="804">
        <f>O273/INTGRATE!$N$293</f>
        <v>0</v>
      </c>
      <c r="S273" s="665">
        <f t="shared" si="82"/>
        <v>0</v>
      </c>
      <c r="T273" s="402"/>
      <c r="U273" s="141"/>
      <c r="V273" s="840" t="str">
        <f t="shared" si="85"/>
        <v>HG1725</v>
      </c>
      <c r="W273" s="831">
        <v>367201</v>
      </c>
      <c r="X273" s="387"/>
      <c r="Y273" s="387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/>
      <c r="AE273" s="100"/>
      <c r="AF273" s="100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ref="BC273:BC275" si="101">SUM(X273:BB273)</f>
        <v>0</v>
      </c>
      <c r="BD273" s="786">
        <f t="shared" ref="BD273:BD275" si="102">COUNTIF(X273:BB273,"&gt;0")</f>
        <v>0</v>
      </c>
      <c r="BE273" s="786">
        <f t="shared" ref="BE273:BE275" si="103">IFERROR(BC273/BD273,0)</f>
        <v>0</v>
      </c>
      <c r="BH273" s="436"/>
    </row>
    <row r="274" spans="1:151" s="38" customFormat="1" ht="15" customHeight="1">
      <c r="A274" s="68">
        <v>69</v>
      </c>
      <c r="B274" s="349" t="s">
        <v>245</v>
      </c>
      <c r="C274" s="1176" t="s">
        <v>64</v>
      </c>
      <c r="D274" s="1177">
        <v>25</v>
      </c>
      <c r="E274" s="1158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58">
        <f>E274+F274+H274-I274-L274+G274-K274</f>
        <v>0</v>
      </c>
      <c r="N274" s="100">
        <f t="shared" si="81"/>
        <v>0</v>
      </c>
      <c r="O274" s="1159">
        <f t="shared" si="71"/>
        <v>0</v>
      </c>
      <c r="P274" s="804"/>
      <c r="Q274" s="804"/>
      <c r="R274" s="804">
        <f>O274/INTGRATE!$N$293</f>
        <v>0</v>
      </c>
      <c r="S274" s="665">
        <f t="shared" si="82"/>
        <v>0</v>
      </c>
      <c r="T274" s="592"/>
      <c r="U274" s="141"/>
      <c r="V274" s="840" t="str">
        <f t="shared" si="85"/>
        <v>VD1425</v>
      </c>
      <c r="W274" s="831">
        <v>216201</v>
      </c>
      <c r="X274" s="387"/>
      <c r="Y274" s="387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/>
      <c r="AE274" s="100"/>
      <c r="AF274" s="100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si="101"/>
        <v>0</v>
      </c>
      <c r="BD274" s="786">
        <f t="shared" si="102"/>
        <v>0</v>
      </c>
      <c r="BE274" s="786">
        <f t="shared" si="103"/>
        <v>0</v>
      </c>
      <c r="BH274" s="436"/>
    </row>
    <row r="275" spans="1:151" s="108" customFormat="1" ht="15" customHeight="1">
      <c r="A275" s="68">
        <v>70</v>
      </c>
      <c r="B275" s="349" t="s">
        <v>245</v>
      </c>
      <c r="C275" s="1176" t="s">
        <v>64</v>
      </c>
      <c r="D275" s="1177">
        <v>40</v>
      </c>
      <c r="E275" s="1158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58">
        <f>E275+F275+H275-I275-L275+G275-K275</f>
        <v>0</v>
      </c>
      <c r="N275" s="100">
        <f t="shared" si="81"/>
        <v>0</v>
      </c>
      <c r="O275" s="1159">
        <f t="shared" si="71"/>
        <v>0</v>
      </c>
      <c r="P275" s="804"/>
      <c r="Q275" s="804"/>
      <c r="R275" s="804">
        <f>O275/INTGRATE!$N$293</f>
        <v>0</v>
      </c>
      <c r="S275" s="665">
        <f t="shared" si="82"/>
        <v>0</v>
      </c>
      <c r="T275" s="401"/>
      <c r="U275" s="141"/>
      <c r="V275" s="840" t="str">
        <f t="shared" si="85"/>
        <v>VD1440</v>
      </c>
      <c r="W275" s="831">
        <v>216201</v>
      </c>
      <c r="X275" s="387"/>
      <c r="Y275" s="387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/>
      <c r="AE275" s="100"/>
      <c r="AF275" s="100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1"/>
        <v>0</v>
      </c>
      <c r="BD275" s="786">
        <f t="shared" si="102"/>
        <v>0</v>
      </c>
      <c r="BE275" s="786">
        <f t="shared" si="103"/>
        <v>0</v>
      </c>
      <c r="BF275" s="58"/>
      <c r="BG275" s="38"/>
      <c r="BH275" s="43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099" t="s">
        <v>71</v>
      </c>
      <c r="B276" s="1100"/>
      <c r="C276" s="1100"/>
      <c r="D276" s="1101"/>
      <c r="E276" s="109"/>
      <c r="F276" s="109"/>
      <c r="G276" s="109"/>
      <c r="H276" s="109"/>
      <c r="I276" s="109"/>
      <c r="J276" s="109"/>
      <c r="K276" s="109"/>
      <c r="L276" s="109"/>
      <c r="M276" s="477"/>
      <c r="N276" s="109"/>
      <c r="O276" s="109"/>
      <c r="P276" s="188"/>
      <c r="Q276" s="188"/>
      <c r="R276" s="109"/>
      <c r="S276" s="99"/>
      <c r="T276" s="1105">
        <f>N281/R279</f>
        <v>3.1232220590375634</v>
      </c>
      <c r="U276" s="152"/>
      <c r="V276" s="836" t="str">
        <f t="shared" si="85"/>
        <v/>
      </c>
      <c r="W276" s="823"/>
      <c r="X276" s="78">
        <f t="shared" ref="X276:BB276" si="104">SUM(X206:X275)</f>
        <v>0</v>
      </c>
      <c r="Y276" s="78">
        <f t="shared" si="104"/>
        <v>84770</v>
      </c>
      <c r="Z276" s="78">
        <f t="shared" si="104"/>
        <v>47730</v>
      </c>
      <c r="AA276" s="78">
        <f t="shared" si="104"/>
        <v>67295</v>
      </c>
      <c r="AB276" s="78">
        <f t="shared" si="104"/>
        <v>77710</v>
      </c>
      <c r="AC276" s="78">
        <f t="shared" si="104"/>
        <v>100390</v>
      </c>
      <c r="AD276" s="78">
        <f t="shared" si="104"/>
        <v>0</v>
      </c>
      <c r="AE276" s="78">
        <f t="shared" si="104"/>
        <v>0</v>
      </c>
      <c r="AF276" s="78">
        <f t="shared" si="104"/>
        <v>0</v>
      </c>
      <c r="AG276" s="78">
        <f t="shared" si="104"/>
        <v>0</v>
      </c>
      <c r="AH276" s="78">
        <f t="shared" si="104"/>
        <v>0</v>
      </c>
      <c r="AI276" s="78">
        <f t="shared" si="104"/>
        <v>0</v>
      </c>
      <c r="AJ276" s="78">
        <f t="shared" si="104"/>
        <v>0</v>
      </c>
      <c r="AK276" s="78">
        <f t="shared" si="104"/>
        <v>0</v>
      </c>
      <c r="AL276" s="78">
        <f t="shared" si="104"/>
        <v>0</v>
      </c>
      <c r="AM276" s="78">
        <f t="shared" si="104"/>
        <v>0</v>
      </c>
      <c r="AN276" s="78">
        <f t="shared" si="104"/>
        <v>0</v>
      </c>
      <c r="AO276" s="78">
        <f t="shared" si="104"/>
        <v>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531">
        <f t="shared" si="73"/>
        <v>377895</v>
      </c>
      <c r="BD276" s="790"/>
      <c r="BE276" s="790"/>
      <c r="BH276" s="439"/>
    </row>
    <row r="277" spans="1:151" s="59" customFormat="1" ht="15" customHeight="1">
      <c r="A277" s="1099" t="s">
        <v>72</v>
      </c>
      <c r="B277" s="1100"/>
      <c r="C277" s="1100"/>
      <c r="D277" s="1101"/>
      <c r="E277" s="110">
        <f>SUM(E206:E275)-E280-E278</f>
        <v>10789</v>
      </c>
      <c r="F277" s="110">
        <f>SUM(F206:F275)-F280-F278</f>
        <v>875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1</v>
      </c>
      <c r="I277" s="110">
        <f t="shared" si="105"/>
        <v>2220</v>
      </c>
      <c r="J277" s="110">
        <f>+J281-J280-J278</f>
        <v>55500</v>
      </c>
      <c r="K277" s="110">
        <f>SUM(K206:K274)-SUM(K207:K210)-K239-K240-K212-K213-K216-K218-K219-K222-K224-K227-K231-K246-K247-K251-K256-K259-K261-K263-K266-K267-K270-K271-K272</f>
        <v>3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9442</v>
      </c>
      <c r="N277" s="110">
        <f>SUM(N206:N274)-N237-N236-SUM(N207:N210)-N240-N212-N213-N216-N218-N219-N222-N224-N227-N231-N246-N247-N251-N256-N259-N261-N263-N266-N267-N270-N271-N272</f>
        <v>236050</v>
      </c>
      <c r="O277" s="110">
        <f>SUM(O206:O275)</f>
        <v>377895</v>
      </c>
      <c r="P277" s="110">
        <f>SUM(P206:P274)</f>
        <v>236050</v>
      </c>
      <c r="Q277" s="110">
        <f>SUM(Q206:Q274)</f>
        <v>377895</v>
      </c>
      <c r="R277" s="110">
        <f>SUM(R206:R274)-R216</f>
        <v>75579</v>
      </c>
      <c r="S277" s="110">
        <f>SUM(S206:S274)-S216</f>
        <v>113.38358343810695</v>
      </c>
      <c r="T277" s="1106"/>
      <c r="U277" s="153">
        <f>SUM(U245:U273)*25+U221</f>
        <v>0</v>
      </c>
      <c r="V277" s="839" t="str">
        <f t="shared" si="85"/>
        <v/>
      </c>
      <c r="W277" s="82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439"/>
    </row>
    <row r="278" spans="1:151" s="59" customFormat="1" ht="15" customHeight="1">
      <c r="A278" s="1099" t="s">
        <v>73</v>
      </c>
      <c r="B278" s="1100"/>
      <c r="C278" s="1100"/>
      <c r="D278" s="1101"/>
      <c r="E278" s="111">
        <f>SUM(E275,E236,E240,E241,E243,E237)</f>
        <v>0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0</v>
      </c>
      <c r="N278" s="111">
        <f t="shared" si="106"/>
        <v>0</v>
      </c>
      <c r="O278" s="111">
        <f t="shared" ref="O278" si="107">SUM(O275,O236,O240,O241,O243)</f>
        <v>18400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106"/>
      <c r="U278" s="154">
        <f>SUM(U275:U275)*40</f>
        <v>0</v>
      </c>
      <c r="V278" s="839" t="str">
        <f t="shared" si="85"/>
        <v/>
      </c>
      <c r="W278" s="82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129" customFormat="1" ht="15" customHeight="1">
      <c r="A279" s="1109" t="s">
        <v>75</v>
      </c>
      <c r="B279" s="1110"/>
      <c r="C279" s="1110"/>
      <c r="D279" s="1111"/>
      <c r="E279" s="73">
        <f>SUM(E276:E278)</f>
        <v>10789</v>
      </c>
      <c r="F279" s="73">
        <f>SUM(F276:F278)</f>
        <v>875</v>
      </c>
      <c r="G279" s="73">
        <f t="shared" ref="G279:N279" si="109">SUM(G276:G278)</f>
        <v>0</v>
      </c>
      <c r="H279" s="73">
        <f t="shared" si="109"/>
        <v>1</v>
      </c>
      <c r="I279" s="73">
        <f t="shared" si="109"/>
        <v>2220</v>
      </c>
      <c r="J279" s="73">
        <f>+J278+J277</f>
        <v>55500</v>
      </c>
      <c r="K279" s="73">
        <f t="shared" si="109"/>
        <v>3</v>
      </c>
      <c r="L279" s="73">
        <f t="shared" si="109"/>
        <v>0</v>
      </c>
      <c r="M279" s="73">
        <f>SUM(M276:M278)</f>
        <v>9442</v>
      </c>
      <c r="N279" s="73">
        <f t="shared" si="109"/>
        <v>236050</v>
      </c>
      <c r="O279" s="767">
        <f>+O281-O280</f>
        <v>308365</v>
      </c>
      <c r="P279" s="186">
        <f>SUM(P206:P275)</f>
        <v>236050</v>
      </c>
      <c r="Q279" s="186">
        <f>+Q277-Q217</f>
        <v>377895</v>
      </c>
      <c r="R279" s="1095">
        <f>SUM(R206:R275)</f>
        <v>75579</v>
      </c>
      <c r="S279" s="1097" t="s">
        <v>246</v>
      </c>
      <c r="T279" s="1106"/>
      <c r="U279" s="146">
        <f>SUM(U206:U275)</f>
        <v>0</v>
      </c>
      <c r="V279" s="839" t="str">
        <f t="shared" si="85"/>
        <v/>
      </c>
      <c r="W279" s="82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354"/>
      <c r="BD279" s="354"/>
      <c r="BE279" s="354"/>
      <c r="BF279" s="354"/>
      <c r="BG279" s="354"/>
      <c r="BH279" s="439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</row>
    <row r="280" spans="1:151" s="129" customFormat="1" ht="15" customHeight="1">
      <c r="A280" s="1099" t="s">
        <v>74</v>
      </c>
      <c r="B280" s="1100"/>
      <c r="C280" s="1100"/>
      <c r="D280" s="1101"/>
      <c r="E280" s="595"/>
      <c r="F280" s="595">
        <f>F242+F238+F239+F212+F216+F266+F270+F256+F261+F251+F263+F267+F271+F210+F208+F247+F259+F246+F209+F272+F207+F222+F218+F227+F224+F231+F219+F213+F253</f>
        <v>44890</v>
      </c>
      <c r="G280" s="595">
        <f t="shared" ref="G280:I280" si="110">G242+G238+G239+G212+G216+G266+G270+G256+G261+G251+G263+G267+G271+G210+G208+G247+G259+G246+G209+G272+G207+G222+G218+G227+G224+G231+G219+G213+G253</f>
        <v>0</v>
      </c>
      <c r="H280" s="595">
        <f t="shared" si="110"/>
        <v>0</v>
      </c>
      <c r="I280" s="595">
        <f t="shared" si="110"/>
        <v>0</v>
      </c>
      <c r="J280" s="595">
        <f>J242+J238+J239+J212+J216+J266+J270+J256+J261+J251+J263+J267+J271+J210+J208+J247+J259+J246+J209+J272+J207+J222+J218+J227+J224+J231+J219+J213+J253</f>
        <v>44890</v>
      </c>
      <c r="K280" s="595">
        <f>+K216+K266+K270+K256+K261+K251+K263+K267+K271+K210+K208+K247+K259+K246+K209+K272+K207</f>
        <v>0</v>
      </c>
      <c r="L280" s="595">
        <f>+L216+L266+L270+L256+L261+L251+L263+L267+L271+L210+L208+L247+L259+L246+L209</f>
        <v>0</v>
      </c>
      <c r="M280" s="595">
        <f>+M216+M266+M270+M256+M261+M251+M263+M267+M271+M210+M208+M247+M259+M246+M209+M272+M207+M222+M218</f>
        <v>0</v>
      </c>
      <c r="N280" s="595">
        <f>+N216+N266+N270+N256+N261+N251+N263+N267+N271+N210+N208+N247+N259+N246+N209</f>
        <v>0</v>
      </c>
      <c r="O280" s="767">
        <f>+O207+O208+O209+O210+O216+O222+O246+O247+O251+O256+O259+O261+O266+O267+O270+O271+O272+O263</f>
        <v>69530</v>
      </c>
      <c r="P280" s="596">
        <f>+N279-P277</f>
        <v>0</v>
      </c>
      <c r="Q280" s="596"/>
      <c r="R280" s="1127"/>
      <c r="S280" s="1126"/>
      <c r="T280" s="1106"/>
      <c r="U280" s="147"/>
      <c r="V280" s="839"/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71" customFormat="1" ht="15" customHeight="1">
      <c r="A281" s="1099" t="s">
        <v>77</v>
      </c>
      <c r="B281" s="1100"/>
      <c r="C281" s="1100"/>
      <c r="D281" s="1101"/>
      <c r="E281" s="69">
        <f>SUM(E276:E277)*25+E278*40</f>
        <v>269725</v>
      </c>
      <c r="F281" s="69">
        <f>+F280+F277*25+F278*40</f>
        <v>66765</v>
      </c>
      <c r="G281" s="69">
        <f t="shared" ref="G281:L281" si="111">+G280+G277*25</f>
        <v>0</v>
      </c>
      <c r="H281" s="69">
        <f t="shared" si="111"/>
        <v>25</v>
      </c>
      <c r="I281" s="69">
        <f>+I280+I277*25</f>
        <v>55500</v>
      </c>
      <c r="J281" s="69">
        <f>SUM(J206:J275)</f>
        <v>100390</v>
      </c>
      <c r="K281" s="69">
        <f t="shared" si="111"/>
        <v>75</v>
      </c>
      <c r="L281" s="69">
        <f t="shared" si="111"/>
        <v>0</v>
      </c>
      <c r="M281" s="69">
        <f>+M280+M277*25+M278*40</f>
        <v>236050</v>
      </c>
      <c r="N281" s="69">
        <f>SUM(N206:N275)</f>
        <v>236050</v>
      </c>
      <c r="O281" s="767">
        <f>SUM(O206:O275)</f>
        <v>377895</v>
      </c>
      <c r="P281" s="187"/>
      <c r="Q281" s="187"/>
      <c r="R281" s="1096"/>
      <c r="S281" s="1098"/>
      <c r="T281" s="1107"/>
      <c r="U281" s="147">
        <f>U277*25</f>
        <v>0</v>
      </c>
      <c r="V281" s="839" t="str">
        <f t="shared" ref="V281:V286" si="112">B281&amp;D281</f>
        <v/>
      </c>
      <c r="W281" s="82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439"/>
    </row>
    <row r="282" spans="1:151" s="71" customFormat="1" ht="15" customHeight="1">
      <c r="A282" s="286" t="s">
        <v>174</v>
      </c>
      <c r="B282" s="37"/>
      <c r="C282" s="37"/>
      <c r="D282" s="37"/>
      <c r="E282" s="130"/>
      <c r="F282" s="37"/>
      <c r="G282" s="37"/>
      <c r="H282" s="37"/>
      <c r="I282" s="37"/>
      <c r="J282" s="37"/>
      <c r="K282" s="37"/>
      <c r="L282" s="37"/>
      <c r="M282" s="472"/>
      <c r="N282" s="37"/>
      <c r="O282" s="37"/>
      <c r="P282" s="37"/>
      <c r="Q282" s="37"/>
      <c r="R282" s="37"/>
      <c r="S282" s="37"/>
      <c r="T282" s="458"/>
      <c r="U282" s="139"/>
      <c r="V282" s="839" t="str">
        <f t="shared" si="112"/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439"/>
    </row>
    <row r="283" spans="1:151" s="71" customFormat="1" ht="15" customHeight="1">
      <c r="A283" s="286" t="s">
        <v>175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465"/>
      <c r="N283" s="38"/>
      <c r="O283" s="85"/>
      <c r="P283" s="85"/>
      <c r="Q283" s="85"/>
      <c r="R283" s="38"/>
      <c r="S283" s="38"/>
      <c r="T283" s="459"/>
      <c r="U283" s="131"/>
      <c r="V283" s="839" t="str">
        <f t="shared" si="112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176</v>
      </c>
      <c r="B284" s="362"/>
      <c r="C284" s="362"/>
      <c r="D284" s="362"/>
      <c r="E284" s="362"/>
      <c r="F284" s="362"/>
      <c r="G284" s="362"/>
      <c r="H284" s="362"/>
      <c r="I284" s="362"/>
      <c r="J284" s="362"/>
      <c r="K284" s="362"/>
      <c r="L284" s="362"/>
      <c r="M284" s="473"/>
      <c r="N284" s="362"/>
      <c r="O284" s="362"/>
      <c r="P284" s="362"/>
      <c r="Q284" s="362"/>
      <c r="R284" s="362"/>
      <c r="S284" s="362"/>
      <c r="T284" s="460"/>
      <c r="U284" s="131"/>
      <c r="V284" s="839" t="str">
        <f t="shared" si="112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ht="15" customHeight="1">
      <c r="A285" s="443" t="s">
        <v>20</v>
      </c>
      <c r="B285" s="443"/>
      <c r="C285" s="443"/>
      <c r="D285" s="443"/>
      <c r="E285" s="443"/>
      <c r="F285" s="443"/>
      <c r="G285" s="443"/>
      <c r="H285" s="443"/>
      <c r="I285" s="443"/>
      <c r="J285" s="443"/>
      <c r="K285" s="443"/>
      <c r="L285" s="443"/>
      <c r="M285" s="468"/>
      <c r="N285" s="443"/>
      <c r="O285" s="443"/>
      <c r="P285" s="443"/>
      <c r="Q285" s="443"/>
      <c r="R285" s="443"/>
      <c r="S285" s="443"/>
      <c r="T285" s="78"/>
      <c r="U285" s="139"/>
      <c r="V285" s="83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444" t="s">
        <v>247</v>
      </c>
      <c r="B286" s="444"/>
      <c r="C286" s="444"/>
      <c r="D286" s="444"/>
      <c r="E286" s="444"/>
      <c r="F286" s="444"/>
      <c r="G286" s="444"/>
      <c r="H286" s="444"/>
      <c r="I286" s="444"/>
      <c r="J286" s="444"/>
      <c r="K286" s="444"/>
      <c r="L286" s="444"/>
      <c r="M286" s="469"/>
      <c r="N286" s="444"/>
      <c r="O286" s="444"/>
      <c r="P286" s="444"/>
      <c r="Q286" s="444"/>
      <c r="R286" s="444"/>
      <c r="S286" s="444"/>
      <c r="T286" s="407"/>
      <c r="U286" s="140"/>
      <c r="V286" s="839" t="str">
        <f t="shared" si="112"/>
        <v/>
      </c>
    </row>
    <row r="287" spans="1:151" s="63" customFormat="1" ht="36" customHeight="1">
      <c r="A287" s="925" t="s">
        <v>22</v>
      </c>
      <c r="B287" s="916" t="s">
        <v>23</v>
      </c>
      <c r="C287" s="916" t="s">
        <v>24</v>
      </c>
      <c r="D287" s="928" t="s">
        <v>178</v>
      </c>
      <c r="E287" s="61" t="s">
        <v>26</v>
      </c>
      <c r="F287" s="931" t="s">
        <v>27</v>
      </c>
      <c r="G287" s="936"/>
      <c r="H287" s="932"/>
      <c r="I287" s="931" t="s">
        <v>28</v>
      </c>
      <c r="J287" s="936"/>
      <c r="K287" s="936"/>
      <c r="L287" s="936"/>
      <c r="M287" s="931" t="s">
        <v>29</v>
      </c>
      <c r="N287" s="932"/>
      <c r="O287" s="183" t="s">
        <v>30</v>
      </c>
      <c r="P287" s="183"/>
      <c r="Q287" s="183"/>
      <c r="R287" s="183" t="s">
        <v>31</v>
      </c>
      <c r="S287" s="928" t="s">
        <v>32</v>
      </c>
      <c r="T287" s="1049" t="s">
        <v>33</v>
      </c>
      <c r="U287" s="881" t="s">
        <v>34</v>
      </c>
      <c r="V287" s="830"/>
      <c r="W287" s="83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437"/>
    </row>
    <row r="288" spans="1:151" s="63" customFormat="1" ht="51.75" customHeight="1">
      <c r="A288" s="926"/>
      <c r="B288" s="917"/>
      <c r="C288" s="917"/>
      <c r="D288" s="929" t="s">
        <v>35</v>
      </c>
      <c r="E288" s="64" t="s">
        <v>36</v>
      </c>
      <c r="F288" s="680" t="s">
        <v>37</v>
      </c>
      <c r="G288" s="512" t="s">
        <v>38</v>
      </c>
      <c r="H288" s="681" t="s">
        <v>39</v>
      </c>
      <c r="I288" s="931" t="s">
        <v>40</v>
      </c>
      <c r="J288" s="936"/>
      <c r="K288" s="512" t="s">
        <v>41</v>
      </c>
      <c r="L288" s="681" t="s">
        <v>42</v>
      </c>
      <c r="M288" s="931" t="s">
        <v>43</v>
      </c>
      <c r="N288" s="932"/>
      <c r="O288" s="683" t="s">
        <v>44</v>
      </c>
      <c r="P288" s="184"/>
      <c r="Q288" s="184"/>
      <c r="R288" s="683" t="s">
        <v>45</v>
      </c>
      <c r="S288" s="929"/>
      <c r="T288" s="1050"/>
      <c r="U288" s="882"/>
      <c r="V288" s="835" t="str">
        <f t="shared" ref="V288:V310" si="113">B288&amp;D288</f>
        <v>SIZE</v>
      </c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15.75" customHeight="1">
      <c r="A289" s="927"/>
      <c r="B289" s="918"/>
      <c r="C289" s="918"/>
      <c r="D289" s="930" t="s">
        <v>46</v>
      </c>
      <c r="E289" s="64" t="s">
        <v>47</v>
      </c>
      <c r="F289" s="64" t="s">
        <v>47</v>
      </c>
      <c r="G289" s="64" t="s">
        <v>47</v>
      </c>
      <c r="H289" s="64" t="s">
        <v>47</v>
      </c>
      <c r="I289" s="64" t="s">
        <v>47</v>
      </c>
      <c r="J289" s="64" t="s">
        <v>46</v>
      </c>
      <c r="K289" s="64" t="s">
        <v>47</v>
      </c>
      <c r="L289" s="64" t="s">
        <v>47</v>
      </c>
      <c r="M289" s="64" t="s">
        <v>47</v>
      </c>
      <c r="N289" s="65" t="s">
        <v>46</v>
      </c>
      <c r="O289" s="65" t="s">
        <v>46</v>
      </c>
      <c r="P289" s="185"/>
      <c r="Q289" s="185"/>
      <c r="R289" s="65" t="s">
        <v>48</v>
      </c>
      <c r="S289" s="930"/>
      <c r="T289" s="1051"/>
      <c r="U289" s="684" t="s">
        <v>47</v>
      </c>
      <c r="V289" s="835" t="str">
        <f t="shared" si="113"/>
        <v>(Kg)</v>
      </c>
      <c r="W289" s="831"/>
      <c r="X289" s="311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49</v>
      </c>
      <c r="BD289" s="785" t="s">
        <v>85</v>
      </c>
      <c r="BE289" s="785" t="s">
        <v>86</v>
      </c>
      <c r="BH289" s="437"/>
    </row>
    <row r="290" spans="1:60" s="658" customFormat="1" ht="15" customHeight="1">
      <c r="A290" s="648">
        <v>1</v>
      </c>
      <c r="B290" s="315">
        <v>9624</v>
      </c>
      <c r="C290" s="315" t="s">
        <v>80</v>
      </c>
      <c r="D290" s="651" t="s">
        <v>58</v>
      </c>
      <c r="E290" s="649">
        <v>0</v>
      </c>
      <c r="F290" s="652">
        <f>+J290</f>
        <v>0</v>
      </c>
      <c r="G290" s="649"/>
      <c r="H290" s="652">
        <f>SUMIF(CBIN!$A:$A,BRAN!$V:$V,CBIN!$G:$G)</f>
        <v>0</v>
      </c>
      <c r="I290" s="649">
        <f>SUMIF(data!$D:$D,$B290&amp;$D290,data!$J:$J)</f>
        <v>0</v>
      </c>
      <c r="J290" s="649">
        <f>SUMIF(data!$D:$D,$B290&amp;$D290,data!$K:$K)</f>
        <v>0</v>
      </c>
      <c r="K290" s="652">
        <f>SUMIF(AJOUT!$A:$A,BRAN!$V:$V,AJOUT!$L:$L)</f>
        <v>0</v>
      </c>
      <c r="L290" s="652">
        <f>SUMIF(CBOUT!$A:$A,BRAN!$V:$V,CBOUT!$G:$G)</f>
        <v>0</v>
      </c>
      <c r="M290" s="650">
        <v>0</v>
      </c>
      <c r="N290" s="649">
        <v>0</v>
      </c>
      <c r="O290" s="649">
        <f t="shared" ref="O290:O299" si="114">SUM(X290:BB290)</f>
        <v>0</v>
      </c>
      <c r="P290" s="653"/>
      <c r="Q290" s="653"/>
      <c r="R290" s="654">
        <f>O290/INTGRATE!$N$293</f>
        <v>0</v>
      </c>
      <c r="S290" s="665">
        <f>IF(R290=0,0,N290/R290)</f>
        <v>0</v>
      </c>
      <c r="T290" s="655"/>
      <c r="U290" s="656"/>
      <c r="V290" s="843" t="str">
        <f t="shared" si="113"/>
        <v>9624silo</v>
      </c>
      <c r="W290" s="831">
        <v>127001</v>
      </c>
      <c r="X290" s="68"/>
      <c r="Y290" s="68"/>
      <c r="Z290" s="390"/>
      <c r="AA290" s="100"/>
      <c r="AB290" s="100"/>
      <c r="AC290" s="100"/>
      <c r="AD290" s="351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51"/>
      <c r="AR290" s="100"/>
      <c r="AS290" s="100"/>
      <c r="AT290" s="100"/>
      <c r="AU290" s="100"/>
      <c r="AV290" s="100"/>
      <c r="AW290" s="100"/>
      <c r="AX290" s="649"/>
      <c r="AY290" s="100"/>
      <c r="AZ290" s="100"/>
      <c r="BA290" s="100"/>
      <c r="BB290" s="100"/>
      <c r="BC290" s="657">
        <f t="shared" ref="BC290:BC299" si="115">SUM(X290:BB290)</f>
        <v>0</v>
      </c>
      <c r="BD290" s="786">
        <f>COUNTIF(X290:BB290,"&gt;0")</f>
        <v>0</v>
      </c>
      <c r="BE290" s="786">
        <f>IFERROR(BC290/BD290,0)</f>
        <v>0</v>
      </c>
      <c r="BH290" s="659"/>
    </row>
    <row r="291" spans="1:60" s="658" customFormat="1" ht="15" customHeight="1">
      <c r="A291" s="68">
        <v>2</v>
      </c>
      <c r="B291" s="315">
        <v>9622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si="114"/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3"/>
        <v>9622silo</v>
      </c>
      <c r="W291" s="831">
        <v>123001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si="115"/>
        <v>0</v>
      </c>
      <c r="BD291" s="786">
        <f t="shared" ref="BD291:BD299" si="116">COUNTIF(X291:BB291,"&gt;0")</f>
        <v>0</v>
      </c>
      <c r="BE291" s="786">
        <f t="shared" ref="BE291:BE299" si="117">IFERROR(BC291/BD291,0)</f>
        <v>0</v>
      </c>
      <c r="BH291" s="659"/>
    </row>
    <row r="292" spans="1:60" s="658" customFormat="1" ht="15" customHeight="1">
      <c r="A292" s="68">
        <v>3</v>
      </c>
      <c r="B292" s="315" t="s">
        <v>248</v>
      </c>
      <c r="C292" s="315" t="s">
        <v>80</v>
      </c>
      <c r="D292" s="651" t="s">
        <v>58</v>
      </c>
      <c r="E292" s="649"/>
      <c r="F292" s="652">
        <f>+J292</f>
        <v>0</v>
      </c>
      <c r="G292" s="649"/>
      <c r="H292" s="652"/>
      <c r="I292" s="649">
        <f>SUMIF(data!$D:$D,$B292&amp;$D292,data!$J:$J)</f>
        <v>0</v>
      </c>
      <c r="J292" s="649">
        <f>SUMIF(data!$D:$D,$B292&amp;$D292,data!$K:$K)</f>
        <v>0</v>
      </c>
      <c r="K292" s="652"/>
      <c r="L292" s="652"/>
      <c r="M292" s="650"/>
      <c r="N292" s="649">
        <v>0</v>
      </c>
      <c r="O292" s="649">
        <f t="shared" si="114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>B292&amp;D292</f>
        <v>9624Psilo</v>
      </c>
      <c r="W292" s="831"/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15"/>
        <v>0</v>
      </c>
      <c r="BD292" s="786">
        <f t="shared" si="116"/>
        <v>0</v>
      </c>
      <c r="BE292" s="786">
        <f t="shared" si="117"/>
        <v>0</v>
      </c>
      <c r="BH292" s="659"/>
    </row>
    <row r="293" spans="1:60" s="658" customFormat="1" ht="15" customHeight="1">
      <c r="A293" s="68">
        <v>4</v>
      </c>
      <c r="B293" s="315">
        <v>9624</v>
      </c>
      <c r="C293" s="315" t="s">
        <v>80</v>
      </c>
      <c r="D293" s="651">
        <v>25</v>
      </c>
      <c r="E293" s="649">
        <v>0</v>
      </c>
      <c r="F293" s="100">
        <f>SUMIF(pro!$A:$A,$V:$V,pro!$N:$N)</f>
        <v>0</v>
      </c>
      <c r="G293" s="649"/>
      <c r="H293" s="100">
        <f>SUMIF(CBIN!$A:$A,BRAN!$V:$V,CBIN!$G:$G)</f>
        <v>0</v>
      </c>
      <c r="I293" s="351">
        <f>SUMIF(data!$D:$D,$B293&amp;$D293,data!$J:$J)</f>
        <v>0</v>
      </c>
      <c r="J293" s="351">
        <f>SUMIF(data!$D:$D,$B293&amp;$D293,data!$K:$K)</f>
        <v>0</v>
      </c>
      <c r="K293" s="100">
        <f>SUMIF(AJOUT!$A:$A,BRAN!$V:$V,AJOUT!$L:$L)</f>
        <v>0</v>
      </c>
      <c r="L293" s="100">
        <f>SUMIF(CBOUT!$A:$A,BRAN!$V:$V,CBOUT!$G:$G)</f>
        <v>0</v>
      </c>
      <c r="M293" s="650">
        <f>E293+F293+H293-I293-L293+G293-K293</f>
        <v>0</v>
      </c>
      <c r="N293" s="351">
        <f>M293*D293</f>
        <v>0</v>
      </c>
      <c r="O293" s="649">
        <f t="shared" si="114"/>
        <v>0</v>
      </c>
      <c r="P293" s="665"/>
      <c r="Q293" s="665"/>
      <c r="R293" s="80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962425</v>
      </c>
      <c r="W293" s="831">
        <v>127001</v>
      </c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351"/>
      <c r="AX293" s="351"/>
      <c r="AY293" s="100"/>
      <c r="AZ293" s="100"/>
      <c r="BA293" s="100"/>
      <c r="BB293" s="100"/>
      <c r="BC293" s="657">
        <f t="shared" si="115"/>
        <v>0</v>
      </c>
      <c r="BD293" s="786">
        <f t="shared" si="116"/>
        <v>0</v>
      </c>
      <c r="BE293" s="786">
        <f t="shared" si="117"/>
        <v>0</v>
      </c>
      <c r="BH293" s="659"/>
    </row>
    <row r="294" spans="1:60" ht="15" customHeight="1">
      <c r="A294" s="68">
        <v>5</v>
      </c>
      <c r="B294" s="162">
        <v>9651</v>
      </c>
      <c r="C294" s="772" t="s">
        <v>61</v>
      </c>
      <c r="D294" s="177">
        <v>25</v>
      </c>
      <c r="E294" s="649">
        <v>0</v>
      </c>
      <c r="F294" s="100">
        <f>SUMIF(pro!$A:$A,$V:$V,pro!$N:$N)</f>
        <v>0</v>
      </c>
      <c r="G294" s="351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 t="shared" ref="M294:M299" si="118">E294+F294+H294-I294-L294+G294-K294</f>
        <v>0</v>
      </c>
      <c r="N294" s="351">
        <f t="shared" ref="N294:N299" si="119">M294*D294</f>
        <v>0</v>
      </c>
      <c r="O294" s="649">
        <f t="shared" si="114"/>
        <v>0</v>
      </c>
      <c r="P294" s="665"/>
      <c r="Q294" s="665"/>
      <c r="R294" s="804">
        <f>O294/INTGRATE!$N$293</f>
        <v>0</v>
      </c>
      <c r="S294" s="665">
        <f t="shared" ref="S294:S299" si="120">IF(R294=0,0,N294/R294)</f>
        <v>0</v>
      </c>
      <c r="T294" s="402"/>
      <c r="U294" s="136"/>
      <c r="V294" s="836" t="str">
        <f t="shared" si="113"/>
        <v>965125</v>
      </c>
      <c r="W294" s="823">
        <v>314001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100"/>
      <c r="AX294" s="351"/>
      <c r="AY294" s="100"/>
      <c r="AZ294" s="100"/>
      <c r="BA294" s="100"/>
      <c r="BB294" s="100"/>
      <c r="BC294" s="657">
        <f t="shared" si="115"/>
        <v>0</v>
      </c>
      <c r="BD294" s="786">
        <f t="shared" si="116"/>
        <v>0</v>
      </c>
      <c r="BE294" s="78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64</v>
      </c>
      <c r="D295" s="6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si="118"/>
        <v>0</v>
      </c>
      <c r="N295" s="351">
        <f t="shared" si="119"/>
        <v>0</v>
      </c>
      <c r="O295" s="649">
        <f t="shared" si="114"/>
        <v>0</v>
      </c>
      <c r="P295" s="665"/>
      <c r="Q295" s="665"/>
      <c r="R295" s="804">
        <f>O295/INTGRATE!$N$293</f>
        <v>0</v>
      </c>
      <c r="S295" s="665">
        <f t="shared" si="120"/>
        <v>0</v>
      </c>
      <c r="T295" s="403"/>
      <c r="U295" s="136"/>
      <c r="V295" s="836" t="str">
        <f t="shared" si="113"/>
        <v>965225</v>
      </c>
      <c r="W295" s="823">
        <v>321001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15"/>
        <v>0</v>
      </c>
      <c r="BD295" s="786">
        <f t="shared" si="116"/>
        <v>0</v>
      </c>
      <c r="BE295" s="786">
        <f t="shared" si="117"/>
        <v>0</v>
      </c>
      <c r="BG295" s="38"/>
    </row>
    <row r="296" spans="1:60" ht="15" customHeight="1">
      <c r="A296" s="68">
        <v>7</v>
      </c>
      <c r="B296" s="77" t="s">
        <v>249</v>
      </c>
      <c r="C296" s="1178" t="s">
        <v>61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18"/>
        <v>0</v>
      </c>
      <c r="N296" s="351">
        <f t="shared" si="119"/>
        <v>0</v>
      </c>
      <c r="O296" s="649">
        <f t="shared" si="114"/>
        <v>0</v>
      </c>
      <c r="P296" s="665">
        <f>+N296+N294</f>
        <v>0</v>
      </c>
      <c r="Q296" s="665">
        <f>+O296+O294</f>
        <v>0</v>
      </c>
      <c r="R296" s="804">
        <f>O296/INTGRATE!$N$293</f>
        <v>0</v>
      </c>
      <c r="S296" s="665">
        <f t="shared" si="120"/>
        <v>0</v>
      </c>
      <c r="T296" s="403"/>
      <c r="U296" s="136"/>
      <c r="V296" s="836" t="str">
        <f t="shared" si="113"/>
        <v>9652S25</v>
      </c>
      <c r="W296" s="823">
        <v>320001</v>
      </c>
      <c r="X296" s="351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51"/>
      <c r="AP296" s="100"/>
      <c r="AQ296" s="351"/>
      <c r="AR296" s="351"/>
      <c r="AS296" s="649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15"/>
        <v>0</v>
      </c>
      <c r="BD296" s="786">
        <f t="shared" si="116"/>
        <v>0</v>
      </c>
      <c r="BE296" s="78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64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18"/>
        <v>0</v>
      </c>
      <c r="N297" s="351">
        <f t="shared" si="119"/>
        <v>0</v>
      </c>
      <c r="O297" s="649">
        <f t="shared" si="114"/>
        <v>0</v>
      </c>
      <c r="P297" s="665">
        <f>+N290+N291+N292+N293</f>
        <v>0</v>
      </c>
      <c r="Q297" s="665">
        <f>+O290+O291+O292+O293</f>
        <v>0</v>
      </c>
      <c r="R297" s="804">
        <f>O297/INTGRATE!$N$293</f>
        <v>0</v>
      </c>
      <c r="S297" s="665">
        <f t="shared" si="120"/>
        <v>0</v>
      </c>
      <c r="T297" s="403"/>
      <c r="U297" s="136"/>
      <c r="V297" s="836" t="str">
        <f t="shared" si="113"/>
        <v>965325</v>
      </c>
      <c r="W297" s="823">
        <v>332301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15"/>
        <v>0</v>
      </c>
      <c r="BD297" s="786">
        <f t="shared" si="116"/>
        <v>0</v>
      </c>
      <c r="BE297" s="786">
        <f t="shared" si="117"/>
        <v>0</v>
      </c>
      <c r="BG297" s="38"/>
    </row>
    <row r="298" spans="1:60" ht="15" customHeight="1">
      <c r="A298" s="68">
        <v>9</v>
      </c>
      <c r="B298" s="777">
        <v>9666</v>
      </c>
      <c r="C298" s="161" t="s">
        <v>64</v>
      </c>
      <c r="D298" s="174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18"/>
        <v>0</v>
      </c>
      <c r="N298" s="351">
        <f t="shared" si="119"/>
        <v>0</v>
      </c>
      <c r="O298" s="649">
        <f t="shared" si="114"/>
        <v>0</v>
      </c>
      <c r="P298" s="665">
        <f>+N295+N297+N298+N299</f>
        <v>0</v>
      </c>
      <c r="Q298" s="665">
        <f>+O295+O297+O298+O299</f>
        <v>0</v>
      </c>
      <c r="R298" s="804">
        <f>O298/INTGRATE!$N$293</f>
        <v>0</v>
      </c>
      <c r="S298" s="665">
        <f t="shared" si="120"/>
        <v>0</v>
      </c>
      <c r="T298" s="403"/>
      <c r="U298" s="136"/>
      <c r="V298" s="836" t="str">
        <f t="shared" si="113"/>
        <v>966625</v>
      </c>
      <c r="W298" s="823">
        <v>366201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15"/>
        <v>0</v>
      </c>
      <c r="BD298" s="786">
        <f t="shared" si="116"/>
        <v>0</v>
      </c>
      <c r="BE298" s="786">
        <f t="shared" si="117"/>
        <v>0</v>
      </c>
      <c r="BG298" s="38"/>
    </row>
    <row r="299" spans="1:60" ht="15" customHeight="1">
      <c r="A299" s="68">
        <v>10</v>
      </c>
      <c r="B299" s="778">
        <v>9667</v>
      </c>
      <c r="C299" s="161" t="s">
        <v>64</v>
      </c>
      <c r="D299" s="178">
        <v>25</v>
      </c>
      <c r="E299" s="649">
        <v>0</v>
      </c>
      <c r="F299" s="100">
        <f>SUMIF(pro!$A:$A,$V:$V,pro!$N:$N)</f>
        <v>0</v>
      </c>
      <c r="G299" s="352"/>
      <c r="H299" s="100">
        <f>SUMIF(CBIN!$A:$A,BRAN!$V:$V,CBIN!$G:$G)</f>
        <v>0</v>
      </c>
      <c r="I299" s="352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18"/>
        <v>0</v>
      </c>
      <c r="N299" s="351">
        <f t="shared" si="119"/>
        <v>0</v>
      </c>
      <c r="O299" s="649">
        <f t="shared" si="114"/>
        <v>0</v>
      </c>
      <c r="P299" s="1179"/>
      <c r="Q299" s="1179"/>
      <c r="R299" s="804">
        <f>O299/INTGRATE!$N$293</f>
        <v>0</v>
      </c>
      <c r="S299" s="665">
        <f t="shared" si="120"/>
        <v>0</v>
      </c>
      <c r="T299" s="402"/>
      <c r="U299" s="148"/>
      <c r="V299" s="836" t="str">
        <f t="shared" si="113"/>
        <v>966725</v>
      </c>
      <c r="W299" s="823">
        <v>367201</v>
      </c>
      <c r="X299" s="352"/>
      <c r="Y299" s="558"/>
      <c r="Z299" s="558"/>
      <c r="AA299" s="558"/>
      <c r="AB299" s="558"/>
      <c r="AC299" s="558"/>
      <c r="AD299" s="100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351"/>
      <c r="AP299" s="558"/>
      <c r="AQ299" s="351"/>
      <c r="AR299" s="351"/>
      <c r="AS299" s="649"/>
      <c r="AT299" s="558"/>
      <c r="AU299" s="558"/>
      <c r="AV299" s="558"/>
      <c r="AW299" s="558"/>
      <c r="AX299" s="351"/>
      <c r="AY299" s="558"/>
      <c r="AZ299" s="558"/>
      <c r="BA299" s="558"/>
      <c r="BB299" s="558"/>
      <c r="BC299" s="657">
        <f t="shared" si="115"/>
        <v>0</v>
      </c>
      <c r="BD299" s="786">
        <f t="shared" si="116"/>
        <v>0</v>
      </c>
      <c r="BE299" s="786">
        <f t="shared" si="117"/>
        <v>0</v>
      </c>
      <c r="BG299" s="38"/>
    </row>
    <row r="300" spans="1:60" s="59" customFormat="1" ht="15" customHeight="1">
      <c r="A300" s="1099" t="s">
        <v>71</v>
      </c>
      <c r="B300" s="1100"/>
      <c r="C300" s="1100"/>
      <c r="D300" s="1101"/>
      <c r="E300" s="113"/>
      <c r="F300" s="113"/>
      <c r="G300" s="113"/>
      <c r="H300" s="113"/>
      <c r="I300" s="113"/>
      <c r="J300" s="113"/>
      <c r="K300" s="113"/>
      <c r="L300" s="113"/>
      <c r="M300" s="479"/>
      <c r="N300" s="113"/>
      <c r="O300" s="113"/>
      <c r="P300" s="113"/>
      <c r="Q300" s="113"/>
      <c r="R300" s="113"/>
      <c r="S300" s="114"/>
      <c r="T300" s="462"/>
      <c r="U300" s="113"/>
      <c r="V300" s="844" t="str">
        <f t="shared" si="113"/>
        <v/>
      </c>
      <c r="W300" s="84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439"/>
    </row>
    <row r="301" spans="1:60" s="59" customFormat="1" ht="15" customHeight="1">
      <c r="A301" s="1099" t="s">
        <v>72</v>
      </c>
      <c r="B301" s="1100"/>
      <c r="C301" s="1100"/>
      <c r="D301" s="1101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105" t="e">
        <f>N305/R303</f>
        <v>#DIV/0!</v>
      </c>
      <c r="U301" s="155">
        <f>SUM(U294:U299)*25</f>
        <v>0</v>
      </c>
      <c r="V301" s="839" t="str">
        <f t="shared" si="113"/>
        <v/>
      </c>
      <c r="W301" s="82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439"/>
    </row>
    <row r="302" spans="1:60" s="59" customFormat="1" ht="15" customHeight="1">
      <c r="A302" s="1099" t="s">
        <v>73</v>
      </c>
      <c r="B302" s="1100"/>
      <c r="C302" s="1100"/>
      <c r="D302" s="1101"/>
      <c r="E302" s="113"/>
      <c r="F302" s="113"/>
      <c r="G302" s="113"/>
      <c r="H302" s="113"/>
      <c r="I302" s="113"/>
      <c r="J302" s="113"/>
      <c r="K302" s="113"/>
      <c r="L302" s="113"/>
      <c r="M302" s="479"/>
      <c r="N302" s="113"/>
      <c r="O302" s="113"/>
      <c r="P302" s="113"/>
      <c r="Q302" s="113"/>
      <c r="R302" s="113"/>
      <c r="S302" s="114"/>
      <c r="T302" s="1106"/>
      <c r="U302" s="155"/>
      <c r="V302" s="839" t="str">
        <f t="shared" si="113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129" customFormat="1" ht="15" customHeight="1">
      <c r="A303" s="1109" t="s">
        <v>75</v>
      </c>
      <c r="B303" s="1110"/>
      <c r="C303" s="1110"/>
      <c r="D303" s="1111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478">
        <f t="shared" si="124"/>
        <v>0</v>
      </c>
      <c r="N303" s="73">
        <f t="shared" si="124"/>
        <v>0</v>
      </c>
      <c r="O303" s="767">
        <f>+O305-O304</f>
        <v>0</v>
      </c>
      <c r="P303" s="186"/>
      <c r="Q303" s="186"/>
      <c r="R303" s="1095">
        <f>SUM(R294:R299)</f>
        <v>0</v>
      </c>
      <c r="S303" s="1097" t="s">
        <v>250</v>
      </c>
      <c r="T303" s="1117"/>
      <c r="U303" s="142">
        <f>SUM(U294:U299)</f>
        <v>0</v>
      </c>
      <c r="V303" s="834" t="str">
        <f t="shared" si="113"/>
        <v/>
      </c>
      <c r="W303" s="83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354"/>
      <c r="BD303" s="354"/>
      <c r="BE303" s="354"/>
      <c r="BF303" s="354"/>
      <c r="BG303" s="354"/>
      <c r="BH303" s="439"/>
    </row>
    <row r="304" spans="1:60" s="129" customFormat="1" ht="15" customHeight="1">
      <c r="A304" s="1099" t="s">
        <v>74</v>
      </c>
      <c r="B304" s="1100"/>
      <c r="C304" s="1100"/>
      <c r="D304" s="1101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767">
        <f>+O290+O291+O292</f>
        <v>0</v>
      </c>
      <c r="P304" s="596"/>
      <c r="Q304" s="596"/>
      <c r="R304" s="1127"/>
      <c r="S304" s="1126"/>
      <c r="T304" s="1117"/>
      <c r="U304" s="142"/>
      <c r="V304" s="834"/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71" customFormat="1" ht="15" customHeight="1">
      <c r="A305" s="1099" t="s">
        <v>77</v>
      </c>
      <c r="B305" s="1100"/>
      <c r="C305" s="1100"/>
      <c r="D305" s="1101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767">
        <f>+SUM(O290:O299)</f>
        <v>0</v>
      </c>
      <c r="P305" s="187"/>
      <c r="Q305" s="187"/>
      <c r="R305" s="1096"/>
      <c r="S305" s="1098"/>
      <c r="T305" s="1118"/>
      <c r="U305" s="142">
        <f>SUM(U300:U302)</f>
        <v>0</v>
      </c>
      <c r="V305" s="834" t="str">
        <f t="shared" si="113"/>
        <v/>
      </c>
      <c r="W305" s="83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439"/>
    </row>
    <row r="306" spans="1:151" s="71" customFormat="1" ht="15" customHeight="1">
      <c r="A306" s="286" t="s">
        <v>174</v>
      </c>
      <c r="B306" s="37"/>
      <c r="C306" s="37"/>
      <c r="D306" s="37"/>
      <c r="E306" s="130"/>
      <c r="F306" s="37"/>
      <c r="G306" s="37"/>
      <c r="H306" s="37"/>
      <c r="I306" s="37"/>
      <c r="J306" s="37"/>
      <c r="K306" s="37"/>
      <c r="L306" s="37"/>
      <c r="M306" s="472"/>
      <c r="N306" s="37"/>
      <c r="O306" s="37"/>
      <c r="P306" s="37"/>
      <c r="Q306" s="37"/>
      <c r="R306" s="37"/>
      <c r="S306" s="37"/>
      <c r="T306" s="458"/>
      <c r="U306" s="145"/>
      <c r="V306" s="834" t="str">
        <f t="shared" si="113"/>
        <v/>
      </c>
      <c r="W306" s="83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439"/>
    </row>
    <row r="307" spans="1:151" s="71" customFormat="1" ht="15" customHeight="1">
      <c r="A307" s="286" t="s">
        <v>175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465"/>
      <c r="N307" s="38"/>
      <c r="O307" s="38"/>
      <c r="P307" s="38"/>
      <c r="Q307" s="38"/>
      <c r="R307" s="38"/>
      <c r="S307" s="38"/>
      <c r="T307" s="459"/>
      <c r="U307" s="134"/>
      <c r="V307" s="834" t="str">
        <f t="shared" si="113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176</v>
      </c>
      <c r="B308" s="362"/>
      <c r="C308" s="362"/>
      <c r="D308" s="362"/>
      <c r="E308" s="362"/>
      <c r="F308" s="362"/>
      <c r="G308" s="362"/>
      <c r="H308" s="362"/>
      <c r="I308" s="362"/>
      <c r="J308" s="362"/>
      <c r="K308" s="362"/>
      <c r="L308" s="362"/>
      <c r="M308" s="473"/>
      <c r="N308" s="362"/>
      <c r="O308" s="362"/>
      <c r="P308" s="362"/>
      <c r="Q308" s="362"/>
      <c r="R308" s="362"/>
      <c r="S308" s="362"/>
      <c r="T308" s="460"/>
      <c r="U308" s="134"/>
      <c r="V308" s="834" t="str">
        <f t="shared" si="113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ht="15" customHeight="1">
      <c r="A309" s="443" t="s">
        <v>20</v>
      </c>
      <c r="B309" s="443"/>
      <c r="C309" s="443"/>
      <c r="D309" s="443"/>
      <c r="E309" s="443"/>
      <c r="F309" s="443"/>
      <c r="G309" s="443"/>
      <c r="H309" s="443"/>
      <c r="I309" s="443"/>
      <c r="J309" s="443"/>
      <c r="K309" s="443"/>
      <c r="L309" s="443"/>
      <c r="M309" s="468"/>
      <c r="N309" s="443"/>
      <c r="O309" s="443"/>
      <c r="P309" s="443"/>
      <c r="Q309" s="443"/>
      <c r="R309" s="443"/>
      <c r="S309" s="443"/>
      <c r="T309" s="78"/>
      <c r="U309" s="139"/>
      <c r="V309" s="839" t="str">
        <f t="shared" si="113"/>
        <v/>
      </c>
      <c r="AB309" s="290"/>
    </row>
    <row r="310" spans="1:151" ht="15" customHeight="1">
      <c r="A310" s="444" t="s">
        <v>78</v>
      </c>
      <c r="B310" s="444"/>
      <c r="C310" s="444"/>
      <c r="D310" s="444"/>
      <c r="E310" s="444"/>
      <c r="F310" s="444"/>
      <c r="G310" s="444"/>
      <c r="H310" s="444"/>
      <c r="I310" s="444"/>
      <c r="J310" s="444"/>
      <c r="K310" s="444"/>
      <c r="L310" s="444"/>
      <c r="M310" s="469"/>
      <c r="N310" s="444"/>
      <c r="O310" s="444"/>
      <c r="P310" s="444"/>
      <c r="Q310" s="444"/>
      <c r="R310" s="444"/>
      <c r="S310" s="444"/>
      <c r="T310" s="407"/>
      <c r="U310" s="140"/>
      <c r="V310" s="839" t="str">
        <f t="shared" si="113"/>
        <v/>
      </c>
    </row>
    <row r="311" spans="1:151" s="63" customFormat="1" ht="32.25" customHeight="1">
      <c r="A311" s="925" t="s">
        <v>22</v>
      </c>
      <c r="B311" s="916" t="s">
        <v>23</v>
      </c>
      <c r="C311" s="916" t="s">
        <v>24</v>
      </c>
      <c r="D311" s="928" t="s">
        <v>178</v>
      </c>
      <c r="E311" s="61" t="s">
        <v>26</v>
      </c>
      <c r="F311" s="931" t="s">
        <v>27</v>
      </c>
      <c r="G311" s="936"/>
      <c r="H311" s="932"/>
      <c r="I311" s="931" t="s">
        <v>28</v>
      </c>
      <c r="J311" s="936"/>
      <c r="K311" s="936"/>
      <c r="L311" s="936"/>
      <c r="M311" s="931" t="s">
        <v>29</v>
      </c>
      <c r="N311" s="932"/>
      <c r="O311" s="183" t="s">
        <v>30</v>
      </c>
      <c r="P311" s="183"/>
      <c r="Q311" s="183"/>
      <c r="R311" s="183" t="s">
        <v>31</v>
      </c>
      <c r="S311" s="928" t="s">
        <v>32</v>
      </c>
      <c r="T311" s="1049" t="s">
        <v>33</v>
      </c>
      <c r="U311" s="881" t="s">
        <v>34</v>
      </c>
      <c r="V311" s="830"/>
      <c r="W311" s="83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437"/>
    </row>
    <row r="312" spans="1:151" s="63" customFormat="1" ht="44.25" customHeight="1">
      <c r="A312" s="926"/>
      <c r="B312" s="917"/>
      <c r="C312" s="917"/>
      <c r="D312" s="929" t="s">
        <v>35</v>
      </c>
      <c r="E312" s="64" t="s">
        <v>36</v>
      </c>
      <c r="F312" s="680" t="s">
        <v>37</v>
      </c>
      <c r="G312" s="512" t="s">
        <v>38</v>
      </c>
      <c r="H312" s="681" t="s">
        <v>39</v>
      </c>
      <c r="I312" s="931" t="s">
        <v>40</v>
      </c>
      <c r="J312" s="936"/>
      <c r="K312" s="512" t="s">
        <v>41</v>
      </c>
      <c r="L312" s="681" t="s">
        <v>42</v>
      </c>
      <c r="M312" s="931" t="s">
        <v>43</v>
      </c>
      <c r="N312" s="932"/>
      <c r="O312" s="683" t="s">
        <v>44</v>
      </c>
      <c r="P312" s="184"/>
      <c r="Q312" s="184"/>
      <c r="R312" s="683" t="s">
        <v>45</v>
      </c>
      <c r="S312" s="929"/>
      <c r="T312" s="1050"/>
      <c r="U312" s="882"/>
      <c r="V312" s="830" t="str">
        <f t="shared" ref="V312:V319" si="127">B312&amp;D312</f>
        <v>SIZE</v>
      </c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17.25" customHeight="1">
      <c r="A313" s="927"/>
      <c r="B313" s="918"/>
      <c r="C313" s="918"/>
      <c r="D313" s="930" t="s">
        <v>46</v>
      </c>
      <c r="E313" s="64" t="s">
        <v>47</v>
      </c>
      <c r="F313" s="64" t="s">
        <v>47</v>
      </c>
      <c r="G313" s="64" t="s">
        <v>47</v>
      </c>
      <c r="H313" s="64" t="s">
        <v>47</v>
      </c>
      <c r="I313" s="64" t="s">
        <v>47</v>
      </c>
      <c r="J313" s="64" t="s">
        <v>46</v>
      </c>
      <c r="K313" s="64" t="s">
        <v>47</v>
      </c>
      <c r="L313" s="64" t="s">
        <v>47</v>
      </c>
      <c r="M313" s="64" t="s">
        <v>47</v>
      </c>
      <c r="N313" s="65" t="s">
        <v>46</v>
      </c>
      <c r="O313" s="65" t="s">
        <v>46</v>
      </c>
      <c r="P313" s="185"/>
      <c r="Q313" s="185"/>
      <c r="R313" s="65" t="s">
        <v>48</v>
      </c>
      <c r="S313" s="930"/>
      <c r="T313" s="1051"/>
      <c r="U313" s="684" t="s">
        <v>47</v>
      </c>
      <c r="V313" s="835" t="str">
        <f t="shared" si="127"/>
        <v>(Kg)</v>
      </c>
      <c r="W313" s="831"/>
      <c r="X313" s="311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49</v>
      </c>
      <c r="BD313" s="785" t="s">
        <v>85</v>
      </c>
      <c r="BE313" s="785" t="s">
        <v>86</v>
      </c>
      <c r="BH313" s="437"/>
    </row>
    <row r="314" spans="1:151" s="63" customFormat="1" ht="15" customHeight="1">
      <c r="A314" s="68">
        <v>1</v>
      </c>
      <c r="B314" s="628">
        <v>6824</v>
      </c>
      <c r="C314" s="628" t="s">
        <v>79</v>
      </c>
      <c r="D314" s="629">
        <v>25</v>
      </c>
      <c r="E314" s="631">
        <v>0</v>
      </c>
      <c r="F314" s="100">
        <f>SUMIF(pro!$A:$A,$V:$V,pro!$N:$N)</f>
        <v>0</v>
      </c>
      <c r="G314" s="351"/>
      <c r="H314" s="100">
        <f>SUMIF(CBIN!$A:$A,BRAN!$V:$V,CBIN!$G:$G)</f>
        <v>0</v>
      </c>
      <c r="I314" s="351">
        <f>SUMIF(data!$D:$D,$B314&amp;$D314,data!$J:$J)</f>
        <v>0</v>
      </c>
      <c r="J314" s="351">
        <f>SUMIF(data!$D:$D,$B314&amp;$D314,data!$K:$K)</f>
        <v>0</v>
      </c>
      <c r="K314" s="100">
        <f>SUMIF(AJOUT!$A:$A,BRAN!$V:$V,AJOUT!$L:$L)</f>
        <v>0</v>
      </c>
      <c r="L314" s="100">
        <f>SUMIF(CBOUT!$A:$A,BRAN!$V:$V,CBOUT!$G:$G)</f>
        <v>0</v>
      </c>
      <c r="M314" s="650">
        <v>0</v>
      </c>
      <c r="N314" s="351">
        <f>M314*D314</f>
        <v>0</v>
      </c>
      <c r="O314" s="1161">
        <f t="shared" ref="O314:O319" si="128">SUM(X314:BB314)</f>
        <v>0</v>
      </c>
      <c r="P314" s="665"/>
      <c r="Q314" s="665"/>
      <c r="R314" s="804">
        <f>O314/INTGRATE!$N$293</f>
        <v>0</v>
      </c>
      <c r="S314" s="665">
        <f t="shared" ref="S314:S319" si="129">IF(R314=0,0,N314/R314)</f>
        <v>0</v>
      </c>
      <c r="T314" s="401"/>
      <c r="U314" s="136"/>
      <c r="V314" s="836" t="str">
        <f t="shared" si="127"/>
        <v>682425</v>
      </c>
      <c r="W314" s="831">
        <v>127800</v>
      </c>
      <c r="X314" s="68"/>
      <c r="Y314" s="68">
        <v>0</v>
      </c>
      <c r="Z314" s="390">
        <v>0</v>
      </c>
      <c r="AA314" s="100">
        <v>0</v>
      </c>
      <c r="AB314" s="100">
        <v>0</v>
      </c>
      <c r="AC314" s="100">
        <v>0</v>
      </c>
      <c r="AD314" s="351"/>
      <c r="AE314" s="100"/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351"/>
      <c r="AR314" s="100"/>
      <c r="AS314" s="100"/>
      <c r="AT314" s="100"/>
      <c r="AU314" s="100"/>
      <c r="AV314" s="100"/>
      <c r="AW314" s="100"/>
      <c r="AX314" s="351"/>
      <c r="AY314" s="100"/>
      <c r="AZ314" s="100"/>
      <c r="BA314" s="100"/>
      <c r="BB314" s="100"/>
      <c r="BC314" s="275">
        <f t="shared" ref="BC314:BC315" si="130">SUM(X314:BB314)</f>
        <v>0</v>
      </c>
      <c r="BD314" s="786">
        <f>COUNTIF(X314:BB314,"&gt;0")</f>
        <v>0</v>
      </c>
      <c r="BE314" s="786">
        <f>IFERROR(BC314/BD314,0)</f>
        <v>0</v>
      </c>
      <c r="BH314" s="437"/>
    </row>
    <row r="315" spans="1:151" s="63" customFormat="1" ht="15" customHeight="1">
      <c r="A315" s="68">
        <v>2</v>
      </c>
      <c r="B315" s="628">
        <v>6824</v>
      </c>
      <c r="C315" s="628" t="s">
        <v>79</v>
      </c>
      <c r="D315" s="629" t="s">
        <v>66</v>
      </c>
      <c r="E315" s="626">
        <v>0</v>
      </c>
      <c r="F315" s="100">
        <f>+J315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v>0</v>
      </c>
      <c r="O315" s="1161">
        <f t="shared" si="128"/>
        <v>0</v>
      </c>
      <c r="P315" s="665"/>
      <c r="Q315" s="665"/>
      <c r="R315" s="804">
        <f>O315/INTGRATE!$N$293</f>
        <v>0</v>
      </c>
      <c r="S315" s="665">
        <f t="shared" si="129"/>
        <v>0</v>
      </c>
      <c r="T315" s="401"/>
      <c r="U315" s="136"/>
      <c r="V315" s="836" t="str">
        <f t="shared" si="127"/>
        <v>6824SILO</v>
      </c>
      <c r="W315" s="831">
        <v>127800</v>
      </c>
      <c r="X315" s="68"/>
      <c r="Y315" s="68">
        <v>0</v>
      </c>
      <c r="Z315" s="390">
        <v>0</v>
      </c>
      <c r="AA315" s="100">
        <v>0</v>
      </c>
      <c r="AB315" s="100">
        <v>0</v>
      </c>
      <c r="AC315" s="100">
        <v>0</v>
      </c>
      <c r="AD315" s="351"/>
      <c r="AE315" s="100"/>
      <c r="AF315" s="100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si="130"/>
        <v>0</v>
      </c>
      <c r="BD315" s="786">
        <f t="shared" ref="BD315" si="131">COUNTIF(X315:BB315,"&gt;0")</f>
        <v>0</v>
      </c>
      <c r="BE315" s="786">
        <f t="shared" ref="BE315" si="132">IFERROR(BC315/BD315,0)</f>
        <v>0</v>
      </c>
      <c r="BH315" s="437"/>
    </row>
    <row r="316" spans="1:151" s="108" customFormat="1" ht="15" customHeight="1">
      <c r="A316" s="68">
        <v>3</v>
      </c>
      <c r="B316" s="175">
        <v>6911</v>
      </c>
      <c r="C316" s="175" t="s">
        <v>61</v>
      </c>
      <c r="D316" s="176">
        <v>25</v>
      </c>
      <c r="E316" s="649">
        <v>0</v>
      </c>
      <c r="F316" s="100">
        <f>SUMIF(pro!$A:$A,$V:$V,pro!$N:$N)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f>E316+F316+H316-I316-L316+G316-K316</f>
        <v>0</v>
      </c>
      <c r="N316" s="351">
        <f>M316*D316</f>
        <v>0</v>
      </c>
      <c r="O316" s="1161">
        <f t="shared" si="128"/>
        <v>0</v>
      </c>
      <c r="P316" s="665"/>
      <c r="Q316" s="665"/>
      <c r="R316" s="804">
        <f>O316/INTGRATE!$N$293</f>
        <v>0</v>
      </c>
      <c r="S316" s="665">
        <f t="shared" si="129"/>
        <v>0</v>
      </c>
      <c r="T316" s="401"/>
      <c r="U316" s="136"/>
      <c r="V316" s="836" t="str">
        <f t="shared" si="127"/>
        <v>691125</v>
      </c>
      <c r="W316" s="823">
        <v>115701</v>
      </c>
      <c r="X316" s="68"/>
      <c r="Y316" s="68">
        <v>0</v>
      </c>
      <c r="Z316" s="390">
        <v>0</v>
      </c>
      <c r="AA316" s="100">
        <v>0</v>
      </c>
      <c r="AB316" s="100">
        <v>0</v>
      </c>
      <c r="AC316" s="100">
        <v>0</v>
      </c>
      <c r="AD316" s="351"/>
      <c r="AE316" s="100"/>
      <c r="AF316" s="100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351"/>
      <c r="AX316" s="351"/>
      <c r="AY316" s="100"/>
      <c r="AZ316" s="100"/>
      <c r="BA316" s="100"/>
      <c r="BB316" s="100"/>
      <c r="BC316" s="275">
        <f t="shared" ref="BC316:BC330" si="133">SUM(X316:BB316)</f>
        <v>0</v>
      </c>
      <c r="BD316" s="786">
        <f t="shared" ref="BD316:BD330" si="134">COUNTIF(X316:BB316,"&gt;0")</f>
        <v>0</v>
      </c>
      <c r="BE316" s="786">
        <f t="shared" ref="BE316:BE330" si="135">IFERROR(BC316/BD316,0)</f>
        <v>0</v>
      </c>
      <c r="BF316" s="58"/>
      <c r="BG316" s="58"/>
      <c r="BH316" s="43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630">
        <v>6924</v>
      </c>
      <c r="C317" s="630" t="s">
        <v>80</v>
      </c>
      <c r="D317" s="629">
        <v>25</v>
      </c>
      <c r="E317" s="649">
        <v>1048</v>
      </c>
      <c r="F317" s="100">
        <f>SUMIF(pro!$A:$A,$V:$V,pro!$N:$N)</f>
        <v>0</v>
      </c>
      <c r="G317" s="351"/>
      <c r="H317" s="100">
        <f>SUMIF(CBIN!$A:$A,BRAN!$V:$V,CBIN!$G:$G)</f>
        <v>0</v>
      </c>
      <c r="I317" s="351">
        <f>SUMIF(data!$D:$D,$B317&amp;$D317,data!$J:$J)</f>
        <v>139</v>
      </c>
      <c r="J317" s="351">
        <f>SUMIF(data!$D:$D,$B317&amp;$D317,data!$K:$K)</f>
        <v>3475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909</v>
      </c>
      <c r="N317" s="351">
        <f>M317*D317</f>
        <v>22725</v>
      </c>
      <c r="O317" s="1161">
        <f t="shared" si="128"/>
        <v>7200</v>
      </c>
      <c r="P317" s="665"/>
      <c r="Q317" s="665"/>
      <c r="R317" s="804">
        <f>O317/INTGRATE!$N$293</f>
        <v>1440</v>
      </c>
      <c r="S317" s="665">
        <f t="shared" si="129"/>
        <v>15.78125</v>
      </c>
      <c r="T317" s="401"/>
      <c r="U317" s="136"/>
      <c r="V317" s="836" t="str">
        <f t="shared" si="127"/>
        <v>692425</v>
      </c>
      <c r="W317" s="831">
        <v>127801</v>
      </c>
      <c r="X317" s="68"/>
      <c r="Y317" s="68">
        <v>1625</v>
      </c>
      <c r="Z317" s="390">
        <v>0</v>
      </c>
      <c r="AA317" s="100">
        <v>2100</v>
      </c>
      <c r="AB317" s="100">
        <v>0</v>
      </c>
      <c r="AC317" s="100">
        <v>3475</v>
      </c>
      <c r="AD317" s="351"/>
      <c r="AE317" s="100"/>
      <c r="AF317" s="100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100"/>
      <c r="AX317" s="351"/>
      <c r="AY317" s="100"/>
      <c r="AZ317" s="100"/>
      <c r="BA317" s="100"/>
      <c r="BB317" s="100"/>
      <c r="BC317" s="275">
        <f t="shared" si="133"/>
        <v>7200</v>
      </c>
      <c r="BD317" s="786">
        <f t="shared" si="134"/>
        <v>3</v>
      </c>
      <c r="BE317" s="786">
        <f t="shared" si="135"/>
        <v>2400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630" t="s">
        <v>81</v>
      </c>
      <c r="C318" s="630" t="s">
        <v>80</v>
      </c>
      <c r="D318" s="629">
        <v>25</v>
      </c>
      <c r="E318" s="649">
        <v>0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0</v>
      </c>
      <c r="N318" s="351">
        <f>M318*D318</f>
        <v>0</v>
      </c>
      <c r="O318" s="1161">
        <f t="shared" si="128"/>
        <v>0</v>
      </c>
      <c r="P318" s="665"/>
      <c r="Q318" s="665"/>
      <c r="R318" s="804">
        <f>O318/INTGRATE!$N$293</f>
        <v>0</v>
      </c>
      <c r="S318" s="665">
        <f t="shared" si="129"/>
        <v>0</v>
      </c>
      <c r="T318" s="401"/>
      <c r="U318" s="136"/>
      <c r="V318" s="836" t="str">
        <f>B318&amp;D318</f>
        <v>6924P25</v>
      </c>
      <c r="W318" s="831">
        <v>127808</v>
      </c>
      <c r="X318" s="68"/>
      <c r="Y318" s="68">
        <v>0</v>
      </c>
      <c r="Z318" s="390">
        <v>0</v>
      </c>
      <c r="AA318" s="100">
        <v>0</v>
      </c>
      <c r="AB318" s="100">
        <v>0</v>
      </c>
      <c r="AC318" s="100">
        <v>0</v>
      </c>
      <c r="AD318" s="351"/>
      <c r="AE318" s="100"/>
      <c r="AF318" s="100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3"/>
        <v>0</v>
      </c>
      <c r="BD318" s="786">
        <f t="shared" si="134"/>
        <v>0</v>
      </c>
      <c r="BE318" s="786">
        <f t="shared" si="135"/>
        <v>0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49">
        <v>6948</v>
      </c>
      <c r="C319" s="349" t="s">
        <v>55</v>
      </c>
      <c r="D319" s="660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1">
        <f t="shared" si="128"/>
        <v>0</v>
      </c>
      <c r="P319" s="665">
        <f>+N319</f>
        <v>0</v>
      </c>
      <c r="Q319" s="665">
        <f>+O319</f>
        <v>0</v>
      </c>
      <c r="R319" s="804">
        <f>O319/INTGRATE!$N$293</f>
        <v>0</v>
      </c>
      <c r="S319" s="665">
        <f t="shared" si="129"/>
        <v>0</v>
      </c>
      <c r="T319" s="401"/>
      <c r="U319" s="136"/>
      <c r="V319" s="836" t="str">
        <f t="shared" si="127"/>
        <v>694825</v>
      </c>
      <c r="W319" s="823">
        <v>201101</v>
      </c>
      <c r="X319" s="68"/>
      <c r="Y319" s="68">
        <v>0</v>
      </c>
      <c r="Z319" s="390">
        <v>0</v>
      </c>
      <c r="AA319" s="100">
        <v>0</v>
      </c>
      <c r="AB319" s="100">
        <v>0</v>
      </c>
      <c r="AC319" s="100">
        <v>0</v>
      </c>
      <c r="AD319" s="351"/>
      <c r="AE319" s="100"/>
      <c r="AF319" s="100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3"/>
        <v>0</v>
      </c>
      <c r="BD319" s="786">
        <f t="shared" si="134"/>
        <v>0</v>
      </c>
      <c r="BE319" s="786">
        <f t="shared" si="135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49">
        <v>6949</v>
      </c>
      <c r="C320" s="349" t="s">
        <v>64</v>
      </c>
      <c r="D320" s="660">
        <v>25</v>
      </c>
      <c r="E320" s="649">
        <v>58</v>
      </c>
      <c r="F320" s="100">
        <f>SUMIF(pro!$A:$A,$V:$V,pro!$N:$N)</f>
        <v>0</v>
      </c>
      <c r="G320" s="351"/>
      <c r="H320" s="100">
        <f>SUMIF(CBIN!$A:$A,BRAN!$V:$V,CBIN!$G:$G)</f>
        <v>0</v>
      </c>
      <c r="I320" s="351">
        <f>SUMIF(data!$D:$D,$B320&amp;$D320,data!$J:$J)</f>
        <v>0</v>
      </c>
      <c r="J320" s="351">
        <f>SUMIF(data!$D:$D,$B320&amp;$D320,data!$K:$K)</f>
        <v>0</v>
      </c>
      <c r="K320" s="100">
        <f>SUMIF(AJOUT!$A:$A,BRAN!$V:$V,AJOUT!$L:$L)</f>
        <v>0</v>
      </c>
      <c r="L320" s="100">
        <f>SUMIF(CBOUT!$A:$A,BRAN!$V:$V,CBOUT!$G:$G)</f>
        <v>0</v>
      </c>
      <c r="M320" s="650">
        <f t="shared" ref="M320:M329" si="136">E320+F320+H320-I320-L320+G320-K320</f>
        <v>58</v>
      </c>
      <c r="N320" s="351">
        <f t="shared" ref="N320:N329" si="137">M320*D320</f>
        <v>1450</v>
      </c>
      <c r="O320" s="1161">
        <f t="shared" ref="O320:O329" si="138">SUM(X320:BB320)</f>
        <v>11300</v>
      </c>
      <c r="P320" s="665">
        <f>SUM(N314:N330)-P319-P323-P324-P325</f>
        <v>39725</v>
      </c>
      <c r="Q320" s="665">
        <f>SUM(O314:O330)-Q319-Q323-Q324-Q325</f>
        <v>32250</v>
      </c>
      <c r="R320" s="804">
        <f>O320/INTGRATE!$N$293</f>
        <v>2260</v>
      </c>
      <c r="S320" s="665">
        <f t="shared" ref="S320:S329" si="139">IF(R320=0,0,N320/R320)</f>
        <v>0.6415929203539823</v>
      </c>
      <c r="T320" s="401"/>
      <c r="U320" s="136"/>
      <c r="V320" s="836" t="str">
        <f t="shared" ref="V320:V329" si="140">B320&amp;D320</f>
        <v>694925</v>
      </c>
      <c r="W320" s="823">
        <v>203701</v>
      </c>
      <c r="X320" s="68"/>
      <c r="Y320" s="68">
        <v>1250</v>
      </c>
      <c r="Z320" s="390">
        <v>0</v>
      </c>
      <c r="AA320" s="100">
        <v>2925</v>
      </c>
      <c r="AB320" s="100">
        <v>7125</v>
      </c>
      <c r="AC320" s="100">
        <v>0</v>
      </c>
      <c r="AD320" s="1162"/>
      <c r="AE320" s="100"/>
      <c r="AF320" s="100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3"/>
        <v>11300</v>
      </c>
      <c r="BD320" s="786">
        <f t="shared" si="134"/>
        <v>3</v>
      </c>
      <c r="BE320" s="786">
        <f t="shared" si="135"/>
        <v>3766.6666666666665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2">
        <v>6951</v>
      </c>
      <c r="C321" s="772" t="s">
        <v>61</v>
      </c>
      <c r="D321" s="177">
        <v>25</v>
      </c>
      <c r="E321" s="649">
        <v>929</v>
      </c>
      <c r="F321" s="100">
        <f>SUMIF(pro!$A:$A,$V:$V,pro!$N:$N)</f>
        <v>0</v>
      </c>
      <c r="G321" s="351"/>
      <c r="H321" s="100"/>
      <c r="I321" s="351">
        <f>SUMIF(data!$D:$D,$B321&amp;$D321,data!$J:$J)</f>
        <v>134</v>
      </c>
      <c r="J321" s="351">
        <f>SUMIF(data!$D:$D,$B321&amp;$D321,data!$K:$K)</f>
        <v>3350</v>
      </c>
      <c r="K321" s="100">
        <f>SUMIF(AJOUT!$A:$A,BRAN!$V:$V,AJOUT!$L:$L)</f>
        <v>1</v>
      </c>
      <c r="L321" s="100">
        <f>SUMIF(CBOUT!$A:$A,BRAN!$V:$V,CBOUT!$G:$G)</f>
        <v>0</v>
      </c>
      <c r="M321" s="650">
        <f t="shared" si="136"/>
        <v>794</v>
      </c>
      <c r="N321" s="351">
        <f t="shared" ref="N321" si="141">M321*D321</f>
        <v>19850</v>
      </c>
      <c r="O321" s="1161">
        <f t="shared" ref="O321" si="142">SUM(X321:BB321)</f>
        <v>7300</v>
      </c>
      <c r="P321" s="665"/>
      <c r="Q321" s="665"/>
      <c r="R321" s="804">
        <f>O321/INTGRATE!$N$293</f>
        <v>1460</v>
      </c>
      <c r="S321" s="665">
        <f t="shared" ref="S321:S323" si="143">IF(R321=0,0,N321/R321)</f>
        <v>13.595890410958905</v>
      </c>
      <c r="T321" s="401"/>
      <c r="U321" s="136"/>
      <c r="V321" s="836" t="str">
        <f t="shared" si="140"/>
        <v>695125</v>
      </c>
      <c r="W321" s="823">
        <v>314081</v>
      </c>
      <c r="X321" s="68"/>
      <c r="Y321" s="68">
        <v>250</v>
      </c>
      <c r="Z321" s="390">
        <v>1025</v>
      </c>
      <c r="AA321" s="100">
        <v>1500</v>
      </c>
      <c r="AB321" s="100">
        <v>1175</v>
      </c>
      <c r="AC321" s="100">
        <v>3350</v>
      </c>
      <c r="AD321" s="1162"/>
      <c r="AE321" s="100"/>
      <c r="AF321" s="100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162"/>
      <c r="AR321" s="100"/>
      <c r="AS321" s="100"/>
      <c r="AT321" s="100"/>
      <c r="AU321" s="100"/>
      <c r="AV321" s="100"/>
      <c r="AW321" s="100"/>
      <c r="AX321" s="1162"/>
      <c r="AY321" s="100"/>
      <c r="AZ321" s="100"/>
      <c r="BA321" s="100"/>
      <c r="BB321" s="100"/>
      <c r="BC321" s="275">
        <f t="shared" si="133"/>
        <v>7300</v>
      </c>
      <c r="BD321" s="786">
        <f t="shared" si="134"/>
        <v>5</v>
      </c>
      <c r="BE321" s="786">
        <f t="shared" si="135"/>
        <v>1460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2" t="s">
        <v>82</v>
      </c>
      <c r="C322" s="772" t="s">
        <v>61</v>
      </c>
      <c r="D322" s="177">
        <v>25</v>
      </c>
      <c r="E322" s="649">
        <v>11</v>
      </c>
      <c r="F322" s="100">
        <f>SUMIF(pro!$A:$A,$V:$V,pro!$N:$N)</f>
        <v>0</v>
      </c>
      <c r="G322" s="351"/>
      <c r="H322" s="100"/>
      <c r="I322" s="351">
        <f>SUMIF(data!$D:$D,$B322&amp;$D322,data!$J:$J)</f>
        <v>0</v>
      </c>
      <c r="J322" s="351">
        <f>SUMIF(data!$D:$D,$B322&amp;$D322,data!$K:$K)</f>
        <v>0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ref="M322" si="144">E322+F322+H322-I322-L322+G322-K322</f>
        <v>11</v>
      </c>
      <c r="N322" s="351">
        <f t="shared" ref="N322" si="145">M322*D322</f>
        <v>275</v>
      </c>
      <c r="O322" s="1161">
        <f t="shared" ref="O322" si="146">SUM(X322:BB322)</f>
        <v>0</v>
      </c>
      <c r="P322" s="665"/>
      <c r="Q322" s="665"/>
      <c r="R322" s="804">
        <f>O322/INTGRATE!$N$293</f>
        <v>0</v>
      </c>
      <c r="S322" s="665">
        <f t="shared" ref="S322" si="147">IF(R322=0,0,N322/R322)</f>
        <v>0</v>
      </c>
      <c r="T322" s="401"/>
      <c r="U322" s="136"/>
      <c r="V322" s="836" t="str">
        <f t="shared" si="140"/>
        <v>6951X25</v>
      </c>
      <c r="W322" s="823">
        <v>31408887</v>
      </c>
      <c r="X322" s="68"/>
      <c r="Y322" s="68">
        <v>0</v>
      </c>
      <c r="Z322" s="390">
        <v>0</v>
      </c>
      <c r="AA322" s="100">
        <v>0</v>
      </c>
      <c r="AB322" s="100">
        <v>0</v>
      </c>
      <c r="AC322" s="100">
        <v>0</v>
      </c>
      <c r="AD322" s="1162"/>
      <c r="AE322" s="100"/>
      <c r="AF322" s="100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162"/>
      <c r="AR322" s="100"/>
      <c r="AS322" s="100"/>
      <c r="AT322" s="100"/>
      <c r="AU322" s="100"/>
      <c r="AV322" s="100"/>
      <c r="AW322" s="100"/>
      <c r="AX322" s="1162"/>
      <c r="AY322" s="100"/>
      <c r="AZ322" s="100"/>
      <c r="BA322" s="100"/>
      <c r="BB322" s="100"/>
      <c r="BC322" s="275">
        <f t="shared" si="133"/>
        <v>0</v>
      </c>
      <c r="BD322" s="786">
        <f t="shared" si="134"/>
        <v>0</v>
      </c>
      <c r="BE322" s="786">
        <f t="shared" si="135"/>
        <v>0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64</v>
      </c>
      <c r="D323" s="67">
        <v>25</v>
      </c>
      <c r="E323" s="649">
        <v>815</v>
      </c>
      <c r="F323" s="100">
        <f>SUMIF(pro!$A:$A,$V:$V,pro!$N:$N)</f>
        <v>0</v>
      </c>
      <c r="G323" s="351"/>
      <c r="H323" s="100">
        <f>SUMIF(CBIN!$A:$A,BRAN!$V:$V,CBIN!$G:$G)</f>
        <v>0</v>
      </c>
      <c r="I323" s="351">
        <f>SUMIF(data!$D:$D,$B323&amp;$D323,data!$J:$J)</f>
        <v>160</v>
      </c>
      <c r="J323" s="351">
        <f>SUMIF(data!$D:$D,$B323&amp;$D323,data!$K:$K)</f>
        <v>4000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si="136"/>
        <v>655</v>
      </c>
      <c r="N323" s="351">
        <f t="shared" si="137"/>
        <v>16375</v>
      </c>
      <c r="O323" s="1161">
        <f t="shared" si="138"/>
        <v>9750</v>
      </c>
      <c r="P323" s="665">
        <f>N316+N321+N322</f>
        <v>20125</v>
      </c>
      <c r="Q323" s="665">
        <f>O316+O321+O322</f>
        <v>7300</v>
      </c>
      <c r="R323" s="804">
        <f>O323/INTGRATE!$N$293</f>
        <v>1950</v>
      </c>
      <c r="S323" s="665">
        <f t="shared" si="143"/>
        <v>8.3974358974358978</v>
      </c>
      <c r="T323" s="401"/>
      <c r="U323" s="136"/>
      <c r="V323" s="836" t="str">
        <f t="shared" si="140"/>
        <v>695225</v>
      </c>
      <c r="W323" s="823">
        <v>320041</v>
      </c>
      <c r="X323" s="68"/>
      <c r="Y323" s="68">
        <v>1750</v>
      </c>
      <c r="Z323" s="390">
        <v>875</v>
      </c>
      <c r="AA323" s="100">
        <v>2250</v>
      </c>
      <c r="AB323" s="100">
        <v>875</v>
      </c>
      <c r="AC323" s="100">
        <v>4000</v>
      </c>
      <c r="AD323" s="1162"/>
      <c r="AE323" s="100"/>
      <c r="AF323" s="100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162"/>
      <c r="AR323" s="100"/>
      <c r="AS323" s="100"/>
      <c r="AT323" s="100"/>
      <c r="AU323" s="100"/>
      <c r="AV323" s="100"/>
      <c r="AW323" s="100"/>
      <c r="AX323" s="1162"/>
      <c r="AY323" s="100"/>
      <c r="AZ323" s="100"/>
      <c r="BA323" s="100"/>
      <c r="BB323" s="100"/>
      <c r="BC323" s="275">
        <f t="shared" si="133"/>
        <v>9750</v>
      </c>
      <c r="BD323" s="786">
        <f t="shared" si="134"/>
        <v>5</v>
      </c>
      <c r="BE323" s="786">
        <f t="shared" si="135"/>
        <v>1950</v>
      </c>
    </row>
    <row r="324" spans="1:151" ht="15" customHeight="1">
      <c r="A324" s="68">
        <v>11</v>
      </c>
      <c r="B324" s="77">
        <v>6953</v>
      </c>
      <c r="C324" s="77" t="s">
        <v>64</v>
      </c>
      <c r="D324" s="67">
        <v>25</v>
      </c>
      <c r="E324" s="649">
        <v>0</v>
      </c>
      <c r="F324" s="100">
        <f>SUMIF(pro!$A:$A,$V:$V,pro!$N:$N)</f>
        <v>651</v>
      </c>
      <c r="G324" s="351"/>
      <c r="H324" s="100">
        <f>SUMIF(CBIN!$A:$A,BRAN!$V:$V,CBIN!$G:$G)</f>
        <v>0</v>
      </c>
      <c r="I324" s="351">
        <f>SUMIF(data!$D:$D,$B324&amp;$D324,data!$J:$J)</f>
        <v>40</v>
      </c>
      <c r="J324" s="351">
        <f>SUMIF(data!$D:$D,$B324&amp;$D324,data!$K:$K)</f>
        <v>1000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36"/>
        <v>611</v>
      </c>
      <c r="N324" s="351">
        <f t="shared" si="137"/>
        <v>15275</v>
      </c>
      <c r="O324" s="1161">
        <f t="shared" si="138"/>
        <v>3075</v>
      </c>
      <c r="P324" s="665">
        <f>+N327+N326</f>
        <v>5175</v>
      </c>
      <c r="Q324" s="665">
        <f>+O327+O326</f>
        <v>8425</v>
      </c>
      <c r="R324" s="804">
        <f>O324/INTGRATE!$N$293</f>
        <v>615</v>
      </c>
      <c r="S324" s="665">
        <f t="shared" si="139"/>
        <v>24.837398373983739</v>
      </c>
      <c r="T324" s="401"/>
      <c r="U324" s="136"/>
      <c r="V324" s="836" t="str">
        <f t="shared" si="140"/>
        <v>695325</v>
      </c>
      <c r="W324" s="823">
        <v>332401</v>
      </c>
      <c r="X324" s="68"/>
      <c r="Y324" s="68">
        <v>1000</v>
      </c>
      <c r="Z324" s="390">
        <v>500</v>
      </c>
      <c r="AA324" s="100">
        <v>375</v>
      </c>
      <c r="AB324" s="100">
        <v>200</v>
      </c>
      <c r="AC324" s="100">
        <v>1000</v>
      </c>
      <c r="AD324" s="1162"/>
      <c r="AE324" s="100"/>
      <c r="AF324" s="100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162"/>
      <c r="AR324" s="100"/>
      <c r="AS324" s="100"/>
      <c r="AT324" s="100"/>
      <c r="AU324" s="100"/>
      <c r="AV324" s="100"/>
      <c r="AW324" s="100"/>
      <c r="AX324" s="1162"/>
      <c r="AY324" s="100"/>
      <c r="AZ324" s="100"/>
      <c r="BA324" s="100"/>
      <c r="BB324" s="100"/>
      <c r="BC324" s="275">
        <f t="shared" si="133"/>
        <v>3075</v>
      </c>
      <c r="BD324" s="786">
        <f t="shared" si="134"/>
        <v>5</v>
      </c>
      <c r="BE324" s="786">
        <f t="shared" si="135"/>
        <v>615</v>
      </c>
    </row>
    <row r="325" spans="1:151" ht="15" customHeight="1">
      <c r="A325" s="68">
        <v>12</v>
      </c>
      <c r="B325" s="77">
        <v>6954</v>
      </c>
      <c r="C325" s="77" t="s">
        <v>64</v>
      </c>
      <c r="D325" s="67">
        <v>25</v>
      </c>
      <c r="E325" s="649">
        <v>0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0</v>
      </c>
      <c r="J325" s="351">
        <f>SUMIF(data!$D:$D,$B325&amp;$D325,data!$K:$K)</f>
        <v>0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36"/>
        <v>0</v>
      </c>
      <c r="N325" s="351">
        <f t="shared" si="137"/>
        <v>0</v>
      </c>
      <c r="O325" s="1161">
        <f t="shared" si="138"/>
        <v>0</v>
      </c>
      <c r="P325" s="665">
        <f>+N317+N318</f>
        <v>22725</v>
      </c>
      <c r="Q325" s="665">
        <f>+O317+O318</f>
        <v>7200</v>
      </c>
      <c r="R325" s="804">
        <f>O325/INTGRATE!$N$293</f>
        <v>0</v>
      </c>
      <c r="S325" s="665">
        <f t="shared" si="139"/>
        <v>0</v>
      </c>
      <c r="T325" s="401"/>
      <c r="U325" s="136"/>
      <c r="V325" s="836" t="str">
        <f t="shared" si="140"/>
        <v>695425</v>
      </c>
      <c r="W325" s="823">
        <v>332341</v>
      </c>
      <c r="X325" s="68"/>
      <c r="Y325" s="68">
        <v>0</v>
      </c>
      <c r="Z325" s="390">
        <v>0</v>
      </c>
      <c r="AA325" s="100">
        <v>0</v>
      </c>
      <c r="AB325" s="100">
        <v>0</v>
      </c>
      <c r="AC325" s="100">
        <v>0</v>
      </c>
      <c r="AD325" s="351"/>
      <c r="AE325" s="100"/>
      <c r="AF325" s="100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351"/>
      <c r="AR325" s="100"/>
      <c r="AS325" s="100"/>
      <c r="AT325" s="100"/>
      <c r="AU325" s="100"/>
      <c r="AV325" s="100"/>
      <c r="AW325" s="100"/>
      <c r="AX325" s="351"/>
      <c r="AY325" s="100"/>
      <c r="AZ325" s="100"/>
      <c r="BA325" s="100"/>
      <c r="BB325" s="100"/>
      <c r="BC325" s="275">
        <f t="shared" si="133"/>
        <v>0</v>
      </c>
      <c r="BD325" s="786">
        <f t="shared" si="134"/>
        <v>0</v>
      </c>
      <c r="BE325" s="786">
        <f t="shared" si="135"/>
        <v>0</v>
      </c>
    </row>
    <row r="326" spans="1:151" ht="15" customHeight="1">
      <c r="A326" s="68">
        <v>13</v>
      </c>
      <c r="B326" s="410">
        <v>6895</v>
      </c>
      <c r="C326" s="410" t="s">
        <v>79</v>
      </c>
      <c r="D326" s="410">
        <v>25</v>
      </c>
      <c r="E326" s="649">
        <v>40</v>
      </c>
      <c r="F326" s="100">
        <f>SUMIF(pro!$A:$A,$V:$V,pro!$N:$N)</f>
        <v>0</v>
      </c>
      <c r="G326" s="351"/>
      <c r="H326" s="100">
        <f>SUMIF(CBIN!$A:$A,BRAN!$V:$V,CBIN!$G:$G)</f>
        <v>0</v>
      </c>
      <c r="I326" s="351">
        <f>SUMIF(data!$D:$D,$B326&amp;$D326,data!$J:$J)</f>
        <v>10</v>
      </c>
      <c r="J326" s="351">
        <f>SUMIF(data!$D:$D,$B326&amp;$D326,data!$K:$K)</f>
        <v>250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36"/>
        <v>30</v>
      </c>
      <c r="N326" s="351">
        <f t="shared" si="137"/>
        <v>750</v>
      </c>
      <c r="O326" s="1161">
        <f t="shared" si="138"/>
        <v>8175</v>
      </c>
      <c r="P326" s="665"/>
      <c r="Q326" s="665"/>
      <c r="R326" s="804">
        <f>O326/INTGRATE!$N$293</f>
        <v>1635</v>
      </c>
      <c r="S326" s="665">
        <f t="shared" si="139"/>
        <v>0.45871559633027525</v>
      </c>
      <c r="T326" s="401"/>
      <c r="U326" s="136"/>
      <c r="V326" s="836" t="str">
        <f t="shared" si="140"/>
        <v>689525</v>
      </c>
      <c r="W326" s="823">
        <v>423700</v>
      </c>
      <c r="X326" s="68"/>
      <c r="Y326" s="68">
        <v>675</v>
      </c>
      <c r="Z326" s="390">
        <v>500</v>
      </c>
      <c r="AA326" s="100">
        <v>6750</v>
      </c>
      <c r="AB326" s="100">
        <v>0</v>
      </c>
      <c r="AC326" s="100">
        <v>250</v>
      </c>
      <c r="AD326" s="351"/>
      <c r="AE326" s="100"/>
      <c r="AF326" s="100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75">
        <f t="shared" si="133"/>
        <v>8175</v>
      </c>
      <c r="BD326" s="786">
        <f t="shared" si="134"/>
        <v>4</v>
      </c>
      <c r="BE326" s="786">
        <f t="shared" si="135"/>
        <v>2043.75</v>
      </c>
    </row>
    <row r="327" spans="1:151" ht="15" customHeight="1">
      <c r="A327" s="68">
        <v>14</v>
      </c>
      <c r="B327" s="410">
        <v>6884</v>
      </c>
      <c r="C327" s="410" t="s">
        <v>79</v>
      </c>
      <c r="D327" s="410">
        <v>25</v>
      </c>
      <c r="E327" s="649">
        <v>187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10</v>
      </c>
      <c r="J327" s="351">
        <f>SUMIF(data!$D:$D,$B327&amp;$D327,data!$K:$K)</f>
        <v>250</v>
      </c>
      <c r="K327" s="100">
        <f>SUMIF(AJOUT!$A:$A,BRAN!$V:$V,AJOUT!$L:$L)</f>
        <v>0</v>
      </c>
      <c r="L327" s="100">
        <f>SUMIF(CBOUT!$A:$A,BRAN!$V:$V,CBOUT!$G:$G)</f>
        <v>0</v>
      </c>
      <c r="M327" s="650">
        <f>E327+F327+H327-I327-L327+G327-K327</f>
        <v>177</v>
      </c>
      <c r="N327" s="351">
        <f>M327*D327</f>
        <v>4425</v>
      </c>
      <c r="O327" s="1161">
        <f>SUM(X327:BB327)</f>
        <v>250</v>
      </c>
      <c r="P327" s="665"/>
      <c r="Q327" s="665"/>
      <c r="R327" s="804">
        <f>O327/INTGRATE!$N$293</f>
        <v>50</v>
      </c>
      <c r="S327" s="665">
        <f>IF(R327=0,0,N327/R327)</f>
        <v>88.5</v>
      </c>
      <c r="T327" s="401"/>
      <c r="U327" s="136"/>
      <c r="V327" s="836" t="str">
        <f t="shared" si="140"/>
        <v>688425</v>
      </c>
      <c r="W327" s="823">
        <v>433700</v>
      </c>
      <c r="X327" s="68"/>
      <c r="Y327" s="68">
        <v>0</v>
      </c>
      <c r="Z327" s="390">
        <v>0</v>
      </c>
      <c r="AA327" s="100">
        <v>0</v>
      </c>
      <c r="AB327" s="100">
        <v>0</v>
      </c>
      <c r="AC327" s="100">
        <v>250</v>
      </c>
      <c r="AD327" s="351"/>
      <c r="AE327" s="100"/>
      <c r="AF327" s="100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3"/>
        <v>250</v>
      </c>
      <c r="BD327" s="786">
        <f t="shared" si="134"/>
        <v>1</v>
      </c>
      <c r="BE327" s="786">
        <f t="shared" si="135"/>
        <v>250</v>
      </c>
    </row>
    <row r="328" spans="1:151" ht="15" customHeight="1">
      <c r="A328" s="68">
        <v>15</v>
      </c>
      <c r="B328" s="410">
        <v>6984</v>
      </c>
      <c r="C328" s="410" t="s">
        <v>64</v>
      </c>
      <c r="D328" s="410">
        <v>25</v>
      </c>
      <c r="E328" s="649">
        <v>0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0</v>
      </c>
      <c r="J328" s="351">
        <f>SUMIF(data!$D:$D,$B328&amp;$D328,data!$K:$K)</f>
        <v>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0</v>
      </c>
      <c r="N328" s="351">
        <f>M328*D328</f>
        <v>0</v>
      </c>
      <c r="O328" s="1161">
        <f>SUM(X328:BB328)</f>
        <v>0</v>
      </c>
      <c r="P328" s="665"/>
      <c r="Q328" s="665"/>
      <c r="R328" s="804">
        <f>O328/INTGRATE!$N$293</f>
        <v>0</v>
      </c>
      <c r="S328" s="665">
        <f>IF(R328=0,0,N328/R328)</f>
        <v>0</v>
      </c>
      <c r="T328" s="401"/>
      <c r="U328" s="136"/>
      <c r="V328" s="836" t="str">
        <f t="shared" si="140"/>
        <v>698425</v>
      </c>
      <c r="W328" s="823">
        <v>433701</v>
      </c>
      <c r="X328" s="68"/>
      <c r="Y328" s="68">
        <v>0</v>
      </c>
      <c r="Z328" s="390">
        <v>0</v>
      </c>
      <c r="AA328" s="100">
        <v>0</v>
      </c>
      <c r="AB328" s="100">
        <v>0</v>
      </c>
      <c r="AC328" s="100">
        <v>0</v>
      </c>
      <c r="AD328" s="351"/>
      <c r="AE328" s="100"/>
      <c r="AF328" s="100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3"/>
        <v>0</v>
      </c>
      <c r="BD328" s="786">
        <f t="shared" si="134"/>
        <v>0</v>
      </c>
      <c r="BE328" s="786">
        <f t="shared" si="135"/>
        <v>0</v>
      </c>
    </row>
    <row r="329" spans="1:151" ht="15" customHeight="1">
      <c r="A329" s="68">
        <v>16</v>
      </c>
      <c r="B329" s="410">
        <v>6995</v>
      </c>
      <c r="C329" s="410" t="s">
        <v>64</v>
      </c>
      <c r="D329" s="410">
        <v>25</v>
      </c>
      <c r="E329" s="649">
        <v>225</v>
      </c>
      <c r="F329" s="100">
        <f>SUMIF(pro!$A:$A,$V:$V,pro!$N:$N)</f>
        <v>0</v>
      </c>
      <c r="G329" s="351"/>
      <c r="H329" s="100">
        <f>SUMIF(CBIN!$A:$A,BRAN!$V:$V,CBIN!$G:$G)</f>
        <v>0</v>
      </c>
      <c r="I329" s="351">
        <f>SUMIF(data!$D:$D,$B329&amp;$D329,data!$J:$J)</f>
        <v>70</v>
      </c>
      <c r="J329" s="351">
        <f>SUMIF(data!$D:$D,$B329&amp;$D329,data!$K:$K)</f>
        <v>1750</v>
      </c>
      <c r="K329" s="100">
        <f>SUMIF(AJOUT!$A:$A,BRAN!$V:$V,AJOUT!$L:$L)</f>
        <v>0</v>
      </c>
      <c r="L329" s="100">
        <f>SUMIF(CBOUT!$A:$A,BRAN!$V:$V,CBOUT!$G:$G)</f>
        <v>0</v>
      </c>
      <c r="M329" s="650">
        <f t="shared" si="136"/>
        <v>155</v>
      </c>
      <c r="N329" s="351">
        <f t="shared" si="137"/>
        <v>3875</v>
      </c>
      <c r="O329" s="1161">
        <f t="shared" si="138"/>
        <v>5375</v>
      </c>
      <c r="P329" s="665"/>
      <c r="Q329" s="665"/>
      <c r="R329" s="804">
        <f>O329/INTGRATE!$N$293</f>
        <v>1075</v>
      </c>
      <c r="S329" s="665">
        <f t="shared" si="139"/>
        <v>3.6046511627906979</v>
      </c>
      <c r="T329" s="401"/>
      <c r="U329" s="136"/>
      <c r="V329" s="836" t="str">
        <f t="shared" si="140"/>
        <v>699525</v>
      </c>
      <c r="W329" s="823">
        <v>423701</v>
      </c>
      <c r="X329" s="68"/>
      <c r="Y329" s="68">
        <v>1250</v>
      </c>
      <c r="Z329" s="390">
        <v>125</v>
      </c>
      <c r="AA329" s="100">
        <v>500</v>
      </c>
      <c r="AB329" s="100">
        <v>1750</v>
      </c>
      <c r="AC329" s="100">
        <v>1750</v>
      </c>
      <c r="AD329" s="351"/>
      <c r="AE329" s="100"/>
      <c r="AF329" s="100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3"/>
        <v>5375</v>
      </c>
      <c r="BD329" s="786">
        <f t="shared" si="134"/>
        <v>5</v>
      </c>
      <c r="BE329" s="786">
        <f t="shared" si="135"/>
        <v>1075</v>
      </c>
    </row>
    <row r="330" spans="1:151" ht="15" customHeight="1">
      <c r="A330" s="68">
        <v>17</v>
      </c>
      <c r="B330" s="448">
        <v>6991</v>
      </c>
      <c r="C330" s="448" t="s">
        <v>64</v>
      </c>
      <c r="D330" s="448">
        <v>25</v>
      </c>
      <c r="E330" s="649">
        <v>135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25</v>
      </c>
      <c r="J330" s="351">
        <f>SUMIF(data!$D:$D,$B330&amp;$D330,data!$K:$K)</f>
        <v>625</v>
      </c>
      <c r="K330" s="100">
        <f>SUMIF(AJOUT!$A:$A,BRAN!$V:$V,AJOUT!$L:$L)</f>
        <v>0</v>
      </c>
      <c r="L330" s="100">
        <f>SUMIF(CBOUT!$A:$A,BRAN!$V:$V,CBOUT!$G:$G)</f>
        <v>0</v>
      </c>
      <c r="M330" s="650">
        <f>E330+F330+H330-I330-L330+G330-K330</f>
        <v>110</v>
      </c>
      <c r="N330" s="351">
        <f>M330*D330</f>
        <v>2750</v>
      </c>
      <c r="O330" s="1161">
        <f>SUM(X330:BB330)</f>
        <v>2750</v>
      </c>
      <c r="P330" s="665"/>
      <c r="Q330" s="665"/>
      <c r="R330" s="804">
        <f>O330/INTGRATE!$N$293</f>
        <v>550</v>
      </c>
      <c r="S330" s="665">
        <f>IF(R330=0,0,N330/R330)</f>
        <v>5</v>
      </c>
      <c r="T330" s="592"/>
      <c r="U330" s="613"/>
      <c r="V330" s="836" t="str">
        <f>B330&amp;D330</f>
        <v>699125</v>
      </c>
      <c r="W330" s="823">
        <v>513021</v>
      </c>
      <c r="X330" s="666"/>
      <c r="Y330" s="666">
        <v>1375</v>
      </c>
      <c r="Z330" s="667">
        <v>500</v>
      </c>
      <c r="AA330" s="157">
        <v>250</v>
      </c>
      <c r="AB330" s="157">
        <v>0</v>
      </c>
      <c r="AC330" s="157">
        <v>625</v>
      </c>
      <c r="AD330" s="1162"/>
      <c r="AE330" s="157"/>
      <c r="AF330" s="157"/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162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275">
        <f t="shared" si="133"/>
        <v>2750</v>
      </c>
      <c r="BD330" s="786">
        <f t="shared" si="134"/>
        <v>4</v>
      </c>
      <c r="BE330" s="786">
        <f t="shared" si="135"/>
        <v>687.5</v>
      </c>
    </row>
    <row r="331" spans="1:151" s="59" customFormat="1" ht="15" customHeight="1">
      <c r="A331" s="1099" t="s">
        <v>71</v>
      </c>
      <c r="B331" s="1100"/>
      <c r="C331" s="1100"/>
      <c r="D331" s="1101"/>
      <c r="E331" s="113"/>
      <c r="F331" s="113"/>
      <c r="G331" s="113"/>
      <c r="H331" s="113"/>
      <c r="I331" s="113"/>
      <c r="J331" s="113"/>
      <c r="K331" s="113"/>
      <c r="L331" s="113"/>
      <c r="M331" s="479"/>
      <c r="N331" s="113"/>
      <c r="O331" s="113"/>
      <c r="P331" s="113"/>
      <c r="Q331" s="113"/>
      <c r="R331" s="113"/>
      <c r="S331" s="114"/>
      <c r="T331" s="462"/>
      <c r="U331" s="155"/>
      <c r="V331" s="836"/>
      <c r="W331" s="823"/>
      <c r="X331" s="669">
        <f t="shared" ref="X331:BC331" si="148">SUM(X314:X330)</f>
        <v>0</v>
      </c>
      <c r="Y331" s="670">
        <f t="shared" si="148"/>
        <v>9175</v>
      </c>
      <c r="Z331" s="670">
        <f t="shared" si="148"/>
        <v>3525</v>
      </c>
      <c r="AA331" s="670">
        <f t="shared" si="148"/>
        <v>16650</v>
      </c>
      <c r="AB331" s="670">
        <f t="shared" si="148"/>
        <v>11125</v>
      </c>
      <c r="AC331" s="670">
        <f t="shared" si="148"/>
        <v>14700</v>
      </c>
      <c r="AD331" s="670">
        <f t="shared" si="148"/>
        <v>0</v>
      </c>
      <c r="AE331" s="670">
        <f t="shared" si="148"/>
        <v>0</v>
      </c>
      <c r="AF331" s="670">
        <f t="shared" si="148"/>
        <v>0</v>
      </c>
      <c r="AG331" s="670">
        <f t="shared" si="148"/>
        <v>0</v>
      </c>
      <c r="AH331" s="670">
        <f t="shared" si="148"/>
        <v>0</v>
      </c>
      <c r="AI331" s="670">
        <f t="shared" si="148"/>
        <v>0</v>
      </c>
      <c r="AJ331" s="670">
        <f t="shared" si="148"/>
        <v>0</v>
      </c>
      <c r="AK331" s="670">
        <f t="shared" si="148"/>
        <v>0</v>
      </c>
      <c r="AL331" s="670">
        <f t="shared" si="148"/>
        <v>0</v>
      </c>
      <c r="AM331" s="670">
        <f t="shared" si="148"/>
        <v>0</v>
      </c>
      <c r="AN331" s="670">
        <f t="shared" si="148"/>
        <v>0</v>
      </c>
      <c r="AO331" s="670">
        <f t="shared" si="148"/>
        <v>0</v>
      </c>
      <c r="AP331" s="670">
        <f t="shared" si="148"/>
        <v>0</v>
      </c>
      <c r="AQ331" s="670">
        <f t="shared" si="148"/>
        <v>0</v>
      </c>
      <c r="AR331" s="670">
        <f t="shared" si="148"/>
        <v>0</v>
      </c>
      <c r="AS331" s="670">
        <f t="shared" si="148"/>
        <v>0</v>
      </c>
      <c r="AT331" s="670">
        <f t="shared" si="148"/>
        <v>0</v>
      </c>
      <c r="AU331" s="670">
        <f t="shared" si="148"/>
        <v>0</v>
      </c>
      <c r="AV331" s="670">
        <f t="shared" si="148"/>
        <v>0</v>
      </c>
      <c r="AW331" s="670">
        <f t="shared" si="148"/>
        <v>0</v>
      </c>
      <c r="AX331" s="670">
        <f t="shared" si="148"/>
        <v>0</v>
      </c>
      <c r="AY331" s="670">
        <f t="shared" si="148"/>
        <v>0</v>
      </c>
      <c r="AZ331" s="670">
        <f t="shared" si="148"/>
        <v>0</v>
      </c>
      <c r="BA331" s="670">
        <f t="shared" si="148"/>
        <v>0</v>
      </c>
      <c r="BB331" s="670">
        <f t="shared" si="148"/>
        <v>0</v>
      </c>
      <c r="BC331" s="670">
        <f t="shared" si="148"/>
        <v>55175</v>
      </c>
      <c r="BD331" s="112"/>
      <c r="BE331" s="112"/>
      <c r="BH331" s="439"/>
    </row>
    <row r="332" spans="1:151" s="59" customFormat="1" ht="15" customHeight="1">
      <c r="A332" s="1099" t="s">
        <v>72</v>
      </c>
      <c r="B332" s="1100"/>
      <c r="C332" s="1100"/>
      <c r="D332" s="1101"/>
      <c r="E332" s="113">
        <f>SUM(E314:E330)</f>
        <v>3448</v>
      </c>
      <c r="F332" s="113">
        <f>SUM(F314:F330)-F334</f>
        <v>651</v>
      </c>
      <c r="G332" s="113">
        <f>SUM(G314:G330)</f>
        <v>0</v>
      </c>
      <c r="H332" s="113">
        <f>SUM(H314:H330)</f>
        <v>0</v>
      </c>
      <c r="I332" s="113">
        <f>SUM(I314:I330)</f>
        <v>588</v>
      </c>
      <c r="J332" s="113">
        <f>SUM(J314:J330)-J334</f>
        <v>14700</v>
      </c>
      <c r="K332" s="113">
        <f t="shared" ref="K332:S332" si="149">SUM(K314:K330)</f>
        <v>1</v>
      </c>
      <c r="L332" s="113">
        <f t="shared" si="149"/>
        <v>0</v>
      </c>
      <c r="M332" s="113">
        <f t="shared" si="149"/>
        <v>3510</v>
      </c>
      <c r="N332" s="113">
        <f t="shared" si="149"/>
        <v>87750</v>
      </c>
      <c r="O332" s="113">
        <f t="shared" si="149"/>
        <v>55175</v>
      </c>
      <c r="P332" s="113">
        <f t="shared" si="149"/>
        <v>87750</v>
      </c>
      <c r="Q332" s="113">
        <f t="shared" si="149"/>
        <v>55175</v>
      </c>
      <c r="R332" s="113">
        <f t="shared" si="149"/>
        <v>11035</v>
      </c>
      <c r="S332" s="113">
        <f t="shared" si="149"/>
        <v>160.8169343618535</v>
      </c>
      <c r="T332" s="1105"/>
      <c r="U332" s="155">
        <f>SUM(U316:U316,U319:U325)*25</f>
        <v>0</v>
      </c>
      <c r="V332" s="836"/>
      <c r="W332" s="82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29">
        <f>+BC331+BC300+BC276+BC193+BC150</f>
        <v>2423790</v>
      </c>
      <c r="BD332" s="329"/>
      <c r="BE332" s="329"/>
      <c r="BH332" s="439"/>
    </row>
    <row r="333" spans="1:151" s="59" customFormat="1" ht="15" customHeight="1">
      <c r="A333" s="1099" t="s">
        <v>73</v>
      </c>
      <c r="B333" s="1100"/>
      <c r="C333" s="1100"/>
      <c r="D333" s="1101"/>
      <c r="E333" s="113"/>
      <c r="F333" s="113"/>
      <c r="G333" s="113"/>
      <c r="H333" s="113"/>
      <c r="I333" s="113"/>
      <c r="J333" s="113"/>
      <c r="K333" s="113"/>
      <c r="L333" s="113"/>
      <c r="M333" s="479"/>
      <c r="N333" s="113"/>
      <c r="O333" s="113"/>
      <c r="P333" s="113"/>
      <c r="Q333" s="113"/>
      <c r="R333" s="113"/>
      <c r="S333" s="113"/>
      <c r="T333" s="1106"/>
      <c r="U333" s="155"/>
      <c r="V333" s="839"/>
      <c r="W333" s="823"/>
      <c r="X333" s="671">
        <f t="shared" ref="X333:BB333" si="150">X331+X300+X276+X193+X150</f>
        <v>0</v>
      </c>
      <c r="Y333" s="671">
        <f t="shared" si="150"/>
        <v>617180</v>
      </c>
      <c r="Z333" s="671">
        <f t="shared" si="150"/>
        <v>194990</v>
      </c>
      <c r="AA333" s="671">
        <f t="shared" si="150"/>
        <v>565630</v>
      </c>
      <c r="AB333" s="671">
        <f t="shared" si="150"/>
        <v>534855</v>
      </c>
      <c r="AC333" s="671">
        <f t="shared" si="150"/>
        <v>511135</v>
      </c>
      <c r="AD333" s="671">
        <f t="shared" si="150"/>
        <v>0</v>
      </c>
      <c r="AE333" s="671">
        <f t="shared" si="150"/>
        <v>0</v>
      </c>
      <c r="AF333" s="671">
        <f t="shared" si="150"/>
        <v>0</v>
      </c>
      <c r="AG333" s="671">
        <f t="shared" si="150"/>
        <v>0</v>
      </c>
      <c r="AH333" s="671">
        <f t="shared" si="150"/>
        <v>0</v>
      </c>
      <c r="AI333" s="671">
        <f t="shared" si="150"/>
        <v>0</v>
      </c>
      <c r="AJ333" s="671">
        <f t="shared" si="150"/>
        <v>0</v>
      </c>
      <c r="AK333" s="671">
        <f t="shared" si="150"/>
        <v>0</v>
      </c>
      <c r="AL333" s="671">
        <f t="shared" si="150"/>
        <v>0</v>
      </c>
      <c r="AM333" s="671">
        <f t="shared" si="150"/>
        <v>0</v>
      </c>
      <c r="AN333" s="671">
        <f t="shared" si="150"/>
        <v>0</v>
      </c>
      <c r="AO333" s="671">
        <f t="shared" si="150"/>
        <v>0</v>
      </c>
      <c r="AP333" s="671">
        <f t="shared" si="150"/>
        <v>0</v>
      </c>
      <c r="AQ333" s="671">
        <f t="shared" si="150"/>
        <v>0</v>
      </c>
      <c r="AR333" s="671">
        <f t="shared" si="150"/>
        <v>0</v>
      </c>
      <c r="AS333" s="671">
        <f t="shared" si="150"/>
        <v>0</v>
      </c>
      <c r="AT333" s="671">
        <f t="shared" si="150"/>
        <v>0</v>
      </c>
      <c r="AU333" s="671">
        <f t="shared" si="150"/>
        <v>0</v>
      </c>
      <c r="AV333" s="671">
        <f t="shared" si="150"/>
        <v>0</v>
      </c>
      <c r="AW333" s="671">
        <f t="shared" si="150"/>
        <v>0</v>
      </c>
      <c r="AX333" s="671">
        <f t="shared" si="150"/>
        <v>0</v>
      </c>
      <c r="AY333" s="671">
        <f t="shared" si="150"/>
        <v>0</v>
      </c>
      <c r="AZ333" s="671">
        <f t="shared" si="150"/>
        <v>0</v>
      </c>
      <c r="BA333" s="671">
        <f t="shared" si="150"/>
        <v>0</v>
      </c>
      <c r="BB333" s="671">
        <f t="shared" si="150"/>
        <v>0</v>
      </c>
      <c r="BC333" s="440">
        <f>+SUM(BF15:BF27)</f>
        <v>2423790</v>
      </c>
      <c r="BD333" s="440"/>
      <c r="BE333" s="440"/>
      <c r="BH333" s="439"/>
    </row>
    <row r="334" spans="1:151" s="59" customFormat="1" ht="15" customHeight="1">
      <c r="A334" s="1099" t="s">
        <v>74</v>
      </c>
      <c r="B334" s="1100"/>
      <c r="C334" s="1100"/>
      <c r="D334" s="1101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479"/>
      <c r="N334" s="113"/>
      <c r="O334" s="188"/>
      <c r="P334" s="188"/>
      <c r="Q334" s="188"/>
      <c r="R334" s="188"/>
      <c r="S334" s="188"/>
      <c r="T334" s="1106"/>
      <c r="U334" s="155"/>
      <c r="V334" s="839"/>
      <c r="W334" s="82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440"/>
      <c r="BD334" s="440"/>
      <c r="BE334" s="440"/>
      <c r="BH334" s="439"/>
    </row>
    <row r="335" spans="1:151" s="129" customFormat="1" ht="15" customHeight="1">
      <c r="A335" s="1109" t="s">
        <v>75</v>
      </c>
      <c r="B335" s="1110"/>
      <c r="C335" s="1110"/>
      <c r="D335" s="1111"/>
      <c r="E335" s="73">
        <f>SUM(E331:E333)</f>
        <v>3448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588</v>
      </c>
      <c r="J335" s="73">
        <f>+SUM(J331:J333)</f>
        <v>14700</v>
      </c>
      <c r="K335" s="73">
        <f>SUM(K331:K333)</f>
        <v>1</v>
      </c>
      <c r="L335" s="73">
        <f>SUM(L331:L333)</f>
        <v>0</v>
      </c>
      <c r="M335" s="478">
        <f>SUM(M331:M333)</f>
        <v>3510</v>
      </c>
      <c r="N335" s="73">
        <f>SUM(N331:N333)</f>
        <v>87750</v>
      </c>
      <c r="O335" s="1112">
        <f>SUM(O316:O330)</f>
        <v>55175</v>
      </c>
      <c r="P335" s="186"/>
      <c r="Q335" s="186"/>
      <c r="R335" s="1095">
        <f>SUM(R316:R330)</f>
        <v>11035</v>
      </c>
      <c r="S335" s="1095" t="s">
        <v>83</v>
      </c>
      <c r="T335" s="1117"/>
      <c r="U335" s="146">
        <f>SUM(U316:U325)</f>
        <v>0</v>
      </c>
      <c r="V335" s="839"/>
      <c r="W335" s="82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441">
        <f>+BC332-BC333</f>
        <v>0</v>
      </c>
      <c r="BD335" s="441"/>
      <c r="BE335" s="441"/>
      <c r="BF335" s="354"/>
      <c r="BG335" s="354"/>
      <c r="BH335" s="439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</row>
    <row r="336" spans="1:151" s="71" customFormat="1" ht="15" customHeight="1">
      <c r="A336" s="1099" t="s">
        <v>77</v>
      </c>
      <c r="B336" s="1100"/>
      <c r="C336" s="1100"/>
      <c r="D336" s="1101"/>
      <c r="E336" s="70">
        <f>SUM(E331:E332)*25+E333*40</f>
        <v>86200</v>
      </c>
      <c r="F336" s="70">
        <f>SUM(F331:F332)*25+F333*40</f>
        <v>16275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14700</v>
      </c>
      <c r="J336" s="70">
        <f>SUM(J331:J332)+J333+J334</f>
        <v>14700</v>
      </c>
      <c r="K336" s="70">
        <f>+K335*25</f>
        <v>25</v>
      </c>
      <c r="L336" s="70">
        <f>SUM(L331:L332)*25+L333*40</f>
        <v>0</v>
      </c>
      <c r="M336" s="480">
        <f>SUM(M331:M332)*25+M333*40</f>
        <v>87750</v>
      </c>
      <c r="N336" s="70">
        <f>SUM(N331:N332)+N333</f>
        <v>87750</v>
      </c>
      <c r="O336" s="1113"/>
      <c r="P336" s="187"/>
      <c r="Q336" s="187"/>
      <c r="R336" s="1096"/>
      <c r="S336" s="1096"/>
      <c r="T336" s="1118"/>
      <c r="U336" s="146">
        <f>SUM(U331:U333)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439"/>
    </row>
    <row r="337" spans="1:54" ht="15" customHeight="1">
      <c r="A337" s="286" t="s">
        <v>174</v>
      </c>
      <c r="B337" s="37"/>
      <c r="C337" s="37"/>
      <c r="D337" s="37"/>
      <c r="E337" s="130"/>
      <c r="F337" s="37"/>
      <c r="G337" s="37"/>
      <c r="H337" s="37"/>
      <c r="I337" s="37"/>
      <c r="J337" s="37"/>
      <c r="K337" s="37"/>
      <c r="L337" s="37"/>
      <c r="M337" s="472"/>
      <c r="N337" s="37"/>
      <c r="O337" s="37"/>
      <c r="P337" s="37"/>
      <c r="Q337" s="37"/>
      <c r="R337" s="37"/>
      <c r="S337" s="37"/>
      <c r="T337" s="458"/>
      <c r="U337" s="149"/>
      <c r="AZ337" s="58"/>
      <c r="BB337" s="72"/>
    </row>
    <row r="338" spans="1:54" ht="15" customHeight="1">
      <c r="A338" s="286" t="s">
        <v>175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465"/>
      <c r="N338" s="38"/>
      <c r="O338" s="38"/>
      <c r="P338" s="38"/>
      <c r="Q338" s="38"/>
      <c r="R338" s="38"/>
      <c r="S338" s="38"/>
      <c r="T338" s="459"/>
      <c r="U338" s="131"/>
      <c r="V338" s="83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286" t="s">
        <v>176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AZ339" s="58"/>
      <c r="BB339" s="72"/>
    </row>
    <row r="340" spans="1:54">
      <c r="T340" s="463"/>
    </row>
    <row r="341" spans="1:54">
      <c r="F341" s="60"/>
      <c r="G341" s="60"/>
      <c r="N341" s="633"/>
    </row>
    <row r="344" spans="1:54">
      <c r="I344" s="60"/>
    </row>
    <row r="361" spans="13:48" s="58" customFormat="1" ht="15">
      <c r="M361" s="481"/>
      <c r="T361" s="72"/>
      <c r="V361" s="846"/>
      <c r="W361" s="846"/>
      <c r="AV361" s="68"/>
    </row>
  </sheetData>
  <sortState xmlns:xlrd2="http://schemas.microsoft.com/office/spreadsheetml/2017/richdata2" ref="X188:BC205">
    <sortCondition sortBy="icon" ref="AK188"/>
  </sortState>
  <mergeCells count="112"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F290" activePane="bottomRight" state="frozen"/>
      <selection pane="bottomRight" activeCell="I300" sqref="I300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1075" t="s">
        <v>14</v>
      </c>
      <c r="B2" s="1075"/>
      <c r="C2" s="1075"/>
      <c r="D2" s="1075"/>
      <c r="E2" s="1075"/>
      <c r="F2" s="933" t="s">
        <v>251</v>
      </c>
      <c r="G2" s="933"/>
      <c r="H2" s="933"/>
      <c r="I2" s="933"/>
      <c r="J2" s="933"/>
      <c r="K2" s="933"/>
      <c r="L2" s="933"/>
      <c r="M2" s="933"/>
      <c r="N2" s="933"/>
      <c r="O2" s="933"/>
      <c r="P2" s="193"/>
      <c r="Q2" s="193"/>
      <c r="R2" s="194"/>
      <c r="S2" s="194"/>
      <c r="AF2" s="197"/>
    </row>
    <row r="3" spans="1:62" ht="15" customHeight="1">
      <c r="A3" s="1075" t="s">
        <v>252</v>
      </c>
      <c r="B3" s="1075"/>
      <c r="C3" s="1075"/>
      <c r="D3" s="1075"/>
      <c r="E3" s="1075"/>
      <c r="F3" s="933"/>
      <c r="G3" s="933"/>
      <c r="H3" s="933"/>
      <c r="I3" s="933"/>
      <c r="J3" s="933"/>
      <c r="K3" s="933"/>
      <c r="L3" s="933"/>
      <c r="M3" s="933"/>
      <c r="N3" s="933"/>
      <c r="O3" s="933"/>
      <c r="P3" s="718" t="s">
        <v>15</v>
      </c>
      <c r="Q3" s="1034">
        <f>BRAN!O3</f>
        <v>46148</v>
      </c>
      <c r="R3" s="1034"/>
      <c r="S3" s="1034"/>
      <c r="T3" s="1034"/>
      <c r="U3" s="1034"/>
      <c r="V3" s="1034"/>
      <c r="W3" s="719"/>
    </row>
    <row r="4" spans="1:62" ht="15" customHeight="1">
      <c r="A4" s="38" t="s">
        <v>16</v>
      </c>
      <c r="B4" s="721"/>
      <c r="C4" s="721"/>
      <c r="D4" s="721"/>
      <c r="E4" s="721"/>
      <c r="F4" s="1035" t="s">
        <v>253</v>
      </c>
      <c r="G4" s="1035"/>
      <c r="H4" s="1035"/>
      <c r="I4" s="1035"/>
      <c r="J4" s="1035"/>
      <c r="K4" s="1035"/>
      <c r="L4" s="1035"/>
      <c r="M4" s="1035"/>
      <c r="N4" s="1035"/>
      <c r="O4" s="1035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1035" t="s">
        <v>255</v>
      </c>
      <c r="G5" s="1035"/>
      <c r="H5" s="1035"/>
      <c r="I5" s="1035"/>
      <c r="J5" s="1035"/>
      <c r="K5" s="1035"/>
      <c r="L5" s="1035"/>
      <c r="M5" s="1035"/>
      <c r="N5" s="1035"/>
      <c r="O5" s="1035"/>
      <c r="P5" s="1076" t="s">
        <v>17</v>
      </c>
      <c r="Q5" s="1076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925" t="s">
        <v>22</v>
      </c>
      <c r="B7" s="916" t="s">
        <v>23</v>
      </c>
      <c r="C7" s="916" t="s">
        <v>24</v>
      </c>
      <c r="D7" s="928" t="s">
        <v>256</v>
      </c>
      <c r="E7" s="61" t="s">
        <v>26</v>
      </c>
      <c r="F7" s="931" t="s">
        <v>27</v>
      </c>
      <c r="G7" s="936"/>
      <c r="H7" s="932"/>
      <c r="I7" s="931" t="s">
        <v>28</v>
      </c>
      <c r="J7" s="936"/>
      <c r="K7" s="936"/>
      <c r="L7" s="936"/>
      <c r="M7" s="936"/>
      <c r="N7" s="932"/>
      <c r="O7" s="931" t="s">
        <v>29</v>
      </c>
      <c r="P7" s="932"/>
      <c r="Q7" s="183" t="s">
        <v>30</v>
      </c>
      <c r="R7" s="305"/>
      <c r="S7" s="305"/>
      <c r="T7" s="183" t="s">
        <v>31</v>
      </c>
      <c r="U7" s="919" t="s">
        <v>257</v>
      </c>
      <c r="V7" s="920"/>
      <c r="W7" s="1049" t="s">
        <v>33</v>
      </c>
      <c r="X7" s="881" t="s">
        <v>34</v>
      </c>
      <c r="Y7" s="854"/>
      <c r="Z7" s="817"/>
    </row>
    <row r="8" spans="1:62" s="83" customFormat="1" ht="48.75" customHeight="1">
      <c r="A8" s="926"/>
      <c r="B8" s="917"/>
      <c r="C8" s="917"/>
      <c r="D8" s="929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931" t="s">
        <v>40</v>
      </c>
      <c r="J8" s="936"/>
      <c r="K8" s="936"/>
      <c r="L8" s="932"/>
      <c r="M8" s="512" t="s">
        <v>41</v>
      </c>
      <c r="N8" s="681" t="s">
        <v>42</v>
      </c>
      <c r="O8" s="1074" t="s">
        <v>43</v>
      </c>
      <c r="P8" s="932"/>
      <c r="Q8" s="683" t="s">
        <v>44</v>
      </c>
      <c r="R8" s="682"/>
      <c r="S8" s="682"/>
      <c r="T8" s="683" t="s">
        <v>45</v>
      </c>
      <c r="U8" s="921"/>
      <c r="V8" s="922"/>
      <c r="W8" s="1050"/>
      <c r="X8" s="882"/>
      <c r="Y8" s="854"/>
      <c r="Z8" s="817"/>
    </row>
    <row r="9" spans="1:62" s="83" customFormat="1" ht="18.75" customHeight="1">
      <c r="A9" s="927"/>
      <c r="B9" s="918"/>
      <c r="C9" s="918"/>
      <c r="D9" s="930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23"/>
      <c r="V9" s="924"/>
      <c r="W9" s="1051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0">
        <f t="shared" ref="P10:P47" si="1">O10*D10</f>
        <v>0</v>
      </c>
      <c r="Q10" s="314">
        <f t="shared" ref="Q10:Q31" si="2">SUM(AA10:BE10)</f>
        <v>0</v>
      </c>
      <c r="T10" s="1181">
        <f t="shared" ref="T10:T41" si="3">Q10/$N$293</f>
        <v>0</v>
      </c>
      <c r="U10" s="875">
        <f>IF(T10=0,0,P10/T10)</f>
        <v>0</v>
      </c>
      <c r="V10" s="876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>
        <v>0</v>
      </c>
      <c r="AD10" s="314">
        <v>0</v>
      </c>
      <c r="AE10" s="314">
        <v>0</v>
      </c>
      <c r="AF10" s="314">
        <v>0</v>
      </c>
      <c r="AG10" s="314"/>
      <c r="AH10" s="314"/>
      <c r="AI10" s="314"/>
      <c r="AJ10" s="314"/>
      <c r="AK10" s="314"/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338950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1">
        <f t="shared" si="3"/>
        <v>0</v>
      </c>
      <c r="U11" s="875">
        <f>IF(T11=0,0,P11/T11)</f>
        <v>0</v>
      </c>
      <c r="V11" s="876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>
        <v>0</v>
      </c>
      <c r="AD11" s="314">
        <v>0</v>
      </c>
      <c r="AE11" s="314">
        <v>0</v>
      </c>
      <c r="AF11" s="314">
        <v>0</v>
      </c>
      <c r="AG11" s="314"/>
      <c r="AH11" s="314"/>
      <c r="AI11" s="314"/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24900</v>
      </c>
      <c r="T12" s="1181">
        <f t="shared" si="3"/>
        <v>0</v>
      </c>
      <c r="U12" s="875">
        <f>IF(T12=0,0,P12/T12)</f>
        <v>0</v>
      </c>
      <c r="V12" s="876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>
        <v>0</v>
      </c>
      <c r="AD12" s="314">
        <v>0</v>
      </c>
      <c r="AE12" s="314">
        <v>0</v>
      </c>
      <c r="AF12" s="314">
        <v>0</v>
      </c>
      <c r="AG12" s="314"/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0</v>
      </c>
      <c r="S13" s="314">
        <f>SUM(Q57:Q60,Q70,Q75:Q78)</f>
        <v>24900</v>
      </c>
      <c r="T13" s="1181">
        <f t="shared" si="3"/>
        <v>0</v>
      </c>
      <c r="U13" s="875">
        <f>IF(T13=0,0,P13/T13)</f>
        <v>0</v>
      </c>
      <c r="V13" s="876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>
        <v>0</v>
      </c>
      <c r="AD13" s="314">
        <v>0</v>
      </c>
      <c r="AE13" s="314">
        <v>0</v>
      </c>
      <c r="AF13" s="314">
        <v>0</v>
      </c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1">
        <f t="shared" si="3"/>
        <v>0</v>
      </c>
      <c r="U14" s="875">
        <f>IF(T14=0,0,P14/T14)</f>
        <v>0</v>
      </c>
      <c r="V14" s="876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>
        <v>0</v>
      </c>
      <c r="AD14" s="314">
        <v>0</v>
      </c>
      <c r="AE14" s="314">
        <v>0</v>
      </c>
      <c r="AF14" s="314">
        <v>0</v>
      </c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1">
        <f t="shared" si="3"/>
        <v>0</v>
      </c>
      <c r="U15" s="875">
        <f t="shared" ref="U15:U24" si="14">IF(T15=0,0,P15/T15)</f>
        <v>0</v>
      </c>
      <c r="V15" s="876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>
        <v>0</v>
      </c>
      <c r="AD15" s="314">
        <v>0</v>
      </c>
      <c r="AE15" s="314">
        <v>0</v>
      </c>
      <c r="AF15" s="314">
        <v>0</v>
      </c>
      <c r="AG15" s="314"/>
      <c r="AH15" s="314"/>
      <c r="AI15" s="314"/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94050</v>
      </c>
      <c r="S16" s="314">
        <f>+SUM(Q10:Q102)-S13-S19</f>
        <v>155050</v>
      </c>
      <c r="T16" s="1181">
        <f t="shared" si="3"/>
        <v>0</v>
      </c>
      <c r="U16" s="875">
        <f t="shared" si="14"/>
        <v>0</v>
      </c>
      <c r="V16" s="876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>
        <v>0</v>
      </c>
      <c r="AD16" s="314">
        <v>0</v>
      </c>
      <c r="AE16" s="314">
        <v>0</v>
      </c>
      <c r="AF16" s="314">
        <v>0</v>
      </c>
      <c r="AG16" s="314"/>
      <c r="AH16" s="314"/>
      <c r="AI16" s="314"/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74550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1">
        <f t="shared" si="3"/>
        <v>0</v>
      </c>
      <c r="U17" s="875">
        <f t="shared" si="14"/>
        <v>0</v>
      </c>
      <c r="V17" s="876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>
        <v>0</v>
      </c>
      <c r="AD17" s="314">
        <v>0</v>
      </c>
      <c r="AE17" s="314">
        <v>0</v>
      </c>
      <c r="AF17" s="314">
        <v>0</v>
      </c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1">
        <f t="shared" si="3"/>
        <v>0</v>
      </c>
      <c r="U18" s="875">
        <f t="shared" si="14"/>
        <v>0</v>
      </c>
      <c r="V18" s="876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>
        <v>0</v>
      </c>
      <c r="AD18" s="314">
        <v>0</v>
      </c>
      <c r="AE18" s="314">
        <v>0</v>
      </c>
      <c r="AF18" s="314">
        <v>0</v>
      </c>
      <c r="AG18" s="314"/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50750</v>
      </c>
      <c r="S19" s="314">
        <f>+SUM(Q11:Q34,Q44:Q45,Q56,Q61:Q63,Q65:Q66,Q68:Q69,Q71:Q74,Q79,Q82:Q95,Q102)</f>
        <v>451600</v>
      </c>
      <c r="T19" s="1181">
        <f t="shared" si="3"/>
        <v>0</v>
      </c>
      <c r="U19" s="875">
        <f t="shared" si="14"/>
        <v>0</v>
      </c>
      <c r="V19" s="876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>
        <v>0</v>
      </c>
      <c r="AD19" s="314">
        <v>0</v>
      </c>
      <c r="AE19" s="314">
        <v>0</v>
      </c>
      <c r="AF19" s="314">
        <v>0</v>
      </c>
      <c r="AG19" s="314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292600</v>
      </c>
      <c r="BJ19" s="207" t="s">
        <v>275</v>
      </c>
      <c r="BK19" s="367">
        <f>+BI17+BI23</f>
        <v>338950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1">
        <f t="shared" si="3"/>
        <v>0</v>
      </c>
      <c r="U20" s="875">
        <f t="shared" si="14"/>
        <v>0</v>
      </c>
      <c r="V20" s="876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>
        <v>0</v>
      </c>
      <c r="AD20" s="314">
        <v>0</v>
      </c>
      <c r="AE20" s="314">
        <v>0</v>
      </c>
      <c r="AF20" s="314">
        <v>0</v>
      </c>
      <c r="AG20" s="314"/>
      <c r="AH20" s="314"/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292600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19</v>
      </c>
      <c r="F21" s="100">
        <f>SUMIF(pro!$A:$A,INTGRATE!$Y:$Y,pro!$N:$N)</f>
        <v>0</v>
      </c>
      <c r="G21" s="314"/>
      <c r="H21" s="314">
        <f>SUMIF(CBIN!$A:$A,INTGRATE!$Y:$Y,CBIN!$G:$G)</f>
        <v>0</v>
      </c>
      <c r="I21" s="314">
        <f>SUMIF(data!$D:$D,INTGRATE!$B21&amp;INTGRATE!$D21,data!$J:$J)</f>
        <v>0</v>
      </c>
      <c r="J21" s="314"/>
      <c r="K21" s="314"/>
      <c r="L21" s="314">
        <f>SUMIF(data!$D:$D,INTGRATE!$B21&amp;INTGRATE!$D21,data!$K:$K)</f>
        <v>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19</v>
      </c>
      <c r="P21" s="314">
        <f t="shared" si="1"/>
        <v>950</v>
      </c>
      <c r="Q21" s="314">
        <f t="shared" si="2"/>
        <v>46750</v>
      </c>
      <c r="R21" s="314"/>
      <c r="S21" s="314"/>
      <c r="T21" s="1181">
        <f t="shared" si="3"/>
        <v>9350</v>
      </c>
      <c r="U21" s="875">
        <f t="shared" si="14"/>
        <v>0.10160427807486631</v>
      </c>
      <c r="V21" s="876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>
        <v>15500</v>
      </c>
      <c r="AD21" s="314">
        <v>19950</v>
      </c>
      <c r="AE21" s="314">
        <v>7300</v>
      </c>
      <c r="AF21" s="314">
        <v>0</v>
      </c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46750</v>
      </c>
      <c r="BG21" s="786">
        <f t="shared" si="6"/>
        <v>4</v>
      </c>
      <c r="BH21" s="786">
        <f t="shared" si="7"/>
        <v>11687.5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1">
        <f t="shared" si="3"/>
        <v>0</v>
      </c>
      <c r="U22" s="875">
        <f t="shared" si="14"/>
        <v>0</v>
      </c>
      <c r="V22" s="876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>
        <v>0</v>
      </c>
      <c r="AD22" s="314">
        <v>0</v>
      </c>
      <c r="AE22" s="314">
        <v>0</v>
      </c>
      <c r="AF22" s="314">
        <v>0</v>
      </c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1">
        <f t="shared" si="3"/>
        <v>0</v>
      </c>
      <c r="U23" s="875">
        <f t="shared" si="14"/>
        <v>0</v>
      </c>
      <c r="V23" s="876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>
        <v>0</v>
      </c>
      <c r="AD23" s="314">
        <v>0</v>
      </c>
      <c r="AE23" s="314">
        <v>0</v>
      </c>
      <c r="AF23" s="314">
        <v>0</v>
      </c>
      <c r="AG23" s="314"/>
      <c r="AH23" s="314"/>
      <c r="AI23" s="314"/>
      <c r="AJ23" s="314"/>
      <c r="AK23" s="314"/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338950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1">
        <f t="shared" si="3"/>
        <v>0</v>
      </c>
      <c r="U24" s="875">
        <f t="shared" si="14"/>
        <v>0</v>
      </c>
      <c r="V24" s="876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>
        <v>0</v>
      </c>
      <c r="AD24" s="314">
        <v>0</v>
      </c>
      <c r="AE24" s="314">
        <v>0</v>
      </c>
      <c r="AF24" s="314">
        <v>0</v>
      </c>
      <c r="AG24" s="314"/>
      <c r="AH24" s="314"/>
      <c r="AI24" s="314"/>
      <c r="AJ24" s="314"/>
      <c r="AK24" s="314"/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1">
        <f t="shared" si="3"/>
        <v>0</v>
      </c>
      <c r="U25" s="875">
        <f>IF(T25=0,0,P25/T25)</f>
        <v>0</v>
      </c>
      <c r="V25" s="876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>
        <v>0</v>
      </c>
      <c r="AD25" s="314">
        <v>0</v>
      </c>
      <c r="AE25" s="314">
        <v>0</v>
      </c>
      <c r="AF25" s="314">
        <v>0</v>
      </c>
      <c r="AG25" s="314"/>
      <c r="AH25" s="314"/>
      <c r="AI25" s="314"/>
      <c r="AJ25" s="314"/>
      <c r="AK25" s="314"/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1">
        <f t="shared" si="3"/>
        <v>0</v>
      </c>
      <c r="U26" s="875">
        <f t="shared" ref="U26:U35" si="16">IF(T26=0,0,P26/T26)</f>
        <v>0</v>
      </c>
      <c r="V26" s="876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>
        <v>0</v>
      </c>
      <c r="AD26" s="314">
        <v>0</v>
      </c>
      <c r="AE26" s="314">
        <v>0</v>
      </c>
      <c r="AF26" s="314">
        <v>0</v>
      </c>
      <c r="AG26" s="314"/>
      <c r="AH26" s="314"/>
      <c r="AI26" s="314"/>
      <c r="AJ26" s="314"/>
      <c r="AK26" s="314"/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218050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1">
        <f t="shared" si="3"/>
        <v>0</v>
      </c>
      <c r="U27" s="875">
        <f t="shared" si="16"/>
        <v>0</v>
      </c>
      <c r="V27" s="876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>
        <v>0</v>
      </c>
      <c r="AD27" s="314">
        <v>0</v>
      </c>
      <c r="AE27" s="314">
        <v>0</v>
      </c>
      <c r="AF27" s="314">
        <v>0</v>
      </c>
      <c r="AG27" s="314"/>
      <c r="AH27" s="314"/>
      <c r="AI27" s="314"/>
      <c r="AJ27" s="314"/>
      <c r="AK27" s="314"/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1">
        <f t="shared" si="3"/>
        <v>0</v>
      </c>
      <c r="U28" s="875">
        <f t="shared" si="16"/>
        <v>0</v>
      </c>
      <c r="V28" s="876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>
        <v>0</v>
      </c>
      <c r="AD28" s="314">
        <v>0</v>
      </c>
      <c r="AE28" s="314">
        <v>0</v>
      </c>
      <c r="AF28" s="314">
        <v>0</v>
      </c>
      <c r="AG28" s="314"/>
      <c r="AH28" s="314"/>
      <c r="AI28" s="314"/>
      <c r="AJ28" s="314"/>
      <c r="AK28" s="314"/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1">
        <f t="shared" si="3"/>
        <v>0</v>
      </c>
      <c r="U29" s="875">
        <f t="shared" si="16"/>
        <v>0</v>
      </c>
      <c r="V29" s="876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>
        <v>0</v>
      </c>
      <c r="AD29" s="314">
        <v>0</v>
      </c>
      <c r="AE29" s="314">
        <v>0</v>
      </c>
      <c r="AF29" s="314">
        <v>0</v>
      </c>
      <c r="AG29" s="314"/>
      <c r="AH29" s="314"/>
      <c r="AI29" s="314"/>
      <c r="AJ29" s="314"/>
      <c r="AK29" s="314"/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1">
        <f t="shared" si="3"/>
        <v>0</v>
      </c>
      <c r="U30" s="875">
        <f t="shared" si="16"/>
        <v>0</v>
      </c>
      <c r="V30" s="876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>
        <v>0</v>
      </c>
      <c r="AD30" s="314">
        <v>0</v>
      </c>
      <c r="AE30" s="314">
        <v>0</v>
      </c>
      <c r="AF30" s="314">
        <v>0</v>
      </c>
      <c r="AG30" s="314"/>
      <c r="AH30" s="314"/>
      <c r="AI30" s="314"/>
      <c r="AJ30" s="314"/>
      <c r="AK30" s="314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1">
        <f t="shared" si="3"/>
        <v>0</v>
      </c>
      <c r="U31" s="875">
        <f t="shared" si="16"/>
        <v>0</v>
      </c>
      <c r="V31" s="876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>
        <v>0</v>
      </c>
      <c r="AD31" s="314">
        <v>0</v>
      </c>
      <c r="AE31" s="314">
        <v>0</v>
      </c>
      <c r="AF31" s="314">
        <v>0</v>
      </c>
      <c r="AG31" s="314"/>
      <c r="AH31" s="314"/>
      <c r="AI31" s="314"/>
      <c r="AJ31" s="314"/>
      <c r="AK31" s="314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1">
        <f t="shared" si="3"/>
        <v>0</v>
      </c>
      <c r="U32" s="875">
        <f t="shared" si="16"/>
        <v>0</v>
      </c>
      <c r="V32" s="876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>
        <v>0</v>
      </c>
      <c r="AD32" s="314">
        <v>0</v>
      </c>
      <c r="AE32" s="314">
        <v>0</v>
      </c>
      <c r="AF32" s="314">
        <v>0</v>
      </c>
      <c r="AG32" s="314"/>
      <c r="AH32" s="314"/>
      <c r="AI32" s="314"/>
      <c r="AJ32" s="314"/>
      <c r="AK32" s="314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0</v>
      </c>
      <c r="F33" s="100">
        <f>SUMIF(pro!$A:$A,INTGRATE!$Y:$Y,pro!$N:$N)</f>
        <v>622</v>
      </c>
      <c r="G33" s="314"/>
      <c r="H33" s="314">
        <f>SUMIF(CBIN!$A:$A,INTGRATE!$Y:$Y,CBIN!$G:$G)</f>
        <v>0</v>
      </c>
      <c r="I33" s="314">
        <f>SUMIF(data!$D:$D,INTGRATE!$B33&amp;INTGRATE!$D33,data!$J:$J)</f>
        <v>150</v>
      </c>
      <c r="J33" s="314"/>
      <c r="K33" s="314"/>
      <c r="L33" s="314">
        <f>SUMIF(data!$D:$D,INTGRATE!$B33&amp;INTGRATE!$D33,data!$K:$K)</f>
        <v>7500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472</v>
      </c>
      <c r="P33" s="314">
        <f t="shared" si="1"/>
        <v>23600</v>
      </c>
      <c r="Q33" s="314">
        <f>SUM(AA33:BE33)</f>
        <v>31950</v>
      </c>
      <c r="R33" s="314"/>
      <c r="S33" s="314"/>
      <c r="T33" s="1181">
        <f t="shared" si="3"/>
        <v>6390</v>
      </c>
      <c r="U33" s="875">
        <f t="shared" si="16"/>
        <v>3.6932707355242567</v>
      </c>
      <c r="V33" s="876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>
        <v>11350</v>
      </c>
      <c r="AD33" s="314">
        <v>13100</v>
      </c>
      <c r="AE33" s="314">
        <v>0</v>
      </c>
      <c r="AF33" s="314">
        <v>7500</v>
      </c>
      <c r="AG33" s="314"/>
      <c r="AH33" s="314"/>
      <c r="AI33" s="314"/>
      <c r="AJ33" s="314"/>
      <c r="AK33" s="314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31950</v>
      </c>
      <c r="BG33" s="786">
        <f t="shared" si="6"/>
        <v>3</v>
      </c>
      <c r="BH33" s="786">
        <f t="shared" si="7"/>
        <v>10650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1">
        <f t="shared" si="3"/>
        <v>0</v>
      </c>
      <c r="U34" s="875">
        <f t="shared" si="16"/>
        <v>0</v>
      </c>
      <c r="V34" s="876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>
        <v>0</v>
      </c>
      <c r="AD34" s="314">
        <v>0</v>
      </c>
      <c r="AE34" s="314">
        <v>0</v>
      </c>
      <c r="AF34" s="314">
        <v>0</v>
      </c>
      <c r="AG34" s="314"/>
      <c r="AH34" s="314"/>
      <c r="AI34" s="314"/>
      <c r="AJ34" s="314"/>
      <c r="AK34" s="314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1">
        <f t="shared" si="3"/>
        <v>0</v>
      </c>
      <c r="U35" s="875">
        <f t="shared" si="16"/>
        <v>0</v>
      </c>
      <c r="V35" s="876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>
        <v>0</v>
      </c>
      <c r="AD35" s="314">
        <v>0</v>
      </c>
      <c r="AE35" s="314">
        <v>0</v>
      </c>
      <c r="AF35" s="314">
        <v>0</v>
      </c>
      <c r="AG35" s="314"/>
      <c r="AH35" s="314"/>
      <c r="AI35" s="314"/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1000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895</v>
      </c>
      <c r="J36" s="314"/>
      <c r="K36" s="314"/>
      <c r="L36" s="314">
        <f>SUMIF(data!$D:$D,INTGRATE!$B36&amp;INTGRATE!$D36,data!$K:$K)</f>
        <v>44750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105</v>
      </c>
      <c r="P36" s="314">
        <f t="shared" si="1"/>
        <v>5250</v>
      </c>
      <c r="Q36" s="314">
        <f t="shared" si="18"/>
        <v>89750</v>
      </c>
      <c r="R36" s="314"/>
      <c r="S36" s="314"/>
      <c r="T36" s="1181">
        <f t="shared" si="3"/>
        <v>17950</v>
      </c>
      <c r="U36" s="875">
        <f t="shared" ref="U36:U61" si="19">IF(T36=0,0,P36/T36)</f>
        <v>0.29247910863509752</v>
      </c>
      <c r="V36" s="876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>
        <v>0</v>
      </c>
      <c r="AD36" s="314">
        <v>16000</v>
      </c>
      <c r="AE36" s="314">
        <v>29000</v>
      </c>
      <c r="AF36" s="314">
        <v>44750</v>
      </c>
      <c r="AG36" s="314"/>
      <c r="AH36" s="314"/>
      <c r="AI36" s="314"/>
      <c r="AJ36" s="314"/>
      <c r="AK36" s="314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89750</v>
      </c>
      <c r="BG36" s="786">
        <f t="shared" si="6"/>
        <v>3</v>
      </c>
      <c r="BH36" s="786">
        <f t="shared" si="7"/>
        <v>29916.666666666668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1">
        <f t="shared" si="3"/>
        <v>0</v>
      </c>
      <c r="U37" s="875">
        <f>IF(T37=0,0,P37/T37)</f>
        <v>0</v>
      </c>
      <c r="V37" s="876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>
        <v>0</v>
      </c>
      <c r="AD37" s="314">
        <v>0</v>
      </c>
      <c r="AE37" s="314">
        <v>0</v>
      </c>
      <c r="AF37" s="314">
        <v>0</v>
      </c>
      <c r="AG37" s="314"/>
      <c r="AH37" s="314"/>
      <c r="AI37" s="314"/>
      <c r="AJ37" s="314"/>
      <c r="AK37" s="314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1">
        <f t="shared" si="3"/>
        <v>0</v>
      </c>
      <c r="U38" s="875">
        <f>IF(T38=0,0,P38/T38)</f>
        <v>0</v>
      </c>
      <c r="V38" s="876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>
        <v>0</v>
      </c>
      <c r="AD38" s="314">
        <v>0</v>
      </c>
      <c r="AE38" s="314">
        <v>0</v>
      </c>
      <c r="AF38" s="314">
        <v>0</v>
      </c>
      <c r="AG38" s="314"/>
      <c r="AH38" s="314"/>
      <c r="AI38" s="314"/>
      <c r="AJ38" s="314"/>
      <c r="AK38" s="314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1">
        <f t="shared" si="3"/>
        <v>0</v>
      </c>
      <c r="U39" s="875">
        <f>IF(T39=0,0,P39/T39)</f>
        <v>0</v>
      </c>
      <c r="V39" s="876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>
        <v>0</v>
      </c>
      <c r="AD39" s="314">
        <v>0</v>
      </c>
      <c r="AE39" s="314">
        <v>0</v>
      </c>
      <c r="AF39" s="314">
        <v>0</v>
      </c>
      <c r="AG39" s="314"/>
      <c r="AH39" s="314"/>
      <c r="AI39" s="314"/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1">
        <f t="shared" si="3"/>
        <v>0</v>
      </c>
      <c r="U40" s="875">
        <f t="shared" si="19"/>
        <v>0</v>
      </c>
      <c r="V40" s="876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>
        <v>0</v>
      </c>
      <c r="AD40" s="314">
        <v>0</v>
      </c>
      <c r="AE40" s="314">
        <v>0</v>
      </c>
      <c r="AF40" s="314">
        <v>0</v>
      </c>
      <c r="AG40" s="314"/>
      <c r="AH40" s="314"/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1776</v>
      </c>
      <c r="F41" s="100">
        <f>SUMIF(pro!$A:$A,INTGRATE!$Y:$Y,pro!$N:$N)</f>
        <v>0</v>
      </c>
      <c r="G41" s="314"/>
      <c r="H41" s="314">
        <f>SUMIF(CBIN!$A:$A,INTGRATE!$Y:$Y,CBIN!$G:$G)</f>
        <v>0</v>
      </c>
      <c r="I41" s="314">
        <f>SUMIF(data!$D:$D,INTGRATE!$B41&amp;INTGRATE!$D41,data!$J:$J)</f>
        <v>0</v>
      </c>
      <c r="J41" s="314"/>
      <c r="K41" s="314"/>
      <c r="L41" s="314">
        <f>SUMIF(data!$D:$D,INTGRATE!$B41&amp;INTGRATE!$D41,data!$K:$K)</f>
        <v>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1776</v>
      </c>
      <c r="P41" s="314">
        <f t="shared" si="1"/>
        <v>88800</v>
      </c>
      <c r="Q41" s="314">
        <f t="shared" si="18"/>
        <v>65300</v>
      </c>
      <c r="R41" s="314"/>
      <c r="S41" s="314"/>
      <c r="T41" s="1181">
        <f t="shared" si="3"/>
        <v>13060</v>
      </c>
      <c r="U41" s="875">
        <f t="shared" si="19"/>
        <v>6.7993874425727414</v>
      </c>
      <c r="V41" s="876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>
        <v>21300</v>
      </c>
      <c r="AD41" s="314">
        <v>0</v>
      </c>
      <c r="AE41" s="314">
        <v>0</v>
      </c>
      <c r="AF41" s="314">
        <v>0</v>
      </c>
      <c r="AG41" s="314"/>
      <c r="AH41" s="314"/>
      <c r="AI41" s="314"/>
      <c r="AJ41" s="314"/>
      <c r="AK41" s="314"/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65300</v>
      </c>
      <c r="BG41" s="786">
        <f t="shared" si="6"/>
        <v>2</v>
      </c>
      <c r="BH41" s="786">
        <f t="shared" si="7"/>
        <v>32650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1">
        <f t="shared" ref="T42:T72" si="21">Q42/$N$293</f>
        <v>0</v>
      </c>
      <c r="U42" s="875">
        <f t="shared" si="19"/>
        <v>0</v>
      </c>
      <c r="V42" s="876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>
        <v>0</v>
      </c>
      <c r="AD42" s="314">
        <v>0</v>
      </c>
      <c r="AE42" s="314">
        <v>0</v>
      </c>
      <c r="AF42" s="314">
        <v>0</v>
      </c>
      <c r="AG42" s="314"/>
      <c r="AH42" s="314"/>
      <c r="AI42" s="314"/>
      <c r="AJ42" s="314"/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1">
        <f t="shared" si="21"/>
        <v>0</v>
      </c>
      <c r="U43" s="875">
        <f>IF(T43=0,0,P43/T43)</f>
        <v>0</v>
      </c>
      <c r="V43" s="876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>
        <v>0</v>
      </c>
      <c r="AD43" s="314">
        <v>0</v>
      </c>
      <c r="AE43" s="314">
        <v>0</v>
      </c>
      <c r="AF43" s="314">
        <v>0</v>
      </c>
      <c r="AG43" s="314"/>
      <c r="AH43" s="314"/>
      <c r="AI43" s="314"/>
      <c r="AJ43" s="314"/>
      <c r="AK43" s="314"/>
      <c r="AL43" s="314"/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1">
        <f t="shared" si="21"/>
        <v>0</v>
      </c>
      <c r="U44" s="875">
        <f>IF(T44=0,0,P44/T44)</f>
        <v>0</v>
      </c>
      <c r="V44" s="876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>
        <v>0</v>
      </c>
      <c r="AD44" s="314">
        <v>0</v>
      </c>
      <c r="AE44" s="314">
        <v>0</v>
      </c>
      <c r="AF44" s="314">
        <v>0</v>
      </c>
      <c r="AG44" s="314"/>
      <c r="AH44" s="314"/>
      <c r="AI44" s="314"/>
      <c r="AJ44" s="314"/>
      <c r="AK44" s="314"/>
      <c r="AL44" s="314"/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1</v>
      </c>
      <c r="F45" s="100">
        <f>SUMIF(pro!$A:$A,INTGRATE!$Y:$Y,pro!$N:$N)</f>
        <v>0</v>
      </c>
      <c r="G45" s="314"/>
      <c r="H45" s="314">
        <f>SUMIF(CBIN!$A:$A,INTGRATE!$Y:$Y,CBIN!$G:$G)</f>
        <v>0</v>
      </c>
      <c r="I45" s="314">
        <f>SUMIF(data!$D:$D,INTGRATE!$B45&amp;INTGRATE!$D45,data!$J:$J)</f>
        <v>0</v>
      </c>
      <c r="J45" s="314"/>
      <c r="K45" s="314"/>
      <c r="L45" s="314">
        <f>SUMIF(data!$D:$D,INTGRATE!$B45&amp;INTGRATE!$D45,data!$K:$K)</f>
        <v>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1</v>
      </c>
      <c r="P45" s="314">
        <f t="shared" si="1"/>
        <v>50</v>
      </c>
      <c r="Q45" s="314">
        <f t="shared" si="18"/>
        <v>40800</v>
      </c>
      <c r="R45" s="314"/>
      <c r="S45" s="314"/>
      <c r="T45" s="1181">
        <f t="shared" si="21"/>
        <v>8160</v>
      </c>
      <c r="U45" s="875">
        <f t="shared" si="19"/>
        <v>6.1274509803921568E-3</v>
      </c>
      <c r="V45" s="876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>
        <v>0</v>
      </c>
      <c r="AD45" s="314">
        <v>0</v>
      </c>
      <c r="AE45" s="314">
        <v>25350</v>
      </c>
      <c r="AF45" s="314">
        <v>0</v>
      </c>
      <c r="AG45" s="314"/>
      <c r="AH45" s="314"/>
      <c r="AI45" s="314"/>
      <c r="AJ45" s="314"/>
      <c r="AK45" s="314"/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40800</v>
      </c>
      <c r="BG45" s="786">
        <f t="shared" si="6"/>
        <v>2</v>
      </c>
      <c r="BH45" s="786">
        <f t="shared" si="7"/>
        <v>20400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2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1">
        <f t="shared" si="21"/>
        <v>0</v>
      </c>
      <c r="U46" s="875">
        <f t="shared" si="19"/>
        <v>0</v>
      </c>
      <c r="V46" s="876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>
        <v>0</v>
      </c>
      <c r="AD46" s="314">
        <v>0</v>
      </c>
      <c r="AE46" s="314">
        <v>0</v>
      </c>
      <c r="AF46" s="314">
        <v>0</v>
      </c>
      <c r="AG46" s="314"/>
      <c r="AH46" s="314"/>
      <c r="AI46" s="314"/>
      <c r="AJ46" s="314"/>
      <c r="AK46" s="314"/>
      <c r="AL46" s="314"/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2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1">
        <f t="shared" si="21"/>
        <v>0</v>
      </c>
      <c r="U47" s="875">
        <f t="shared" si="19"/>
        <v>0</v>
      </c>
      <c r="V47" s="876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>
        <v>0</v>
      </c>
      <c r="AD47" s="314">
        <v>0</v>
      </c>
      <c r="AE47" s="314">
        <v>0</v>
      </c>
      <c r="AF47" s="314">
        <v>0</v>
      </c>
      <c r="AG47" s="314"/>
      <c r="AH47" s="314"/>
      <c r="AI47" s="314"/>
      <c r="AJ47" s="314"/>
      <c r="AK47" s="314"/>
      <c r="AL47" s="314"/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2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875">
        <f t="shared" si="19"/>
        <v>0</v>
      </c>
      <c r="V48" s="876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>
        <v>0</v>
      </c>
      <c r="AD48" s="314">
        <v>0</v>
      </c>
      <c r="AE48" s="314">
        <v>0</v>
      </c>
      <c r="AF48" s="314">
        <v>0</v>
      </c>
      <c r="AG48" s="314"/>
      <c r="AH48" s="314"/>
      <c r="AI48" s="314"/>
      <c r="AJ48" s="314"/>
      <c r="AK48" s="314"/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2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1">
        <f t="shared" si="21"/>
        <v>0</v>
      </c>
      <c r="U49" s="875">
        <f t="shared" si="19"/>
        <v>0</v>
      </c>
      <c r="V49" s="876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>
        <v>0</v>
      </c>
      <c r="AD49" s="314">
        <v>0</v>
      </c>
      <c r="AE49" s="314">
        <v>0</v>
      </c>
      <c r="AF49" s="314">
        <v>0</v>
      </c>
      <c r="AG49" s="314"/>
      <c r="AH49" s="314"/>
      <c r="AI49" s="314"/>
      <c r="AJ49" s="314"/>
      <c r="AK49" s="314"/>
      <c r="AL49" s="314"/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2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875">
        <f t="shared" si="19"/>
        <v>0</v>
      </c>
      <c r="V50" s="876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>
        <v>0</v>
      </c>
      <c r="AD50" s="314">
        <v>0</v>
      </c>
      <c r="AE50" s="314">
        <v>0</v>
      </c>
      <c r="AF50" s="314">
        <v>0</v>
      </c>
      <c r="AG50" s="314"/>
      <c r="AH50" s="314"/>
      <c r="AI50" s="314"/>
      <c r="AJ50" s="314"/>
      <c r="AK50" s="314"/>
      <c r="AL50" s="314"/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2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875">
        <f t="shared" si="19"/>
        <v>0</v>
      </c>
      <c r="V51" s="876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>
        <v>0</v>
      </c>
      <c r="AD51" s="314">
        <v>0</v>
      </c>
      <c r="AE51" s="314">
        <v>0</v>
      </c>
      <c r="AF51" s="314">
        <v>0</v>
      </c>
      <c r="AG51" s="314"/>
      <c r="AH51" s="314"/>
      <c r="AI51" s="314"/>
      <c r="AJ51" s="314"/>
      <c r="AK51" s="314"/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2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875">
        <f>IF(T52=0,0,P52/T52)</f>
        <v>0</v>
      </c>
      <c r="V52" s="876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>
        <v>0</v>
      </c>
      <c r="AD52" s="314">
        <v>0</v>
      </c>
      <c r="AE52" s="314">
        <v>0</v>
      </c>
      <c r="AF52" s="314">
        <v>0</v>
      </c>
      <c r="AG52" s="314"/>
      <c r="AH52" s="314"/>
      <c r="AI52" s="314"/>
      <c r="AJ52" s="314"/>
      <c r="AK52" s="314"/>
      <c r="AL52" s="314"/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2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875">
        <f t="shared" si="19"/>
        <v>0</v>
      </c>
      <c r="V53" s="876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>
        <v>0</v>
      </c>
      <c r="AD53" s="314">
        <v>0</v>
      </c>
      <c r="AE53" s="314">
        <v>0</v>
      </c>
      <c r="AF53" s="314">
        <v>0</v>
      </c>
      <c r="AG53" s="314"/>
      <c r="AH53" s="314"/>
      <c r="AI53" s="314"/>
      <c r="AJ53" s="314"/>
      <c r="AK53" s="314"/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2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875">
        <f t="shared" si="19"/>
        <v>0</v>
      </c>
      <c r="V54" s="876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>
        <v>0</v>
      </c>
      <c r="AD54" s="314">
        <v>0</v>
      </c>
      <c r="AE54" s="314">
        <v>0</v>
      </c>
      <c r="AF54" s="314">
        <v>0</v>
      </c>
      <c r="AG54" s="314"/>
      <c r="AH54" s="314"/>
      <c r="AI54" s="314"/>
      <c r="AJ54" s="314"/>
      <c r="AK54" s="314"/>
      <c r="AL54" s="314"/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2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875">
        <f t="shared" si="19"/>
        <v>0</v>
      </c>
      <c r="V55" s="876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>
        <v>0</v>
      </c>
      <c r="AD55" s="314">
        <v>0</v>
      </c>
      <c r="AE55" s="314">
        <v>0</v>
      </c>
      <c r="AF55" s="314">
        <v>0</v>
      </c>
      <c r="AG55" s="314"/>
      <c r="AH55" s="314"/>
      <c r="AI55" s="314"/>
      <c r="AJ55" s="314"/>
      <c r="AK55" s="314"/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782</v>
      </c>
      <c r="F56" s="100">
        <f>SUMIF(pro!$A:$A,INTGRATE!$Y:$Y,pro!$N:$N)</f>
        <v>0</v>
      </c>
      <c r="G56" s="314"/>
      <c r="H56" s="314">
        <f>SUMIF(CBIN!$A:$A,INTGRATE!$Y:$Y,CBIN!$G:$G)</f>
        <v>0</v>
      </c>
      <c r="I56" s="314">
        <f>SUMIF(data!$D:$D,INTGRATE!$B56&amp;INTGRATE!$D56,data!$J:$J)</f>
        <v>496</v>
      </c>
      <c r="J56" s="314"/>
      <c r="K56" s="314"/>
      <c r="L56" s="314">
        <f>SUMIF(data!$D:$D,INTGRATE!$B56&amp;INTGRATE!$D56,data!$K:$K)</f>
        <v>24800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286</v>
      </c>
      <c r="P56" s="314">
        <f t="shared" ref="P56:P67" si="24">O56*D56</f>
        <v>14300</v>
      </c>
      <c r="Q56" s="314">
        <f t="shared" ref="Q56:Q79" si="25">SUM(AA56:BE56)</f>
        <v>120400</v>
      </c>
      <c r="R56" s="314"/>
      <c r="S56" s="314"/>
      <c r="T56" s="1181">
        <f t="shared" si="21"/>
        <v>24080</v>
      </c>
      <c r="U56" s="875">
        <f t="shared" si="19"/>
        <v>0.59385382059800662</v>
      </c>
      <c r="V56" s="876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>
        <v>0</v>
      </c>
      <c r="AD56" s="314">
        <v>66600</v>
      </c>
      <c r="AE56" s="314">
        <v>0</v>
      </c>
      <c r="AF56" s="314">
        <v>24800</v>
      </c>
      <c r="AG56" s="314"/>
      <c r="AH56" s="314"/>
      <c r="AI56" s="314"/>
      <c r="AJ56" s="314"/>
      <c r="AK56" s="314"/>
      <c r="AL56" s="314"/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120400</v>
      </c>
      <c r="BG56" s="786">
        <f t="shared" si="6"/>
        <v>3</v>
      </c>
      <c r="BH56" s="786">
        <f t="shared" si="7"/>
        <v>40133.333333333336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150</v>
      </c>
      <c r="F57" s="100">
        <f>SUMIF(pro!$A:$A,INTGRATE!$Y:$Y,pro!$N:$N)</f>
        <v>0</v>
      </c>
      <c r="G57" s="314"/>
      <c r="H57" s="314">
        <f>SUMIF(CBIN!$A:$A,INTGRATE!$Y:$Y,CBIN!$G:$G)</f>
        <v>0</v>
      </c>
      <c r="I57" s="314">
        <f>SUMIF(data!$D:$D,INTGRATE!$B57&amp;INTGRATE!$D57,data!$J:$J)</f>
        <v>150</v>
      </c>
      <c r="J57" s="314"/>
      <c r="K57" s="314"/>
      <c r="L57" s="314">
        <f>SUMIF(data!$D:$D,INTGRATE!$B57&amp;INTGRATE!$D57,data!$K:$K)</f>
        <v>7500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0</v>
      </c>
      <c r="P57" s="314">
        <f t="shared" si="24"/>
        <v>0</v>
      </c>
      <c r="Q57" s="314">
        <f t="shared" si="25"/>
        <v>24900</v>
      </c>
      <c r="R57" s="314"/>
      <c r="S57" s="314"/>
      <c r="T57" s="1181">
        <f t="shared" si="21"/>
        <v>4980</v>
      </c>
      <c r="U57" s="875">
        <f t="shared" si="19"/>
        <v>0</v>
      </c>
      <c r="V57" s="876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>
        <v>1200</v>
      </c>
      <c r="AD57" s="314">
        <v>0</v>
      </c>
      <c r="AE57" s="314">
        <v>8000</v>
      </c>
      <c r="AF57" s="314">
        <v>7500</v>
      </c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24900</v>
      </c>
      <c r="BG57" s="786">
        <f t="shared" si="6"/>
        <v>4</v>
      </c>
      <c r="BH57" s="786">
        <f t="shared" si="7"/>
        <v>6225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1">
        <f t="shared" si="21"/>
        <v>0</v>
      </c>
      <c r="U58" s="875">
        <f t="shared" si="19"/>
        <v>0</v>
      </c>
      <c r="V58" s="876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>
        <v>0</v>
      </c>
      <c r="AD58" s="314">
        <v>0</v>
      </c>
      <c r="AE58" s="314">
        <v>0</v>
      </c>
      <c r="AF58" s="314">
        <v>0</v>
      </c>
      <c r="AG58" s="314"/>
      <c r="AH58" s="314"/>
      <c r="AI58" s="314"/>
      <c r="AJ58" s="314"/>
      <c r="AK58" s="314"/>
      <c r="AL58" s="314"/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1">
        <f t="shared" si="21"/>
        <v>0</v>
      </c>
      <c r="U59" s="875">
        <f t="shared" si="19"/>
        <v>0</v>
      </c>
      <c r="V59" s="876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>
        <v>0</v>
      </c>
      <c r="AD59" s="314">
        <v>0</v>
      </c>
      <c r="AE59" s="314">
        <v>0</v>
      </c>
      <c r="AF59" s="314">
        <v>0</v>
      </c>
      <c r="AG59" s="314"/>
      <c r="AH59" s="314"/>
      <c r="AI59" s="314"/>
      <c r="AJ59" s="314"/>
      <c r="AK59" s="314"/>
      <c r="AL59" s="314"/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1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>
        <v>0</v>
      </c>
      <c r="AD60" s="314">
        <v>0</v>
      </c>
      <c r="AE60" s="314">
        <v>0</v>
      </c>
      <c r="AF60" s="314">
        <v>0</v>
      </c>
      <c r="AG60" s="314"/>
      <c r="AH60" s="314"/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681</v>
      </c>
      <c r="F61" s="100">
        <f>SUMIF(pro!$A:$A,INTGRATE!$Y:$Y,pro!$N:$N)</f>
        <v>0</v>
      </c>
      <c r="G61" s="314"/>
      <c r="H61" s="314">
        <f>SUMIF(CBIN!$A:$A,INTGRATE!$Y:$Y,CBIN!$G:$G)</f>
        <v>0</v>
      </c>
      <c r="I61" s="314">
        <f>SUMIF(data!$D:$D,INTGRATE!$B61&amp;INTGRATE!$D61,data!$J:$J)</f>
        <v>444</v>
      </c>
      <c r="J61" s="314"/>
      <c r="K61" s="314"/>
      <c r="L61" s="314">
        <f>SUMIF(data!$D:$D,INTGRATE!$B61&amp;INTGRATE!$D61,data!$K:$K)</f>
        <v>22200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237</v>
      </c>
      <c r="P61" s="314">
        <f t="shared" si="24"/>
        <v>11850</v>
      </c>
      <c r="Q61" s="314">
        <f t="shared" si="25"/>
        <v>72750</v>
      </c>
      <c r="R61" s="314"/>
      <c r="S61" s="314"/>
      <c r="T61" s="1181">
        <f t="shared" si="21"/>
        <v>14550</v>
      </c>
      <c r="U61" s="875">
        <f t="shared" si="19"/>
        <v>0.81443298969072164</v>
      </c>
      <c r="V61" s="876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>
        <v>8000</v>
      </c>
      <c r="AD61" s="314">
        <v>20750</v>
      </c>
      <c r="AE61" s="314">
        <v>12000</v>
      </c>
      <c r="AF61" s="314">
        <v>22200</v>
      </c>
      <c r="AG61" s="314"/>
      <c r="AH61" s="314"/>
      <c r="AI61" s="314"/>
      <c r="AJ61" s="314"/>
      <c r="AK61" s="314"/>
      <c r="AL61" s="314"/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72750</v>
      </c>
      <c r="BG61" s="786">
        <f t="shared" si="6"/>
        <v>5</v>
      </c>
      <c r="BH61" s="786">
        <f t="shared" si="7"/>
        <v>14550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0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0</v>
      </c>
      <c r="J62" s="314"/>
      <c r="K62" s="314"/>
      <c r="L62" s="314">
        <f>SUMIF(data!$D:$D,INTGRATE!$B62&amp;INTGRATE!$D62,data!$K:$K)</f>
        <v>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0</v>
      </c>
      <c r="P62" s="314">
        <f t="shared" si="24"/>
        <v>0</v>
      </c>
      <c r="Q62" s="314">
        <f t="shared" si="25"/>
        <v>64400</v>
      </c>
      <c r="R62" s="314"/>
      <c r="S62" s="314"/>
      <c r="T62" s="322">
        <f t="shared" si="21"/>
        <v>12880</v>
      </c>
      <c r="U62" s="875">
        <f t="shared" ref="U62:U80" si="26">IF(T62=0,0,P62/T62)</f>
        <v>0</v>
      </c>
      <c r="V62" s="876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>
        <v>25650</v>
      </c>
      <c r="AD62" s="314">
        <v>0</v>
      </c>
      <c r="AE62" s="314">
        <v>2300</v>
      </c>
      <c r="AF62" s="314">
        <v>0</v>
      </c>
      <c r="AG62" s="314"/>
      <c r="AH62" s="314"/>
      <c r="AI62" s="314"/>
      <c r="AJ62" s="314"/>
      <c r="AK62" s="314"/>
      <c r="AL62" s="314"/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64400</v>
      </c>
      <c r="BG62" s="786">
        <f t="shared" si="6"/>
        <v>3</v>
      </c>
      <c r="BH62" s="786">
        <f t="shared" si="7"/>
        <v>21466.666666666668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875">
        <f t="shared" si="26"/>
        <v>0</v>
      </c>
      <c r="V63" s="876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>
        <v>0</v>
      </c>
      <c r="AD63" s="314">
        <v>0</v>
      </c>
      <c r="AE63" s="314">
        <v>0</v>
      </c>
      <c r="AF63" s="314">
        <v>0</v>
      </c>
      <c r="AG63" s="314"/>
      <c r="AH63" s="314"/>
      <c r="AI63" s="314"/>
      <c r="AJ63" s="314"/>
      <c r="AK63" s="314"/>
      <c r="AL63" s="314"/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875">
        <f t="shared" si="26"/>
        <v>0</v>
      </c>
      <c r="V64" s="876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>
        <v>0</v>
      </c>
      <c r="AD64" s="314">
        <v>0</v>
      </c>
      <c r="AE64" s="314">
        <v>0</v>
      </c>
      <c r="AF64" s="314">
        <v>0</v>
      </c>
      <c r="AG64" s="314"/>
      <c r="AH64" s="314"/>
      <c r="AI64" s="314"/>
      <c r="AJ64" s="314"/>
      <c r="AK64" s="314"/>
      <c r="AL64" s="314"/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875">
        <f t="shared" si="26"/>
        <v>0</v>
      </c>
      <c r="V65" s="876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>
        <v>0</v>
      </c>
      <c r="AD65" s="314">
        <v>0</v>
      </c>
      <c r="AE65" s="314">
        <v>0</v>
      </c>
      <c r="AF65" s="314">
        <v>0</v>
      </c>
      <c r="AG65" s="314"/>
      <c r="AH65" s="314"/>
      <c r="AI65" s="314"/>
      <c r="AJ65" s="314"/>
      <c r="AK65" s="314"/>
      <c r="AL65" s="314"/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875">
        <f>IF(T66=0,0,P66/T66)</f>
        <v>0</v>
      </c>
      <c r="V66" s="876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>
        <v>0</v>
      </c>
      <c r="AD66" s="314">
        <v>0</v>
      </c>
      <c r="AE66" s="314">
        <v>0</v>
      </c>
      <c r="AF66" s="314">
        <v>0</v>
      </c>
      <c r="AG66" s="314"/>
      <c r="AH66" s="314"/>
      <c r="AI66" s="314"/>
      <c r="AJ66" s="314"/>
      <c r="AK66" s="314"/>
      <c r="AL66" s="314"/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3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875">
        <f t="shared" si="26"/>
        <v>0</v>
      </c>
      <c r="V67" s="876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>
        <v>0</v>
      </c>
      <c r="AD67" s="314">
        <v>0</v>
      </c>
      <c r="AE67" s="314">
        <v>0</v>
      </c>
      <c r="AF67" s="314">
        <v>0</v>
      </c>
      <c r="AG67" s="314"/>
      <c r="AH67" s="314"/>
      <c r="AI67" s="314"/>
      <c r="AJ67" s="314"/>
      <c r="AK67" s="314"/>
      <c r="AL67" s="314"/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3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875">
        <f t="shared" si="26"/>
        <v>0</v>
      </c>
      <c r="V68" s="876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>
        <v>0</v>
      </c>
      <c r="AD68" s="314">
        <v>0</v>
      </c>
      <c r="AE68" s="314">
        <v>0</v>
      </c>
      <c r="AF68" s="314">
        <v>0</v>
      </c>
      <c r="AG68" s="314"/>
      <c r="AH68" s="314"/>
      <c r="AI68" s="314"/>
      <c r="AJ68" s="314"/>
      <c r="AK68" s="314"/>
      <c r="AL68" s="314"/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3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875">
        <f t="shared" si="26"/>
        <v>0</v>
      </c>
      <c r="V69" s="876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>
        <v>0</v>
      </c>
      <c r="AD69" s="314">
        <v>0</v>
      </c>
      <c r="AE69" s="314">
        <v>0</v>
      </c>
      <c r="AF69" s="314">
        <v>0</v>
      </c>
      <c r="AG69" s="314"/>
      <c r="AH69" s="314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3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875">
        <f t="shared" si="26"/>
        <v>0</v>
      </c>
      <c r="V70" s="876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>
        <v>0</v>
      </c>
      <c r="AD70" s="314">
        <v>0</v>
      </c>
      <c r="AE70" s="314">
        <v>0</v>
      </c>
      <c r="AF70" s="314">
        <v>0</v>
      </c>
      <c r="AG70" s="314"/>
      <c r="AH70" s="314"/>
      <c r="AI70" s="314"/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3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875">
        <f t="shared" si="26"/>
        <v>0</v>
      </c>
      <c r="V71" s="876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>
        <v>0</v>
      </c>
      <c r="AD71" s="314">
        <v>0</v>
      </c>
      <c r="AE71" s="314">
        <v>0</v>
      </c>
      <c r="AF71" s="314">
        <v>0</v>
      </c>
      <c r="AG71" s="314"/>
      <c r="AH71" s="314"/>
      <c r="AI71" s="314"/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3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875">
        <f>IF(T72=0,0,P72/T72)</f>
        <v>0</v>
      </c>
      <c r="V72" s="876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>
        <v>0</v>
      </c>
      <c r="AD72" s="314">
        <v>0</v>
      </c>
      <c r="AE72" s="314">
        <v>0</v>
      </c>
      <c r="AF72" s="314">
        <v>0</v>
      </c>
      <c r="AG72" s="314"/>
      <c r="AH72" s="314"/>
      <c r="AI72" s="314"/>
      <c r="AJ72" s="314"/>
      <c r="AK72" s="314"/>
      <c r="AL72" s="314"/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3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875">
        <f>IF(T73=0,0,P73/T73)</f>
        <v>0</v>
      </c>
      <c r="V73" s="876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>
        <v>0</v>
      </c>
      <c r="AD73" s="314">
        <v>0</v>
      </c>
      <c r="AE73" s="314">
        <v>0</v>
      </c>
      <c r="AF73" s="314">
        <v>0</v>
      </c>
      <c r="AG73" s="314"/>
      <c r="AH73" s="314"/>
      <c r="AI73" s="314"/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44710</v>
      </c>
      <c r="R74" s="314"/>
      <c r="S74" s="314"/>
      <c r="T74" s="1184">
        <f t="shared" ref="T74:T102" si="29">Q74/$N$293</f>
        <v>8942</v>
      </c>
      <c r="U74" s="875">
        <f t="shared" si="26"/>
        <v>0</v>
      </c>
      <c r="V74" s="876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>
        <v>14990</v>
      </c>
      <c r="AD74" s="314">
        <v>14730</v>
      </c>
      <c r="AE74" s="314">
        <v>14990</v>
      </c>
      <c r="AF74" s="314">
        <v>0</v>
      </c>
      <c r="AG74" s="314"/>
      <c r="AH74" s="314"/>
      <c r="AI74" s="314"/>
      <c r="AJ74" s="314"/>
      <c r="AK74" s="314"/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44710</v>
      </c>
      <c r="BG74" s="786">
        <f t="shared" si="6"/>
        <v>3</v>
      </c>
      <c r="BH74" s="786">
        <f t="shared" si="7"/>
        <v>14903.333333333334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4">
        <f t="shared" si="29"/>
        <v>0</v>
      </c>
      <c r="U75" s="875">
        <f t="shared" si="26"/>
        <v>0</v>
      </c>
      <c r="V75" s="876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>
        <v>0</v>
      </c>
      <c r="AD75" s="314">
        <v>0</v>
      </c>
      <c r="AE75" s="314">
        <v>0</v>
      </c>
      <c r="AF75" s="314">
        <v>0</v>
      </c>
      <c r="AG75" s="314"/>
      <c r="AH75" s="314"/>
      <c r="AI75" s="314"/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4">
        <f t="shared" si="29"/>
        <v>0</v>
      </c>
      <c r="U76" s="875">
        <f>IF(T76=0,0,P76/T76)</f>
        <v>0</v>
      </c>
      <c r="V76" s="876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>
        <v>0</v>
      </c>
      <c r="AE76" s="314">
        <v>0</v>
      </c>
      <c r="AF76" s="314">
        <v>0</v>
      </c>
      <c r="AG76" s="314"/>
      <c r="AH76" s="314"/>
      <c r="AI76" s="314"/>
      <c r="AJ76" s="314"/>
      <c r="AK76" s="314"/>
      <c r="AL76" s="314"/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4">
        <f t="shared" si="29"/>
        <v>0</v>
      </c>
      <c r="U77" s="875">
        <f t="shared" si="26"/>
        <v>0</v>
      </c>
      <c r="V77" s="876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>
        <v>0</v>
      </c>
      <c r="AE77" s="314">
        <v>0</v>
      </c>
      <c r="AF77" s="314">
        <v>0</v>
      </c>
      <c r="AG77" s="314"/>
      <c r="AH77" s="314"/>
      <c r="AI77" s="314"/>
      <c r="AJ77" s="314"/>
      <c r="AK77" s="314"/>
      <c r="AL77" s="314"/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4">
        <f t="shared" si="29"/>
        <v>0</v>
      </c>
      <c r="U78" s="875">
        <f t="shared" si="26"/>
        <v>0</v>
      </c>
      <c r="V78" s="876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>
        <v>0</v>
      </c>
      <c r="AE78" s="314">
        <v>0</v>
      </c>
      <c r="AF78" s="314">
        <v>0</v>
      </c>
      <c r="AG78" s="314"/>
      <c r="AH78" s="314"/>
      <c r="AI78" s="314"/>
      <c r="AJ78" s="314"/>
      <c r="AK78" s="314"/>
      <c r="AL78" s="314"/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29840</v>
      </c>
      <c r="R79" s="314"/>
      <c r="S79" s="314"/>
      <c r="T79" s="1184">
        <f t="shared" si="29"/>
        <v>5968</v>
      </c>
      <c r="U79" s="875">
        <f t="shared" si="26"/>
        <v>0</v>
      </c>
      <c r="V79" s="876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>
        <v>0</v>
      </c>
      <c r="AE79" s="314">
        <v>15000</v>
      </c>
      <c r="AF79" s="314">
        <v>0</v>
      </c>
      <c r="AG79" s="314"/>
      <c r="AH79" s="314"/>
      <c r="AI79" s="314"/>
      <c r="AJ79" s="314"/>
      <c r="AK79" s="314"/>
      <c r="AL79" s="314"/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29840</v>
      </c>
      <c r="BG79" s="786">
        <f t="shared" si="32"/>
        <v>2</v>
      </c>
      <c r="BH79" s="786">
        <f t="shared" si="33"/>
        <v>14920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4">
        <f t="shared" si="29"/>
        <v>0</v>
      </c>
      <c r="U80" s="875">
        <f t="shared" si="26"/>
        <v>0</v>
      </c>
      <c r="V80" s="876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>
        <v>0</v>
      </c>
      <c r="AE80" s="314">
        <v>0</v>
      </c>
      <c r="AF80" s="314">
        <v>0</v>
      </c>
      <c r="AG80" s="314"/>
      <c r="AH80" s="314"/>
      <c r="AI80" s="314"/>
      <c r="AJ80" s="314"/>
      <c r="AK80" s="314"/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4">
        <f t="shared" si="29"/>
        <v>0</v>
      </c>
      <c r="U81" s="875">
        <f t="shared" ref="U81:U86" si="35">IF(T81=0,0,P81/T81)</f>
        <v>0</v>
      </c>
      <c r="V81" s="876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>
        <v>0</v>
      </c>
      <c r="AE81" s="314">
        <v>0</v>
      </c>
      <c r="AF81" s="314">
        <v>0</v>
      </c>
      <c r="AG81" s="314"/>
      <c r="AH81" s="314"/>
      <c r="AI81" s="314"/>
      <c r="AJ81" s="314"/>
      <c r="AK81" s="314"/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4">
        <f t="shared" si="29"/>
        <v>0</v>
      </c>
      <c r="U82" s="875">
        <f t="shared" si="35"/>
        <v>0</v>
      </c>
      <c r="V82" s="876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>
        <v>0</v>
      </c>
      <c r="AE82" s="314">
        <v>0</v>
      </c>
      <c r="AF82" s="314">
        <v>0</v>
      </c>
      <c r="AG82" s="314"/>
      <c r="AH82" s="314"/>
      <c r="AI82" s="314"/>
      <c r="AJ82" s="314"/>
      <c r="AK82" s="314"/>
      <c r="AL82" s="314"/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4">
        <f t="shared" si="29"/>
        <v>0</v>
      </c>
      <c r="U83" s="875">
        <f t="shared" si="35"/>
        <v>0</v>
      </c>
      <c r="V83" s="876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>
        <v>0</v>
      </c>
      <c r="AE83" s="314">
        <v>0</v>
      </c>
      <c r="AF83" s="314">
        <v>0</v>
      </c>
      <c r="AG83" s="314"/>
      <c r="AH83" s="314"/>
      <c r="AI83" s="314"/>
      <c r="AJ83" s="314"/>
      <c r="AK83" s="314"/>
      <c r="AL83" s="314"/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4">
        <f t="shared" si="29"/>
        <v>0</v>
      </c>
      <c r="U84" s="875">
        <f t="shared" si="35"/>
        <v>0</v>
      </c>
      <c r="V84" s="876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>
        <v>0</v>
      </c>
      <c r="AE84" s="314">
        <v>0</v>
      </c>
      <c r="AF84" s="314">
        <v>0</v>
      </c>
      <c r="AG84" s="314"/>
      <c r="AH84" s="314"/>
      <c r="AI84" s="314"/>
      <c r="AJ84" s="314"/>
      <c r="AK84" s="314"/>
      <c r="AL84" s="314"/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4">
        <f t="shared" si="29"/>
        <v>0</v>
      </c>
      <c r="U85" s="875">
        <f t="shared" si="35"/>
        <v>0</v>
      </c>
      <c r="V85" s="876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>
        <v>0</v>
      </c>
      <c r="AE85" s="314">
        <v>0</v>
      </c>
      <c r="AF85" s="314">
        <v>0</v>
      </c>
      <c r="AG85" s="314"/>
      <c r="AH85" s="314"/>
      <c r="AI85" s="314"/>
      <c r="AJ85" s="314"/>
      <c r="AK85" s="314"/>
      <c r="AL85" s="314"/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4">
        <f t="shared" si="29"/>
        <v>0</v>
      </c>
      <c r="U86" s="875">
        <f t="shared" si="35"/>
        <v>0</v>
      </c>
      <c r="V86" s="876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>
        <v>0</v>
      </c>
      <c r="AE86" s="314">
        <v>0</v>
      </c>
      <c r="AF86" s="314">
        <v>0</v>
      </c>
      <c r="AG86" s="314"/>
      <c r="AH86" s="314"/>
      <c r="AI86" s="314"/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4">
        <f t="shared" si="29"/>
        <v>0</v>
      </c>
      <c r="U87" s="875">
        <f>IF(T87=0,0,P87/T87)</f>
        <v>0</v>
      </c>
      <c r="V87" s="876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>
        <v>0</v>
      </c>
      <c r="AE87" s="314">
        <v>0</v>
      </c>
      <c r="AF87" s="314">
        <v>0</v>
      </c>
      <c r="AG87" s="314"/>
      <c r="AH87" s="314"/>
      <c r="AI87" s="314"/>
      <c r="AJ87" s="314"/>
      <c r="AK87" s="314"/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4">
        <f t="shared" si="29"/>
        <v>0</v>
      </c>
      <c r="U88" s="875">
        <f t="shared" ref="U88:U102" si="36">IF(T88=0,0,P88/T88)</f>
        <v>0</v>
      </c>
      <c r="V88" s="876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>
        <v>0</v>
      </c>
      <c r="AE88" s="314">
        <v>0</v>
      </c>
      <c r="AF88" s="314">
        <v>0</v>
      </c>
      <c r="AG88" s="314"/>
      <c r="AH88" s="314"/>
      <c r="AI88" s="314"/>
      <c r="AJ88" s="314"/>
      <c r="AK88" s="314"/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4">
        <f t="shared" si="29"/>
        <v>0</v>
      </c>
      <c r="U89" s="875">
        <f t="shared" si="36"/>
        <v>0</v>
      </c>
      <c r="V89" s="876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>
        <v>0</v>
      </c>
      <c r="AE89" s="314">
        <v>0</v>
      </c>
      <c r="AF89" s="314">
        <v>0</v>
      </c>
      <c r="AG89" s="314"/>
      <c r="AH89" s="314"/>
      <c r="AI89" s="314"/>
      <c r="AJ89" s="314"/>
      <c r="AK89" s="314"/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4">
        <f t="shared" si="29"/>
        <v>0</v>
      </c>
      <c r="U90" s="875">
        <f>IF(T90=0,0,P90/T90)</f>
        <v>0</v>
      </c>
      <c r="V90" s="876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>
        <v>0</v>
      </c>
      <c r="AE90" s="314">
        <v>0</v>
      </c>
      <c r="AF90" s="314">
        <v>0</v>
      </c>
      <c r="AG90" s="314"/>
      <c r="AH90" s="314"/>
      <c r="AI90" s="314"/>
      <c r="AJ90" s="314"/>
      <c r="AK90" s="314"/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4">
        <f t="shared" si="29"/>
        <v>0</v>
      </c>
      <c r="U91" s="875">
        <f>IF(T91=0,0,P91/T91)</f>
        <v>0</v>
      </c>
      <c r="V91" s="876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>
        <v>0</v>
      </c>
      <c r="AE91" s="314">
        <v>0</v>
      </c>
      <c r="AF91" s="314">
        <v>0</v>
      </c>
      <c r="AG91" s="314"/>
      <c r="AH91" s="314"/>
      <c r="AI91" s="314"/>
      <c r="AJ91" s="314"/>
      <c r="AK91" s="314"/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4">
        <f t="shared" si="29"/>
        <v>0</v>
      </c>
      <c r="U92" s="875">
        <f t="shared" si="36"/>
        <v>0</v>
      </c>
      <c r="V92" s="876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>
        <v>0</v>
      </c>
      <c r="AE92" s="314">
        <v>0</v>
      </c>
      <c r="AF92" s="314">
        <v>0</v>
      </c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4">
        <f t="shared" si="29"/>
        <v>0</v>
      </c>
      <c r="U93" s="875">
        <f>IF(T93=0,0,P93/T93)</f>
        <v>0</v>
      </c>
      <c r="V93" s="876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>
        <v>0</v>
      </c>
      <c r="AE93" s="314">
        <v>0</v>
      </c>
      <c r="AF93" s="314">
        <v>0</v>
      </c>
      <c r="AG93" s="314"/>
      <c r="AH93" s="314"/>
      <c r="AI93" s="314"/>
      <c r="AJ93" s="314"/>
      <c r="AK93" s="314"/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4">
        <f t="shared" si="29"/>
        <v>0</v>
      </c>
      <c r="U94" s="875">
        <f>IF(T94=0,0,P94/T94)</f>
        <v>0</v>
      </c>
      <c r="V94" s="876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>
        <v>0</v>
      </c>
      <c r="AE94" s="314">
        <v>0</v>
      </c>
      <c r="AF94" s="314">
        <v>0</v>
      </c>
      <c r="AG94" s="314"/>
      <c r="AH94" s="314"/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4">
        <f t="shared" si="29"/>
        <v>0</v>
      </c>
      <c r="U95" s="875">
        <f>IF(T95=0,0,P95/T95)</f>
        <v>0</v>
      </c>
      <c r="V95" s="876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>
        <v>0</v>
      </c>
      <c r="AE95" s="314">
        <v>0</v>
      </c>
      <c r="AF95" s="314">
        <v>0</v>
      </c>
      <c r="AG95" s="314"/>
      <c r="AH95" s="314"/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4">
        <f t="shared" si="29"/>
        <v>0</v>
      </c>
      <c r="U96" s="875">
        <f t="shared" si="36"/>
        <v>0</v>
      </c>
      <c r="V96" s="876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>
        <v>0</v>
      </c>
      <c r="AE96" s="314">
        <v>0</v>
      </c>
      <c r="AF96" s="314">
        <v>0</v>
      </c>
      <c r="AG96" s="314"/>
      <c r="AH96" s="314"/>
      <c r="AI96" s="314"/>
      <c r="AJ96" s="314"/>
      <c r="AK96" s="314"/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4">
        <f t="shared" si="29"/>
        <v>0</v>
      </c>
      <c r="U97" s="875">
        <f t="shared" si="36"/>
        <v>0</v>
      </c>
      <c r="V97" s="876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>
        <v>0</v>
      </c>
      <c r="AE97" s="314">
        <v>0</v>
      </c>
      <c r="AF97" s="314">
        <v>0</v>
      </c>
      <c r="AG97" s="314"/>
      <c r="AH97" s="314"/>
      <c r="AI97" s="314"/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4">
        <f t="shared" si="29"/>
        <v>0</v>
      </c>
      <c r="U98" s="875">
        <f>IF(T98=0,0,P98/T98)</f>
        <v>0</v>
      </c>
      <c r="V98" s="876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>
        <v>0</v>
      </c>
      <c r="AE98" s="314">
        <v>0</v>
      </c>
      <c r="AF98" s="314">
        <v>0</v>
      </c>
      <c r="AG98" s="314"/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4">
        <f t="shared" si="29"/>
        <v>0</v>
      </c>
      <c r="U99" s="875">
        <f t="shared" si="36"/>
        <v>0</v>
      </c>
      <c r="V99" s="876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>
        <v>0</v>
      </c>
      <c r="AE99" s="314">
        <v>0</v>
      </c>
      <c r="AF99" s="314">
        <v>0</v>
      </c>
      <c r="AG99" s="314"/>
      <c r="AH99" s="314"/>
      <c r="AI99" s="314"/>
      <c r="AJ99" s="314"/>
      <c r="AK99" s="314"/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4">
        <f t="shared" si="29"/>
        <v>0</v>
      </c>
      <c r="U100" s="875">
        <f>IF(T100=0,0,P100/T100)</f>
        <v>0</v>
      </c>
      <c r="V100" s="876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>
        <v>0</v>
      </c>
      <c r="AE100" s="314">
        <v>0</v>
      </c>
      <c r="AF100" s="314">
        <v>0</v>
      </c>
      <c r="AG100" s="314"/>
      <c r="AH100" s="314"/>
      <c r="AI100" s="314"/>
      <c r="AJ100" s="314"/>
      <c r="AK100" s="314"/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4">
        <f t="shared" si="29"/>
        <v>0</v>
      </c>
      <c r="U101" s="875">
        <f>IF(T101=0,0,P101/T101)</f>
        <v>0</v>
      </c>
      <c r="V101" s="876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>
        <v>0</v>
      </c>
      <c r="AE101" s="314">
        <v>0</v>
      </c>
      <c r="AF101" s="314">
        <v>0</v>
      </c>
      <c r="AG101" s="314"/>
      <c r="AH101" s="314"/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4">
        <f t="shared" si="29"/>
        <v>0</v>
      </c>
      <c r="U102" s="875">
        <f t="shared" si="36"/>
        <v>0</v>
      </c>
      <c r="V102" s="876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>
        <v>0</v>
      </c>
      <c r="AE102" s="314">
        <v>0</v>
      </c>
      <c r="AF102" s="314">
        <v>0</v>
      </c>
      <c r="AG102" s="314"/>
      <c r="AH102" s="314"/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872" t="s">
        <v>72</v>
      </c>
      <c r="B103" s="873"/>
      <c r="C103" s="873"/>
      <c r="D103" s="874"/>
      <c r="E103" s="429">
        <f>SUM(E62:E71,E53,E52)</f>
        <v>0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0</v>
      </c>
      <c r="J103" s="429">
        <f t="shared" si="39"/>
        <v>0</v>
      </c>
      <c r="K103" s="429">
        <f t="shared" si="39"/>
        <v>0</v>
      </c>
      <c r="L103" s="429">
        <f t="shared" si="39"/>
        <v>0</v>
      </c>
      <c r="M103" s="429">
        <f t="shared" si="39"/>
        <v>0</v>
      </c>
      <c r="N103" s="429">
        <f t="shared" si="39"/>
        <v>0</v>
      </c>
      <c r="O103" s="429">
        <f>SUM(O62:O71,O53,O52)</f>
        <v>0</v>
      </c>
      <c r="P103" s="429">
        <f>SUM(P62:P71,P53,P52)</f>
        <v>0</v>
      </c>
      <c r="Q103" s="429">
        <f t="shared" si="39"/>
        <v>64400</v>
      </c>
      <c r="R103" s="220">
        <f>SUM(R13,R16,R19)</f>
        <v>144800</v>
      </c>
      <c r="S103" s="220">
        <f>SUM(S13,S16,S19)</f>
        <v>631550</v>
      </c>
      <c r="T103" s="220">
        <f>SUM(T53,T62:T69,T48)</f>
        <v>12880</v>
      </c>
      <c r="U103" s="1052">
        <f>IF(T103=0,0,P103/T103)</f>
        <v>0</v>
      </c>
      <c r="V103" s="1053"/>
      <c r="W103" s="1071">
        <f>P108/T107</f>
        <v>1.1463858760193175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97990</v>
      </c>
      <c r="AD103" s="216">
        <f t="shared" si="41"/>
        <v>151130</v>
      </c>
      <c r="AE103" s="216">
        <f t="shared" si="41"/>
        <v>113940</v>
      </c>
      <c r="AF103" s="216">
        <f t="shared" si="41"/>
        <v>106750</v>
      </c>
      <c r="AG103" s="216">
        <f t="shared" si="41"/>
        <v>0</v>
      </c>
      <c r="AH103" s="216">
        <f t="shared" si="41"/>
        <v>0</v>
      </c>
      <c r="AI103" s="216">
        <f t="shared" si="41"/>
        <v>0</v>
      </c>
      <c r="AJ103" s="216">
        <f t="shared" si="41"/>
        <v>0</v>
      </c>
      <c r="AK103" s="216">
        <f t="shared" si="41"/>
        <v>0</v>
      </c>
      <c r="AL103" s="216">
        <f t="shared" si="41"/>
        <v>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631550</v>
      </c>
      <c r="BG103" s="202"/>
      <c r="BH103" s="202"/>
      <c r="BJ103" s="192"/>
    </row>
    <row r="104" spans="1:62" s="217" customFormat="1" ht="15" customHeight="1">
      <c r="A104" s="872" t="s">
        <v>73</v>
      </c>
      <c r="B104" s="873"/>
      <c r="C104" s="873"/>
      <c r="D104" s="874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1072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872" t="s">
        <v>337</v>
      </c>
      <c r="B105" s="873"/>
      <c r="C105" s="873"/>
      <c r="D105" s="874"/>
      <c r="E105" s="429">
        <f t="shared" ref="E105:N105" si="43">SUM(E10:E47,E49:E51,E54:E61)</f>
        <v>4409</v>
      </c>
      <c r="F105" s="429">
        <f>SUM(F10:F47,F49:F51,F54:F61)</f>
        <v>622</v>
      </c>
      <c r="G105" s="429">
        <f t="shared" si="43"/>
        <v>0</v>
      </c>
      <c r="H105" s="429">
        <f t="shared" si="43"/>
        <v>0</v>
      </c>
      <c r="I105" s="429">
        <f t="shared" si="43"/>
        <v>2135</v>
      </c>
      <c r="J105" s="429">
        <f t="shared" si="43"/>
        <v>0</v>
      </c>
      <c r="K105" s="429">
        <f t="shared" si="43"/>
        <v>0</v>
      </c>
      <c r="L105" s="429">
        <f t="shared" si="43"/>
        <v>106750</v>
      </c>
      <c r="M105" s="429">
        <f t="shared" si="43"/>
        <v>0</v>
      </c>
      <c r="N105" s="429">
        <f t="shared" si="43"/>
        <v>0</v>
      </c>
      <c r="O105" s="429">
        <f>SUM(O10:O47,O49:O51,O54:O61)</f>
        <v>2896</v>
      </c>
      <c r="P105" s="429">
        <f>SUM(P10:P47,P49:P51,P54:P61)</f>
        <v>144800</v>
      </c>
      <c r="Q105" s="429">
        <f>SUM(Q10:Q71)-Q103</f>
        <v>492600</v>
      </c>
      <c r="R105" s="429">
        <f>SUM(R11:R47,R49:R51,R54:R61)</f>
        <v>144800</v>
      </c>
      <c r="S105" s="429">
        <f>SUM(S11:S47,S49:S51,S54:S61)</f>
        <v>656450</v>
      </c>
      <c r="T105" s="429">
        <f>SUM(T10:T47,T49:T51,T54:T61)</f>
        <v>98520</v>
      </c>
      <c r="U105" s="892">
        <f>IF(T105=0,0,P105/T105)</f>
        <v>1.4697523345513601</v>
      </c>
      <c r="V105" s="893"/>
      <c r="W105" s="1072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0</v>
      </c>
      <c r="G106" s="214">
        <f>SUM(G74:G102)</f>
        <v>0</v>
      </c>
      <c r="H106" s="214">
        <f>SUM(H74:H102)</f>
        <v>0</v>
      </c>
      <c r="I106" s="214">
        <f>SUM(L74:L102)</f>
        <v>0</v>
      </c>
      <c r="J106" s="214"/>
      <c r="K106" s="214"/>
      <c r="L106" s="214">
        <f t="shared" ref="L106:Q106" si="44">SUM(L74:L102)</f>
        <v>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74550</v>
      </c>
      <c r="R106" s="218"/>
      <c r="S106" s="218"/>
      <c r="T106" s="219">
        <f>Q106/$N$293</f>
        <v>14910</v>
      </c>
      <c r="U106" s="892"/>
      <c r="V106" s="893"/>
      <c r="W106" s="1072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869" t="s">
        <v>75</v>
      </c>
      <c r="B107" s="870"/>
      <c r="C107" s="870"/>
      <c r="D107" s="871"/>
      <c r="E107" s="220">
        <f>SUM(E103:E105)</f>
        <v>4409</v>
      </c>
      <c r="F107" s="220">
        <f>SUM(F103:F105)</f>
        <v>622</v>
      </c>
      <c r="G107" s="220">
        <f>SUM(G103:G105)</f>
        <v>0</v>
      </c>
      <c r="H107" s="220">
        <f>SUM(H103:H105)</f>
        <v>0</v>
      </c>
      <c r="I107" s="220">
        <f t="shared" ref="I107:P107" si="45">SUM(I103:I105)</f>
        <v>2135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2896</v>
      </c>
      <c r="P107" s="220">
        <f t="shared" si="45"/>
        <v>144800</v>
      </c>
      <c r="Q107" s="784">
        <f>+Q108</f>
        <v>631550</v>
      </c>
      <c r="R107" s="218">
        <f>SUM(R11:R102)</f>
        <v>144800</v>
      </c>
      <c r="S107" s="218"/>
      <c r="T107" s="934">
        <f>Q107/$N$293</f>
        <v>126310</v>
      </c>
      <c r="U107" s="890" t="s">
        <v>338</v>
      </c>
      <c r="V107" s="891"/>
      <c r="W107" s="1072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872" t="s">
        <v>77</v>
      </c>
      <c r="B108" s="873"/>
      <c r="C108" s="873"/>
      <c r="D108" s="874"/>
      <c r="E108" s="214">
        <f>E103*25+E105*50+E106+E104*40</f>
        <v>220450</v>
      </c>
      <c r="F108" s="214">
        <f>F103*25+F105*50+F106+F104*40</f>
        <v>31100</v>
      </c>
      <c r="G108" s="214">
        <f>G103*25+G105*50+G106</f>
        <v>0</v>
      </c>
      <c r="H108" s="214">
        <f>H103*25+H105*50+H106</f>
        <v>0</v>
      </c>
      <c r="I108" s="214">
        <f>I103*25+I105*50+I106</f>
        <v>106750</v>
      </c>
      <c r="J108" s="214"/>
      <c r="K108" s="214"/>
      <c r="L108" s="214">
        <f>L103+L105+L106+L104</f>
        <v>106750</v>
      </c>
      <c r="M108" s="214">
        <f>+M105*50+M103*25</f>
        <v>0</v>
      </c>
      <c r="N108" s="214">
        <f>+N103*25+N104*40+N105*50</f>
        <v>0</v>
      </c>
      <c r="O108" s="485">
        <f>O103*25+O105*50+O106</f>
        <v>144800</v>
      </c>
      <c r="P108" s="214">
        <f>P103+P105+P106</f>
        <v>144800</v>
      </c>
      <c r="Q108" s="359">
        <f>+SUM(Q10:Q102)</f>
        <v>631550</v>
      </c>
      <c r="R108" s="224"/>
      <c r="S108" s="224"/>
      <c r="T108" s="935"/>
      <c r="U108" s="890"/>
      <c r="V108" s="891"/>
      <c r="W108" s="1073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33" t="s">
        <v>251</v>
      </c>
      <c r="D112" s="933"/>
      <c r="E112" s="933"/>
      <c r="F112" s="933"/>
      <c r="G112" s="933"/>
      <c r="H112" s="933"/>
      <c r="I112" s="933"/>
      <c r="J112" s="933"/>
      <c r="K112" s="933"/>
      <c r="L112" s="933"/>
      <c r="M112" s="933"/>
      <c r="N112" s="933"/>
      <c r="O112" s="933"/>
      <c r="P112" s="933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1035" t="s">
        <v>340</v>
      </c>
      <c r="D113" s="1035"/>
      <c r="E113" s="1035"/>
      <c r="F113" s="1035"/>
      <c r="G113" s="1035"/>
      <c r="H113" s="1035"/>
      <c r="I113" s="1035"/>
      <c r="J113" s="1035"/>
      <c r="K113" s="1035"/>
      <c r="L113" s="1035"/>
      <c r="M113" s="1035"/>
      <c r="N113" s="1035"/>
      <c r="O113" s="1035"/>
      <c r="P113" s="1035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1036" t="s">
        <v>341</v>
      </c>
      <c r="D114" s="1036"/>
      <c r="E114" s="1036"/>
      <c r="F114" s="1036"/>
      <c r="G114" s="1036"/>
      <c r="H114" s="1036"/>
      <c r="I114" s="1036"/>
      <c r="J114" s="1036"/>
      <c r="K114" s="1036"/>
      <c r="L114" s="1036"/>
      <c r="M114" s="1036"/>
      <c r="N114" s="1036"/>
      <c r="O114" s="1036"/>
      <c r="P114" s="1036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925" t="s">
        <v>342</v>
      </c>
      <c r="B115" s="916" t="s">
        <v>23</v>
      </c>
      <c r="C115" s="916" t="s">
        <v>24</v>
      </c>
      <c r="D115" s="928" t="s">
        <v>178</v>
      </c>
      <c r="E115" s="61" t="s">
        <v>26</v>
      </c>
      <c r="F115" s="931" t="s">
        <v>27</v>
      </c>
      <c r="G115" s="936"/>
      <c r="H115" s="932"/>
      <c r="I115" s="931" t="s">
        <v>28</v>
      </c>
      <c r="J115" s="936"/>
      <c r="K115" s="936"/>
      <c r="L115" s="936"/>
      <c r="M115" s="936"/>
      <c r="N115" s="932"/>
      <c r="O115" s="931" t="s">
        <v>29</v>
      </c>
      <c r="P115" s="932"/>
      <c r="Q115" s="183" t="s">
        <v>30</v>
      </c>
      <c r="R115" s="305"/>
      <c r="S115" s="305"/>
      <c r="T115" s="183" t="s">
        <v>31</v>
      </c>
      <c r="U115" s="919" t="s">
        <v>257</v>
      </c>
      <c r="V115" s="920"/>
      <c r="W115" s="1049" t="s">
        <v>33</v>
      </c>
      <c r="X115" s="881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926"/>
      <c r="B116" s="917"/>
      <c r="C116" s="917"/>
      <c r="D116" s="929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931" t="s">
        <v>40</v>
      </c>
      <c r="J116" s="936"/>
      <c r="K116" s="936"/>
      <c r="L116" s="932"/>
      <c r="M116" s="512" t="s">
        <v>41</v>
      </c>
      <c r="N116" s="681" t="s">
        <v>42</v>
      </c>
      <c r="O116" s="931" t="s">
        <v>43</v>
      </c>
      <c r="P116" s="932"/>
      <c r="Q116" s="683" t="s">
        <v>44</v>
      </c>
      <c r="R116" s="682"/>
      <c r="S116" s="682"/>
      <c r="T116" s="683" t="s">
        <v>45</v>
      </c>
      <c r="U116" s="921"/>
      <c r="V116" s="922"/>
      <c r="W116" s="1050"/>
      <c r="X116" s="882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927"/>
      <c r="B117" s="918"/>
      <c r="C117" s="918"/>
      <c r="D117" s="930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23"/>
      <c r="V117" s="924"/>
      <c r="W117" s="1051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8450</v>
      </c>
      <c r="F118" s="717">
        <v>0</v>
      </c>
      <c r="G118" s="281"/>
      <c r="H118" s="314">
        <f>SUMIF(CBIN!$A:$A,INTGRATE!$Y:$Y,CBIN!$G:$G)</f>
        <v>0</v>
      </c>
      <c r="I118" s="281">
        <f>SUMIF(data!$D:$D,INTGRATE!$B118&amp;INTGRATE!$D118,data!$J:$J)</f>
        <v>730</v>
      </c>
      <c r="J118" s="281"/>
      <c r="K118" s="281"/>
      <c r="L118" s="230">
        <f>SUMIF(data!$D:$D,INTGRATE!$B118&amp;INTGRATE!$D118,data!$K:$K)</f>
        <v>7300</v>
      </c>
      <c r="M118" s="314">
        <f>SUMIF(AJOUT!$A:$A,INTGRATE!$Y:$Y,AJOUT!$L:$L)</f>
        <v>1</v>
      </c>
      <c r="N118" s="717">
        <f>SUMIF(CBOUT!$A:$A,INTGRATE!$Y:$Y,CBOUT!$G:$G)</f>
        <v>0</v>
      </c>
      <c r="O118" s="482">
        <f>E118+F118+H118-I118-N118+G118-M118</f>
        <v>7719</v>
      </c>
      <c r="P118" s="281">
        <f t="shared" ref="P118:P161" si="46">O118*D118</f>
        <v>77190</v>
      </c>
      <c r="Q118" s="230">
        <f t="shared" ref="Q118:Q149" si="47">SUM(AA118:BE118)</f>
        <v>70400</v>
      </c>
      <c r="R118" s="205"/>
      <c r="S118" s="205"/>
      <c r="T118" s="230">
        <f t="shared" ref="T118:T149" si="48">Q118/$N$293</f>
        <v>14080</v>
      </c>
      <c r="U118" s="875">
        <f t="shared" ref="U118:U148" si="49">IF(T118=0,0,P118/T118)</f>
        <v>5.4822443181818183</v>
      </c>
      <c r="V118" s="876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>
        <v>6000</v>
      </c>
      <c r="AD118" s="314">
        <v>17200</v>
      </c>
      <c r="AE118" s="314">
        <v>26500</v>
      </c>
      <c r="AF118" s="314">
        <v>7300</v>
      </c>
      <c r="AG118" s="314"/>
      <c r="AH118" s="314"/>
      <c r="AI118" s="314"/>
      <c r="AJ118" s="314"/>
      <c r="AK118" s="314"/>
      <c r="AL118" s="314"/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70400</v>
      </c>
      <c r="BG118" s="786">
        <f>COUNTIF(AA118:BE118,"&gt;0")</f>
        <v>5</v>
      </c>
      <c r="BH118" s="786">
        <f>IFERROR(BF118/BG118,0)</f>
        <v>14080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3685</v>
      </c>
      <c r="F119" s="100">
        <f>SUMIF(pro!$A:$A,INTGRATE!$Y:$Y,pro!$N:$N)</f>
        <v>0</v>
      </c>
      <c r="G119" s="230"/>
      <c r="H119" s="314">
        <f>SUMIF(CBIN!$A:$A,INTGRATE!$Y:$Y,CBIN!$G:$G)</f>
        <v>0</v>
      </c>
      <c r="I119" s="230">
        <f>SUMIF(data!$D:$D,INTGRATE!$B119&amp;INTGRATE!$D119,data!$J:$J)</f>
        <v>285</v>
      </c>
      <c r="J119" s="230"/>
      <c r="K119" s="230"/>
      <c r="L119" s="230">
        <f>SUMIF(data!$D:$D,INTGRATE!$B119&amp;INTGRATE!$D119,data!$K:$K)</f>
        <v>14250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3400</v>
      </c>
      <c r="P119" s="230">
        <f t="shared" si="46"/>
        <v>170000</v>
      </c>
      <c r="Q119" s="230">
        <f t="shared" si="47"/>
        <v>146350</v>
      </c>
      <c r="R119" s="314"/>
      <c r="S119" s="205"/>
      <c r="T119" s="230">
        <f t="shared" si="48"/>
        <v>29270</v>
      </c>
      <c r="U119" s="875">
        <f t="shared" si="49"/>
        <v>5.8079945336522032</v>
      </c>
      <c r="V119" s="876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>
        <v>3000</v>
      </c>
      <c r="AD119" s="314">
        <v>51100</v>
      </c>
      <c r="AE119" s="314">
        <v>62450</v>
      </c>
      <c r="AF119" s="314">
        <v>14250</v>
      </c>
      <c r="AG119" s="314"/>
      <c r="AH119" s="314"/>
      <c r="AI119" s="314"/>
      <c r="AJ119" s="314"/>
      <c r="AK119" s="314"/>
      <c r="AL119" s="314"/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146350</v>
      </c>
      <c r="BG119" s="786">
        <f t="shared" ref="BG119:BG184" si="53">COUNTIF(AA119:BE119,"&gt;0")</f>
        <v>5</v>
      </c>
      <c r="BH119" s="786">
        <f t="shared" ref="BH119:BH184" si="54">IFERROR(BF119/BG119,0)</f>
        <v>29270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875">
        <f t="shared" si="49"/>
        <v>0</v>
      </c>
      <c r="V120" s="876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>
        <v>0</v>
      </c>
      <c r="AD120" s="314">
        <v>0</v>
      </c>
      <c r="AE120" s="314">
        <v>0</v>
      </c>
      <c r="AF120" s="314">
        <v>0</v>
      </c>
      <c r="AG120" s="314"/>
      <c r="AH120" s="314"/>
      <c r="AI120" s="314"/>
      <c r="AJ120" s="314"/>
      <c r="AK120" s="314"/>
      <c r="AL120" s="314"/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875">
        <f t="shared" si="49"/>
        <v>0</v>
      </c>
      <c r="V121" s="876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>
        <v>0</v>
      </c>
      <c r="AD121" s="314">
        <v>0</v>
      </c>
      <c r="AE121" s="314">
        <v>0</v>
      </c>
      <c r="AF121" s="314">
        <v>0</v>
      </c>
      <c r="AG121" s="314"/>
      <c r="AH121" s="314"/>
      <c r="AI121" s="314"/>
      <c r="AJ121" s="314"/>
      <c r="AK121" s="314"/>
      <c r="AL121" s="314"/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5193</v>
      </c>
      <c r="F122" s="100">
        <f>SUMIF(pro!$A:$A,INTGRATE!$Y:$Y,pro!$N:$N)</f>
        <v>0</v>
      </c>
      <c r="G122" s="230"/>
      <c r="H122" s="314">
        <f>SUMIF(CBIN!$A:$A,INTGRATE!$Y:$Y,CBIN!$G:$G)</f>
        <v>0</v>
      </c>
      <c r="I122" s="230">
        <f>SUMIF(data!$D:$D,INTGRATE!$B122&amp;INTGRATE!$D122,data!$J:$J)</f>
        <v>1715</v>
      </c>
      <c r="J122" s="230"/>
      <c r="K122" s="230"/>
      <c r="L122" s="230">
        <f>SUMIF(data!$D:$D,INTGRATE!$B122&amp;INTGRATE!$D122,data!$K:$K)</f>
        <v>85750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3478</v>
      </c>
      <c r="P122" s="230">
        <f>O122*D122</f>
        <v>173900</v>
      </c>
      <c r="Q122" s="230">
        <f>SUM(AA122:BE122)</f>
        <v>436550</v>
      </c>
      <c r="R122" s="314"/>
      <c r="S122" s="205"/>
      <c r="T122" s="230">
        <f t="shared" si="48"/>
        <v>87310</v>
      </c>
      <c r="U122" s="875">
        <f>IF(T122=0,0,P122/T122)</f>
        <v>1.9917535219333409</v>
      </c>
      <c r="V122" s="876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>
        <v>49100</v>
      </c>
      <c r="AD122" s="314">
        <v>85000</v>
      </c>
      <c r="AE122" s="314">
        <v>87900</v>
      </c>
      <c r="AF122" s="314">
        <v>85750</v>
      </c>
      <c r="AG122" s="314"/>
      <c r="AH122" s="314"/>
      <c r="AI122" s="314"/>
      <c r="AJ122" s="314"/>
      <c r="AK122" s="314"/>
      <c r="AL122" s="314"/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436550</v>
      </c>
      <c r="BG122" s="786">
        <f t="shared" si="53"/>
        <v>5</v>
      </c>
      <c r="BH122" s="786">
        <f t="shared" si="54"/>
        <v>87310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467</v>
      </c>
      <c r="F123" s="100">
        <f>SUMIF(pro!$A:$A,INTGRATE!$Y:$Y,pro!$N:$N)</f>
        <v>1526</v>
      </c>
      <c r="G123" s="230"/>
      <c r="H123" s="314">
        <f>SUMIF(CBIN!$A:$A,INTGRATE!$Y:$Y,CBIN!$G:$G)</f>
        <v>0</v>
      </c>
      <c r="I123" s="230">
        <f>SUMIF(data!$D:$D,INTGRATE!$B123&amp;INTGRATE!$D123,data!$J:$J)</f>
        <v>70</v>
      </c>
      <c r="J123" s="230"/>
      <c r="K123" s="230"/>
      <c r="L123" s="230">
        <f>SUMIF(data!$D:$D,INTGRATE!$B123&amp;INTGRATE!$D123,data!$K:$K)</f>
        <v>3500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1923</v>
      </c>
      <c r="P123" s="230">
        <f>O123*D123</f>
        <v>96150</v>
      </c>
      <c r="Q123" s="230">
        <f>SUM(AA123:BE123)</f>
        <v>130350</v>
      </c>
      <c r="R123" s="314"/>
      <c r="S123" s="205"/>
      <c r="T123" s="230">
        <f t="shared" si="48"/>
        <v>26070</v>
      </c>
      <c r="U123" s="875">
        <f>IF(T123=0,0,P123/T123)</f>
        <v>3.6881472957422323</v>
      </c>
      <c r="V123" s="876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>
        <v>42500</v>
      </c>
      <c r="AD123" s="314">
        <v>49150</v>
      </c>
      <c r="AE123" s="314">
        <v>35200</v>
      </c>
      <c r="AF123" s="314">
        <v>3500</v>
      </c>
      <c r="AG123" s="314"/>
      <c r="AH123" s="314"/>
      <c r="AI123" s="314"/>
      <c r="AJ123" s="314"/>
      <c r="AK123" s="314"/>
      <c r="AL123" s="314"/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130350</v>
      </c>
      <c r="BG123" s="786">
        <f t="shared" si="53"/>
        <v>4</v>
      </c>
      <c r="BH123" s="786">
        <f t="shared" si="54"/>
        <v>32587.5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875">
        <f t="shared" si="49"/>
        <v>0</v>
      </c>
      <c r="V124" s="876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>
        <v>0</v>
      </c>
      <c r="AD124" s="314">
        <v>0</v>
      </c>
      <c r="AE124" s="314">
        <v>0</v>
      </c>
      <c r="AF124" s="314">
        <v>0</v>
      </c>
      <c r="AG124" s="314"/>
      <c r="AH124" s="314"/>
      <c r="AI124" s="314"/>
      <c r="AJ124" s="314"/>
      <c r="AK124" s="314"/>
      <c r="AL124" s="314"/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875">
        <f t="shared" si="49"/>
        <v>0</v>
      </c>
      <c r="V125" s="876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>
        <v>0</v>
      </c>
      <c r="AD125" s="314">
        <v>0</v>
      </c>
      <c r="AE125" s="314">
        <v>0</v>
      </c>
      <c r="AF125" s="314">
        <v>0</v>
      </c>
      <c r="AG125" s="314"/>
      <c r="AH125" s="314"/>
      <c r="AI125" s="314"/>
      <c r="AJ125" s="314"/>
      <c r="AK125" s="314"/>
      <c r="AL125" s="314"/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875">
        <f>IF(T126=0,0,P126/T126)</f>
        <v>0</v>
      </c>
      <c r="V126" s="876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>
        <v>0</v>
      </c>
      <c r="AD126" s="314">
        <v>0</v>
      </c>
      <c r="AE126" s="314">
        <v>0</v>
      </c>
      <c r="AF126" s="314">
        <v>0</v>
      </c>
      <c r="AG126" s="314"/>
      <c r="AH126" s="314"/>
      <c r="AI126" s="314"/>
      <c r="AJ126" s="314"/>
      <c r="AK126" s="314"/>
      <c r="AL126" s="314"/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875">
        <f t="shared" si="49"/>
        <v>0</v>
      </c>
      <c r="V127" s="876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>
        <v>0</v>
      </c>
      <c r="AD127" s="314">
        <v>0</v>
      </c>
      <c r="AE127" s="314">
        <v>0</v>
      </c>
      <c r="AF127" s="314">
        <v>0</v>
      </c>
      <c r="AG127" s="314"/>
      <c r="AH127" s="314"/>
      <c r="AI127" s="314"/>
      <c r="AJ127" s="314"/>
      <c r="AK127" s="314"/>
      <c r="AL127" s="314"/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77190</v>
      </c>
      <c r="S128" s="314">
        <f>SUM(Q118,Q125:Q127)</f>
        <v>70400</v>
      </c>
      <c r="T128" s="230">
        <f t="shared" si="48"/>
        <v>0</v>
      </c>
      <c r="U128" s="875">
        <f t="shared" si="49"/>
        <v>0</v>
      </c>
      <c r="V128" s="876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>
        <v>0</v>
      </c>
      <c r="AD128" s="314">
        <v>0</v>
      </c>
      <c r="AE128" s="314">
        <v>0</v>
      </c>
      <c r="AF128" s="314">
        <v>0</v>
      </c>
      <c r="AG128" s="314"/>
      <c r="AH128" s="314"/>
      <c r="AI128" s="314"/>
      <c r="AJ128" s="314"/>
      <c r="AK128" s="314"/>
      <c r="AL128" s="314"/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609</v>
      </c>
      <c r="F129" s="100">
        <f>SUMIF(pro!$A:$A,INTGRATE!$Y:$Y,pro!$N:$N)</f>
        <v>0</v>
      </c>
      <c r="G129" s="230"/>
      <c r="H129" s="314">
        <f>SUMIF(CBIN!$A:$A,INTGRATE!$Y:$Y,CBIN!$G:$G)</f>
        <v>0</v>
      </c>
      <c r="I129" s="230">
        <f>SUMIF(data!$D:$D,INTGRATE!$B129&amp;INTGRATE!$D129,data!$J:$J)</f>
        <v>608</v>
      </c>
      <c r="J129" s="230"/>
      <c r="K129" s="230"/>
      <c r="L129" s="230">
        <f>SUMIF(data!$D:$D,INTGRATE!$B129&amp;INTGRATE!$D129,data!$K:$K)</f>
        <v>30400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1</v>
      </c>
      <c r="P129" s="230">
        <f t="shared" si="46"/>
        <v>50</v>
      </c>
      <c r="Q129" s="230">
        <f t="shared" si="47"/>
        <v>120750</v>
      </c>
      <c r="R129" s="314"/>
      <c r="S129" s="314"/>
      <c r="T129" s="230">
        <f t="shared" si="48"/>
        <v>24150</v>
      </c>
      <c r="U129" s="875">
        <f t="shared" si="49"/>
        <v>2.070393374741201E-3</v>
      </c>
      <c r="V129" s="876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>
        <v>0</v>
      </c>
      <c r="AD129" s="314">
        <v>27000</v>
      </c>
      <c r="AE129" s="314">
        <v>24500</v>
      </c>
      <c r="AF129" s="314">
        <v>30400</v>
      </c>
      <c r="AG129" s="314"/>
      <c r="AH129" s="314"/>
      <c r="AI129" s="314"/>
      <c r="AJ129" s="314"/>
      <c r="AK129" s="314"/>
      <c r="AL129" s="314"/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120750</v>
      </c>
      <c r="BG129" s="786">
        <f t="shared" si="53"/>
        <v>4</v>
      </c>
      <c r="BH129" s="786">
        <f t="shared" si="54"/>
        <v>30187.5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352</v>
      </c>
      <c r="F130" s="100">
        <f>SUMIF(pro!$A:$A,INTGRATE!$Y:$Y,pro!$N:$N)</f>
        <v>0</v>
      </c>
      <c r="G130" s="230"/>
      <c r="H130" s="314">
        <f>SUMIF(CBIN!$A:$A,INTGRATE!$Y:$Y,CBIN!$G:$G)</f>
        <v>0</v>
      </c>
      <c r="I130" s="230">
        <f>SUMIF(data!$D:$D,INTGRATE!$B130&amp;INTGRATE!$D130,data!$J:$J)</f>
        <v>45</v>
      </c>
      <c r="J130" s="230"/>
      <c r="K130" s="230"/>
      <c r="L130" s="230">
        <f>SUMIF(data!$D:$D,INTGRATE!$B130&amp;INTGRATE!$D130,data!$K:$K)</f>
        <v>2250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307</v>
      </c>
      <c r="P130" s="230">
        <f t="shared" si="46"/>
        <v>15350</v>
      </c>
      <c r="Q130" s="230">
        <f t="shared" si="47"/>
        <v>17250</v>
      </c>
      <c r="R130" s="543" t="s">
        <v>360</v>
      </c>
      <c r="S130" s="543" t="s">
        <v>361</v>
      </c>
      <c r="T130" s="230">
        <f t="shared" si="48"/>
        <v>3450</v>
      </c>
      <c r="U130" s="875">
        <f t="shared" si="49"/>
        <v>4.4492753623188408</v>
      </c>
      <c r="V130" s="876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>
        <v>5000</v>
      </c>
      <c r="AD130" s="314">
        <v>10000</v>
      </c>
      <c r="AE130" s="314">
        <v>0</v>
      </c>
      <c r="AF130" s="314">
        <v>2250</v>
      </c>
      <c r="AG130" s="314"/>
      <c r="AH130" s="314"/>
      <c r="AI130" s="314"/>
      <c r="AJ130" s="314"/>
      <c r="AK130" s="314"/>
      <c r="AL130" s="314"/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17250</v>
      </c>
      <c r="BG130" s="786">
        <f t="shared" si="53"/>
        <v>3</v>
      </c>
      <c r="BH130" s="786">
        <f t="shared" si="54"/>
        <v>5750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440050</v>
      </c>
      <c r="S131" s="314">
        <f>SUM(Q119:Q124,Q159,Q196:Q206)</f>
        <v>748940</v>
      </c>
      <c r="T131" s="230">
        <f t="shared" si="48"/>
        <v>0</v>
      </c>
      <c r="U131" s="875">
        <f t="shared" si="49"/>
        <v>0</v>
      </c>
      <c r="V131" s="876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>
        <v>0</v>
      </c>
      <c r="AD131" s="314">
        <v>0</v>
      </c>
      <c r="AE131" s="314">
        <v>0</v>
      </c>
      <c r="AF131" s="314">
        <v>0</v>
      </c>
      <c r="AG131" s="314"/>
      <c r="AH131" s="314"/>
      <c r="AI131" s="314"/>
      <c r="AJ131" s="314"/>
      <c r="AK131" s="314"/>
      <c r="AL131" s="314"/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875">
        <f t="shared" si="49"/>
        <v>0</v>
      </c>
      <c r="V132" s="876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>
        <v>0</v>
      </c>
      <c r="AD132" s="314">
        <v>0</v>
      </c>
      <c r="AE132" s="314">
        <v>0</v>
      </c>
      <c r="AF132" s="314">
        <v>0</v>
      </c>
      <c r="AG132" s="314"/>
      <c r="AH132" s="314"/>
      <c r="AI132" s="314"/>
      <c r="AJ132" s="314"/>
      <c r="AK132" s="314"/>
      <c r="AL132" s="314"/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805</v>
      </c>
      <c r="F133" s="100">
        <f>SUMIF(pro!$A:$A,INTGRATE!$Y:$Y,pro!$N:$N)</f>
        <v>0</v>
      </c>
      <c r="G133" s="230"/>
      <c r="H133" s="314">
        <f>SUMIF(CBIN!$A:$A,INTGRATE!$Y:$Y,CBIN!$G:$G)</f>
        <v>0</v>
      </c>
      <c r="I133" s="230">
        <f>SUMIF(data!$D:$D,INTGRATE!$B133&amp;INTGRATE!$D133,data!$J:$J)</f>
        <v>580</v>
      </c>
      <c r="J133" s="230"/>
      <c r="K133" s="230"/>
      <c r="L133" s="230">
        <f>SUMIF(data!$D:$D,INTGRATE!$B133&amp;INTGRATE!$D133,data!$K:$K)</f>
        <v>29000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225</v>
      </c>
      <c r="P133" s="230">
        <f t="shared" si="46"/>
        <v>11250</v>
      </c>
      <c r="Q133" s="230">
        <f t="shared" si="47"/>
        <v>297100</v>
      </c>
      <c r="R133" s="314"/>
      <c r="S133" s="314"/>
      <c r="T133" s="230">
        <f t="shared" si="48"/>
        <v>59420</v>
      </c>
      <c r="U133" s="875">
        <f t="shared" si="49"/>
        <v>0.1893301918545944</v>
      </c>
      <c r="V133" s="876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>
        <v>113650</v>
      </c>
      <c r="AD133" s="314">
        <v>57900</v>
      </c>
      <c r="AE133" s="314">
        <v>59000</v>
      </c>
      <c r="AF133" s="314">
        <v>29000</v>
      </c>
      <c r="AG133" s="314"/>
      <c r="AH133" s="314"/>
      <c r="AI133" s="314"/>
      <c r="AJ133" s="314"/>
      <c r="AK133" s="314"/>
      <c r="AL133" s="314"/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297100</v>
      </c>
      <c r="BG133" s="786">
        <f t="shared" si="53"/>
        <v>5</v>
      </c>
      <c r="BH133" s="786">
        <f t="shared" si="54"/>
        <v>59420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875">
        <f t="shared" si="49"/>
        <v>0</v>
      </c>
      <c r="V134" s="876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>
        <v>0</v>
      </c>
      <c r="AD134" s="314">
        <v>0</v>
      </c>
      <c r="AE134" s="314">
        <v>0</v>
      </c>
      <c r="AF134" s="314">
        <v>0</v>
      </c>
      <c r="AG134" s="314"/>
      <c r="AH134" s="314"/>
      <c r="AI134" s="314"/>
      <c r="AJ134" s="314"/>
      <c r="AK134" s="314"/>
      <c r="AL134" s="314"/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875">
        <f t="shared" si="49"/>
        <v>0</v>
      </c>
      <c r="V135" s="876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>
        <v>0</v>
      </c>
      <c r="AD135" s="314">
        <v>0</v>
      </c>
      <c r="AE135" s="314">
        <v>0</v>
      </c>
      <c r="AF135" s="314">
        <v>0</v>
      </c>
      <c r="AG135" s="314"/>
      <c r="AH135" s="314"/>
      <c r="AI135" s="314"/>
      <c r="AJ135" s="314"/>
      <c r="AK135" s="314"/>
      <c r="AL135" s="314"/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1694640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875">
        <f t="shared" si="49"/>
        <v>0</v>
      </c>
      <c r="V136" s="876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>
        <v>0</v>
      </c>
      <c r="AD136" s="314">
        <v>0</v>
      </c>
      <c r="AE136" s="314">
        <v>0</v>
      </c>
      <c r="AF136" s="314">
        <v>0</v>
      </c>
      <c r="AG136" s="314"/>
      <c r="AH136" s="314"/>
      <c r="AI136" s="314"/>
      <c r="AJ136" s="314"/>
      <c r="AK136" s="314"/>
      <c r="AL136" s="314"/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5455370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875">
        <f t="shared" si="49"/>
        <v>0</v>
      </c>
      <c r="V137" s="876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>
        <v>0</v>
      </c>
      <c r="AD137" s="314">
        <v>0</v>
      </c>
      <c r="AE137" s="314">
        <v>0</v>
      </c>
      <c r="AF137" s="314">
        <v>0</v>
      </c>
      <c r="AG137" s="314"/>
      <c r="AH137" s="314"/>
      <c r="AI137" s="314"/>
      <c r="AJ137" s="314"/>
      <c r="AK137" s="314"/>
      <c r="AL137" s="314"/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875">
        <f t="shared" si="49"/>
        <v>0</v>
      </c>
      <c r="V138" s="876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>
        <v>0</v>
      </c>
      <c r="AD138" s="314">
        <v>0</v>
      </c>
      <c r="AE138" s="314">
        <v>0</v>
      </c>
      <c r="AF138" s="314">
        <v>0</v>
      </c>
      <c r="AG138" s="314"/>
      <c r="AH138" s="314"/>
      <c r="AI138" s="314"/>
      <c r="AJ138" s="314"/>
      <c r="AK138" s="314"/>
      <c r="AL138" s="314"/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875">
        <f t="shared" si="49"/>
        <v>0</v>
      </c>
      <c r="V139" s="876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>
        <v>0</v>
      </c>
      <c r="AD139" s="314">
        <v>0</v>
      </c>
      <c r="AE139" s="314">
        <v>0</v>
      </c>
      <c r="AF139" s="314">
        <v>0</v>
      </c>
      <c r="AG139" s="314"/>
      <c r="AH139" s="314"/>
      <c r="AI139" s="314"/>
      <c r="AJ139" s="314"/>
      <c r="AK139" s="314"/>
      <c r="AL139" s="314"/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875">
        <f t="shared" si="49"/>
        <v>0</v>
      </c>
      <c r="V140" s="876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>
        <v>0</v>
      </c>
      <c r="AD140" s="314">
        <v>0</v>
      </c>
      <c r="AE140" s="314">
        <v>0</v>
      </c>
      <c r="AF140" s="314">
        <v>0</v>
      </c>
      <c r="AG140" s="314"/>
      <c r="AH140" s="314"/>
      <c r="AI140" s="314"/>
      <c r="AJ140" s="314"/>
      <c r="AK140" s="314"/>
      <c r="AL140" s="314"/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511</v>
      </c>
      <c r="F141" s="100">
        <f>SUMIF(pro!$A:$A,INTGRATE!$Y:$Y,pro!$N:$N)</f>
        <v>540</v>
      </c>
      <c r="G141" s="314"/>
      <c r="H141" s="314">
        <f>SUMIF(CBIN!$A:$A,INTGRATE!$Y:$Y,CBIN!$G:$G)</f>
        <v>0</v>
      </c>
      <c r="I141" s="230">
        <f>SUMIF(data!$D:$D,INTGRATE!$B141&amp;INTGRATE!$D141,data!$J:$J)</f>
        <v>503</v>
      </c>
      <c r="J141" s="230"/>
      <c r="K141" s="230"/>
      <c r="L141" s="230">
        <f>SUMIF(data!$D:$D,INTGRATE!$B141&amp;INTGRATE!$D141,data!$K:$K)</f>
        <v>25150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548</v>
      </c>
      <c r="P141" s="230">
        <f t="shared" si="46"/>
        <v>27400</v>
      </c>
      <c r="Q141" s="230">
        <f t="shared" si="47"/>
        <v>91000</v>
      </c>
      <c r="R141" s="543"/>
      <c r="S141" s="543"/>
      <c r="T141" s="230">
        <f t="shared" si="48"/>
        <v>18200</v>
      </c>
      <c r="U141" s="875">
        <f t="shared" si="49"/>
        <v>1.5054945054945055</v>
      </c>
      <c r="V141" s="876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>
        <v>31850</v>
      </c>
      <c r="AD141" s="314">
        <v>0</v>
      </c>
      <c r="AE141" s="314">
        <v>5000</v>
      </c>
      <c r="AF141" s="314">
        <v>25150</v>
      </c>
      <c r="AG141" s="314"/>
      <c r="AH141" s="314"/>
      <c r="AI141" s="314"/>
      <c r="AJ141" s="314"/>
      <c r="AK141" s="314"/>
      <c r="AL141" s="314"/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91000</v>
      </c>
      <c r="BG141" s="786">
        <f t="shared" si="53"/>
        <v>4</v>
      </c>
      <c r="BH141" s="786">
        <f t="shared" si="54"/>
        <v>22750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875">
        <f t="shared" si="49"/>
        <v>0</v>
      </c>
      <c r="V142" s="876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>
        <v>0</v>
      </c>
      <c r="AD142" s="314">
        <v>0</v>
      </c>
      <c r="AE142" s="314">
        <v>0</v>
      </c>
      <c r="AF142" s="314">
        <v>0</v>
      </c>
      <c r="AG142" s="314"/>
      <c r="AH142" s="314"/>
      <c r="AI142" s="314"/>
      <c r="AJ142" s="314"/>
      <c r="AK142" s="314"/>
      <c r="AL142" s="314"/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321</v>
      </c>
      <c r="F143" s="100">
        <f>SUMIF(pro!$A:$A,INTGRATE!$Y:$Y,pro!$N:$N)</f>
        <v>1960</v>
      </c>
      <c r="G143" s="314"/>
      <c r="H143" s="314">
        <f>SUMIF(CBIN!$A:$A,INTGRATE!$Y:$Y,CBIN!$G:$G)</f>
        <v>0</v>
      </c>
      <c r="I143" s="230">
        <f>SUMIF(data!$D:$D,INTGRATE!$B143&amp;INTGRATE!$D143,data!$J:$J)</f>
        <v>280</v>
      </c>
      <c r="J143" s="230"/>
      <c r="K143" s="230"/>
      <c r="L143" s="230">
        <f>SUMIF(data!$D:$D,INTGRATE!$B143&amp;INTGRATE!$D143,data!$K:$K)</f>
        <v>14000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2001</v>
      </c>
      <c r="P143" s="230">
        <f>O143*D143</f>
        <v>100050</v>
      </c>
      <c r="Q143" s="230">
        <f>SUM(AA143:BE143)</f>
        <v>231500</v>
      </c>
      <c r="R143" s="543" t="s">
        <v>378</v>
      </c>
      <c r="S143" s="543" t="s">
        <v>379</v>
      </c>
      <c r="T143" s="230">
        <f t="shared" si="48"/>
        <v>46300</v>
      </c>
      <c r="U143" s="875">
        <f>IF(T143=0,0,P143/T143)</f>
        <v>2.1609071274298057</v>
      </c>
      <c r="V143" s="876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>
        <v>12250</v>
      </c>
      <c r="AD143" s="314">
        <v>2650</v>
      </c>
      <c r="AE143" s="314">
        <v>98650</v>
      </c>
      <c r="AF143" s="314">
        <v>14000</v>
      </c>
      <c r="AG143" s="314"/>
      <c r="AH143" s="314"/>
      <c r="AI143" s="314"/>
      <c r="AJ143" s="314"/>
      <c r="AK143" s="314"/>
      <c r="AL143" s="314"/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231500</v>
      </c>
      <c r="BG143" s="786">
        <f t="shared" si="53"/>
        <v>5</v>
      </c>
      <c r="BH143" s="786">
        <f t="shared" si="54"/>
        <v>46300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179</v>
      </c>
      <c r="F144" s="100">
        <f>SUMIF(pro!$A:$A,INTGRATE!$Y:$Y,pro!$N:$N)</f>
        <v>98</v>
      </c>
      <c r="G144" s="314"/>
      <c r="H144" s="314">
        <f>SUMIF(CBIN!$A:$A,INTGRATE!$Y:$Y,CBIN!$G:$G)</f>
        <v>0</v>
      </c>
      <c r="I144" s="230">
        <f>SUMIF(data!$D:$D,INTGRATE!$B144&amp;INTGRATE!$D144,data!$J:$J)</f>
        <v>0</v>
      </c>
      <c r="J144" s="230"/>
      <c r="K144" s="230"/>
      <c r="L144" s="230">
        <f>SUMIF(data!$D:$D,INTGRATE!$B144&amp;INTGRATE!$D144,data!$K:$K)</f>
        <v>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277</v>
      </c>
      <c r="P144" s="230">
        <f t="shared" si="46"/>
        <v>13850</v>
      </c>
      <c r="Q144" s="230">
        <f t="shared" si="47"/>
        <v>56550</v>
      </c>
      <c r="R144" s="601">
        <f>SUM(P118:P260)-R137-R131-R128</f>
        <v>899900</v>
      </c>
      <c r="S144" s="601">
        <f>SUM(Q118:Q260)-S137-S131-S128</f>
        <v>7398970</v>
      </c>
      <c r="T144" s="230">
        <f t="shared" si="48"/>
        <v>11310</v>
      </c>
      <c r="U144" s="875">
        <f t="shared" si="49"/>
        <v>1.224580017683466</v>
      </c>
      <c r="V144" s="876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>
        <v>49250</v>
      </c>
      <c r="AD144" s="314">
        <v>2850</v>
      </c>
      <c r="AE144" s="314">
        <v>4450</v>
      </c>
      <c r="AF144" s="314">
        <v>0</v>
      </c>
      <c r="AG144" s="314"/>
      <c r="AH144" s="314"/>
      <c r="AI144" s="314"/>
      <c r="AJ144" s="314"/>
      <c r="AK144" s="314"/>
      <c r="AL144" s="314"/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56550</v>
      </c>
      <c r="BG144" s="786">
        <f t="shared" si="53"/>
        <v>3</v>
      </c>
      <c r="BH144" s="786">
        <f t="shared" si="54"/>
        <v>18850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69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69</v>
      </c>
      <c r="J145" s="230"/>
      <c r="K145" s="230"/>
      <c r="L145" s="230">
        <f>SUMIF(data!$D:$D,INTGRATE!$B145&amp;INTGRATE!$D145,data!$K:$K)</f>
        <v>3450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0</v>
      </c>
      <c r="P145" s="230">
        <f t="shared" si="46"/>
        <v>0</v>
      </c>
      <c r="Q145" s="230">
        <f t="shared" si="47"/>
        <v>21450</v>
      </c>
      <c r="R145" s="314"/>
      <c r="S145" s="205"/>
      <c r="T145" s="230">
        <f t="shared" si="48"/>
        <v>4290</v>
      </c>
      <c r="U145" s="875">
        <f t="shared" si="49"/>
        <v>0</v>
      </c>
      <c r="V145" s="876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>
        <v>0</v>
      </c>
      <c r="AD145" s="314">
        <v>7500</v>
      </c>
      <c r="AE145" s="314">
        <v>0</v>
      </c>
      <c r="AF145" s="314">
        <v>3450</v>
      </c>
      <c r="AG145" s="314"/>
      <c r="AH145" s="314"/>
      <c r="AI145" s="314"/>
      <c r="AJ145" s="314"/>
      <c r="AK145" s="314"/>
      <c r="AL145" s="314"/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21450</v>
      </c>
      <c r="BG145" s="786">
        <f t="shared" si="53"/>
        <v>3</v>
      </c>
      <c r="BH145" s="786">
        <f t="shared" si="54"/>
        <v>7150</v>
      </c>
      <c r="BI145" s="197">
        <f>+SUM(BF174:BF195)+SUM(BF241:BF260)</f>
        <v>1068300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10245</v>
      </c>
      <c r="F146" s="100">
        <f>SUMIF(pro!$A:$A,INTGRATE!$Y:$Y,pro!$N:$N)</f>
        <v>6807</v>
      </c>
      <c r="G146" s="314"/>
      <c r="H146" s="314">
        <f>SUMIF(CBIN!$A:$A,INTGRATE!$Y:$Y,CBIN!$G:$G)</f>
        <v>0</v>
      </c>
      <c r="I146" s="230">
        <f>SUMIF(data!$D:$D,INTGRATE!$B146&amp;INTGRATE!$D146,data!$J:$J)</f>
        <v>13350</v>
      </c>
      <c r="J146" s="230"/>
      <c r="K146" s="230"/>
      <c r="L146" s="230">
        <f>SUMIF(data!$D:$D,INTGRATE!$B146&amp;INTGRATE!$D146,data!$K:$K)</f>
        <v>667500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3702</v>
      </c>
      <c r="P146" s="230">
        <f t="shared" si="46"/>
        <v>185100</v>
      </c>
      <c r="Q146" s="230">
        <f t="shared" si="47"/>
        <v>1244350</v>
      </c>
      <c r="R146" s="543"/>
      <c r="S146" s="543"/>
      <c r="T146" s="230">
        <f t="shared" si="48"/>
        <v>248870</v>
      </c>
      <c r="U146" s="875">
        <f t="shared" si="49"/>
        <v>0.74376180335114717</v>
      </c>
      <c r="V146" s="876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>
        <v>58900</v>
      </c>
      <c r="AD146" s="314">
        <v>144450</v>
      </c>
      <c r="AE146" s="314">
        <v>308000</v>
      </c>
      <c r="AF146" s="314">
        <v>667500</v>
      </c>
      <c r="AG146" s="314"/>
      <c r="AH146" s="314"/>
      <c r="AI146" s="314"/>
      <c r="AJ146" s="314"/>
      <c r="AK146" s="314"/>
      <c r="AL146" s="314"/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1244350</v>
      </c>
      <c r="BG146" s="786">
        <f t="shared" si="53"/>
        <v>5</v>
      </c>
      <c r="BH146" s="786">
        <f t="shared" si="54"/>
        <v>248870</v>
      </c>
      <c r="BI146" s="197">
        <f>SUM(BF196:BF261)</f>
        <v>2326060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875">
        <f t="shared" si="49"/>
        <v>0</v>
      </c>
      <c r="V147" s="876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>
        <v>0</v>
      </c>
      <c r="AD147" s="314">
        <v>0</v>
      </c>
      <c r="AE147" s="314">
        <v>0</v>
      </c>
      <c r="AF147" s="314">
        <v>0</v>
      </c>
      <c r="AG147" s="314"/>
      <c r="AH147" s="314"/>
      <c r="AI147" s="314"/>
      <c r="AJ147" s="314"/>
      <c r="AK147" s="314"/>
      <c r="AL147" s="314"/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5892250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875">
        <f t="shared" si="49"/>
        <v>0</v>
      </c>
      <c r="V148" s="876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>
        <v>0</v>
      </c>
      <c r="AD148" s="314">
        <v>0</v>
      </c>
      <c r="AE148" s="314">
        <v>0</v>
      </c>
      <c r="AF148" s="314">
        <v>0</v>
      </c>
      <c r="AG148" s="314"/>
      <c r="AH148" s="314"/>
      <c r="AI148" s="314"/>
      <c r="AJ148" s="314"/>
      <c r="AK148" s="314"/>
      <c r="AL148" s="314"/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875">
        <f t="shared" ref="U149:U196" si="55">IF(T149=0,0,P149/T149)</f>
        <v>0</v>
      </c>
      <c r="V149" s="876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>
        <v>0</v>
      </c>
      <c r="AD149" s="314">
        <v>0</v>
      </c>
      <c r="AE149" s="314">
        <v>0</v>
      </c>
      <c r="AF149" s="314">
        <v>0</v>
      </c>
      <c r="AG149" s="314"/>
      <c r="AH149" s="314"/>
      <c r="AI149" s="314"/>
      <c r="AJ149" s="314"/>
      <c r="AK149" s="314"/>
      <c r="AL149" s="314"/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967</v>
      </c>
      <c r="F150" s="100">
        <f>SUMIF(pro!$A:$A,INTGRATE!$Y:$Y,pro!$N:$N)</f>
        <v>0</v>
      </c>
      <c r="G150" s="314"/>
      <c r="H150" s="314">
        <f>SUMIF(CBIN!$A:$A,INTGRATE!$Y:$Y,CBIN!$G:$G)</f>
        <v>0</v>
      </c>
      <c r="I150" s="230">
        <f>SUMIF(data!$D:$D,INTGRATE!$B150&amp;INTGRATE!$D150,data!$J:$J)</f>
        <v>0</v>
      </c>
      <c r="J150" s="230"/>
      <c r="K150" s="230"/>
      <c r="L150" s="230">
        <f>SUMIF(data!$D:$D,INTGRATE!$B150&amp;INTGRATE!$D150,data!$K:$K)</f>
        <v>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967</v>
      </c>
      <c r="P150" s="230">
        <f>O150*D150</f>
        <v>48350</v>
      </c>
      <c r="Q150" s="230">
        <f>SUM(AA150:BE150)</f>
        <v>42850</v>
      </c>
      <c r="R150" s="314"/>
      <c r="S150" s="205"/>
      <c r="T150" s="230">
        <f t="shared" ref="T150:T183" si="56">Q150/$N$293</f>
        <v>8570</v>
      </c>
      <c r="U150" s="875">
        <f>IF(T150=0,0,P150/T150)</f>
        <v>5.6417736289381564</v>
      </c>
      <c r="V150" s="876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>
        <v>0</v>
      </c>
      <c r="AD150" s="314">
        <v>0</v>
      </c>
      <c r="AE150" s="314">
        <v>0</v>
      </c>
      <c r="AF150" s="314">
        <v>0</v>
      </c>
      <c r="AG150" s="314"/>
      <c r="AH150" s="314"/>
      <c r="AI150" s="314"/>
      <c r="AJ150" s="314"/>
      <c r="AK150" s="314"/>
      <c r="AL150" s="314"/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42850</v>
      </c>
      <c r="BG150" s="786">
        <f t="shared" si="53"/>
        <v>1</v>
      </c>
      <c r="BH150" s="786">
        <f t="shared" si="54"/>
        <v>42850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875">
        <f>IF(T151=0,0,P151/T151)</f>
        <v>0</v>
      </c>
      <c r="V151" s="876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>
        <v>0</v>
      </c>
      <c r="AD151" s="314">
        <v>0</v>
      </c>
      <c r="AE151" s="314">
        <v>0</v>
      </c>
      <c r="AF151" s="314">
        <v>0</v>
      </c>
      <c r="AG151" s="314"/>
      <c r="AH151" s="314"/>
      <c r="AI151" s="314"/>
      <c r="AJ151" s="314"/>
      <c r="AK151" s="314"/>
      <c r="AL151" s="314"/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875">
        <f t="shared" si="55"/>
        <v>0</v>
      </c>
      <c r="V152" s="876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>
        <v>0</v>
      </c>
      <c r="AD152" s="314">
        <v>0</v>
      </c>
      <c r="AE152" s="314">
        <v>0</v>
      </c>
      <c r="AF152" s="314">
        <v>0</v>
      </c>
      <c r="AG152" s="314"/>
      <c r="AH152" s="314"/>
      <c r="AI152" s="314"/>
      <c r="AJ152" s="314"/>
      <c r="AK152" s="314"/>
      <c r="AL152" s="314"/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875">
        <f>IF(T153=0,0,P153/T153)</f>
        <v>0</v>
      </c>
      <c r="V153" s="876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>
        <v>0</v>
      </c>
      <c r="AD153" s="314">
        <v>0</v>
      </c>
      <c r="AE153" s="314">
        <v>0</v>
      </c>
      <c r="AF153" s="314">
        <v>0</v>
      </c>
      <c r="AG153" s="314"/>
      <c r="AH153" s="314"/>
      <c r="AI153" s="314"/>
      <c r="AJ153" s="314"/>
      <c r="AK153" s="314"/>
      <c r="AL153" s="314"/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875">
        <f>IF(T154=0,0,P154/T154)</f>
        <v>0</v>
      </c>
      <c r="V154" s="876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>
        <v>0</v>
      </c>
      <c r="AD154" s="314">
        <v>0</v>
      </c>
      <c r="AE154" s="314">
        <v>0</v>
      </c>
      <c r="AF154" s="314">
        <v>0</v>
      </c>
      <c r="AG154" s="314"/>
      <c r="AH154" s="314"/>
      <c r="AI154" s="314"/>
      <c r="AJ154" s="314"/>
      <c r="AK154" s="314"/>
      <c r="AL154" s="314"/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65</v>
      </c>
      <c r="F155" s="100">
        <f>SUMIF(pro!$A:$A,INTGRATE!$Y:$Y,pro!$N:$N)</f>
        <v>0</v>
      </c>
      <c r="G155" s="314"/>
      <c r="H155" s="314">
        <f>SUMIF(CBIN!$A:$A,INTGRATE!$Y:$Y,CBIN!$G:$G)</f>
        <v>0</v>
      </c>
      <c r="I155" s="230">
        <f>SUMIF(data!$D:$D,INTGRATE!$B155&amp;INTGRATE!$D155,data!$J:$J)</f>
        <v>0</v>
      </c>
      <c r="J155" s="230"/>
      <c r="K155" s="230"/>
      <c r="L155" s="230">
        <f>SUMIF(data!$D:$D,INTGRATE!$B155&amp;INTGRATE!$D155,data!$K:$K)</f>
        <v>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65</v>
      </c>
      <c r="P155" s="230">
        <f t="shared" si="46"/>
        <v>3250</v>
      </c>
      <c r="Q155" s="230">
        <f>SUM(AA155:BE155)</f>
        <v>520500</v>
      </c>
      <c r="R155" s="205"/>
      <c r="S155" s="205"/>
      <c r="T155" s="230">
        <f t="shared" si="56"/>
        <v>104100</v>
      </c>
      <c r="U155" s="875">
        <f t="shared" si="55"/>
        <v>3.1219980787704129E-2</v>
      </c>
      <c r="V155" s="876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>
        <v>330200</v>
      </c>
      <c r="AD155" s="314">
        <v>16800</v>
      </c>
      <c r="AE155" s="314">
        <v>0</v>
      </c>
      <c r="AF155" s="314">
        <v>0</v>
      </c>
      <c r="AG155" s="314"/>
      <c r="AH155" s="314"/>
      <c r="AI155" s="314"/>
      <c r="AJ155" s="314"/>
      <c r="AK155" s="314"/>
      <c r="AL155" s="314"/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520500</v>
      </c>
      <c r="BG155" s="786">
        <f t="shared" si="53"/>
        <v>3</v>
      </c>
      <c r="BH155" s="786">
        <f t="shared" si="54"/>
        <v>173500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875">
        <f t="shared" ref="U156" si="60">IF(T156=0,0,P156/T156)</f>
        <v>0</v>
      </c>
      <c r="V156" s="876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>
        <v>0</v>
      </c>
      <c r="AD156" s="314">
        <v>0</v>
      </c>
      <c r="AE156" s="314">
        <v>0</v>
      </c>
      <c r="AF156" s="314">
        <v>0</v>
      </c>
      <c r="AG156" s="314"/>
      <c r="AH156" s="314"/>
      <c r="AI156" s="314"/>
      <c r="AJ156" s="314"/>
      <c r="AK156" s="314"/>
      <c r="AL156" s="314"/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2008</v>
      </c>
      <c r="F157" s="100">
        <f>SUMIF(pro!$A:$A,INTGRATE!$Y:$Y,pro!$N:$N)</f>
        <v>6661</v>
      </c>
      <c r="G157" s="230"/>
      <c r="H157" s="314">
        <f>SUMIF(CBIN!$A:$A,INTGRATE!$Y:$Y,CBIN!$G:$G)</f>
        <v>0</v>
      </c>
      <c r="I157" s="230">
        <f>SUMIF(data!$D:$D,INTGRATE!$B157&amp;INTGRATE!$D157,data!$J:$J)</f>
        <v>4571</v>
      </c>
      <c r="J157" s="230"/>
      <c r="K157" s="230"/>
      <c r="L157" s="230">
        <f>SUMIF(data!$D:$D,INTGRATE!$B157&amp;INTGRATE!$D157,data!$K:$K)</f>
        <v>228550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4098</v>
      </c>
      <c r="P157" s="230">
        <f t="shared" si="46"/>
        <v>204900</v>
      </c>
      <c r="Q157" s="230">
        <f t="shared" si="57"/>
        <v>1044000</v>
      </c>
      <c r="R157" s="205"/>
      <c r="S157" s="205"/>
      <c r="T157" s="230">
        <f t="shared" si="56"/>
        <v>208800</v>
      </c>
      <c r="U157" s="875">
        <f t="shared" si="55"/>
        <v>0.98132183908045978</v>
      </c>
      <c r="V157" s="876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>
        <v>167750</v>
      </c>
      <c r="AD157" s="314">
        <v>335450</v>
      </c>
      <c r="AE157" s="314">
        <v>312250</v>
      </c>
      <c r="AF157" s="314">
        <v>228550</v>
      </c>
      <c r="AG157" s="314"/>
      <c r="AH157" s="314"/>
      <c r="AI157" s="314"/>
      <c r="AJ157" s="314"/>
      <c r="AK157" s="314"/>
      <c r="AL157" s="314"/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1044000</v>
      </c>
      <c r="BG157" s="786">
        <f t="shared" si="53"/>
        <v>4</v>
      </c>
      <c r="BH157" s="786">
        <f t="shared" si="54"/>
        <v>261000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875">
        <f t="shared" si="55"/>
        <v>0</v>
      </c>
      <c r="V158" s="876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>
        <v>0</v>
      </c>
      <c r="AD158" s="314">
        <v>0</v>
      </c>
      <c r="AE158" s="314">
        <v>0</v>
      </c>
      <c r="AF158" s="314">
        <v>0</v>
      </c>
      <c r="AG158" s="314"/>
      <c r="AH158" s="314"/>
      <c r="AI158" s="314"/>
      <c r="AJ158" s="314"/>
      <c r="AK158" s="314"/>
      <c r="AL158" s="314"/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875">
        <f t="shared" si="55"/>
        <v>0</v>
      </c>
      <c r="V159" s="876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>
        <v>0</v>
      </c>
      <c r="AD159" s="314">
        <v>0</v>
      </c>
      <c r="AE159" s="314">
        <v>0</v>
      </c>
      <c r="AF159" s="314">
        <v>0</v>
      </c>
      <c r="AG159" s="314"/>
      <c r="AH159" s="314"/>
      <c r="AI159" s="314"/>
      <c r="AJ159" s="314"/>
      <c r="AK159" s="314"/>
      <c r="AL159" s="314"/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875">
        <f>IF(T160=0,0,P160/T160)</f>
        <v>0</v>
      </c>
      <c r="V160" s="876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>
        <v>0</v>
      </c>
      <c r="AD160" s="314">
        <v>0</v>
      </c>
      <c r="AE160" s="314">
        <v>0</v>
      </c>
      <c r="AF160" s="314">
        <v>0</v>
      </c>
      <c r="AG160" s="314"/>
      <c r="AH160" s="314"/>
      <c r="AI160" s="314"/>
      <c r="AJ160" s="314"/>
      <c r="AK160" s="314"/>
      <c r="AL160" s="314"/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875">
        <f t="shared" si="55"/>
        <v>0</v>
      </c>
      <c r="V161" s="876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>
        <v>0</v>
      </c>
      <c r="AD161" s="314">
        <v>0</v>
      </c>
      <c r="AE161" s="314">
        <v>0</v>
      </c>
      <c r="AF161" s="314">
        <v>0</v>
      </c>
      <c r="AG161" s="314"/>
      <c r="AH161" s="314"/>
      <c r="AI161" s="314"/>
      <c r="AJ161" s="314"/>
      <c r="AK161" s="314"/>
      <c r="AL161" s="314"/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875">
        <f>IF(T162=0,0,P162/T162)</f>
        <v>0</v>
      </c>
      <c r="V162" s="876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>
        <v>0</v>
      </c>
      <c r="AD162" s="314">
        <v>0</v>
      </c>
      <c r="AE162" s="314">
        <v>0</v>
      </c>
      <c r="AF162" s="314">
        <v>0</v>
      </c>
      <c r="AG162" s="314"/>
      <c r="AH162" s="314"/>
      <c r="AI162" s="314"/>
      <c r="AJ162" s="314"/>
      <c r="AK162" s="314"/>
      <c r="AL162" s="314"/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875">
        <f>IF(T163=0,0,P163/T163)</f>
        <v>0</v>
      </c>
      <c r="V163" s="876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>
        <v>0</v>
      </c>
      <c r="AD163" s="314">
        <v>0</v>
      </c>
      <c r="AE163" s="314">
        <v>0</v>
      </c>
      <c r="AF163" s="314">
        <v>0</v>
      </c>
      <c r="AG163" s="314"/>
      <c r="AH163" s="314"/>
      <c r="AI163" s="314"/>
      <c r="AJ163" s="314"/>
      <c r="AK163" s="314"/>
      <c r="AL163" s="314"/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45</v>
      </c>
      <c r="F164" s="100">
        <f>SUMIF(pro!$A:$A,INTGRATE!$Y:$Y,pro!$N:$N)</f>
        <v>0</v>
      </c>
      <c r="G164" s="230"/>
      <c r="H164" s="314">
        <f>SUMIF(CBIN!$A:$A,INTGRATE!$Y:$Y,CBIN!$G:$G)</f>
        <v>0</v>
      </c>
      <c r="I164" s="230">
        <f>SUMIF(data!$D:$D,INTGRATE!$B164&amp;INTGRATE!$D164,data!$J:$J)</f>
        <v>0</v>
      </c>
      <c r="J164" s="230"/>
      <c r="K164" s="230"/>
      <c r="L164" s="230">
        <f>SUMIF(data!$D:$D,INTGRATE!$B164&amp;INTGRATE!$D164,data!$K:$K)</f>
        <v>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45</v>
      </c>
      <c r="P164" s="230">
        <f t="shared" si="65"/>
        <v>2250</v>
      </c>
      <c r="Q164" s="230">
        <f t="shared" si="66"/>
        <v>593300</v>
      </c>
      <c r="R164" s="205"/>
      <c r="S164" s="205"/>
      <c r="T164" s="230">
        <f t="shared" si="56"/>
        <v>118660</v>
      </c>
      <c r="U164" s="875">
        <f t="shared" si="55"/>
        <v>1.896173942356312E-2</v>
      </c>
      <c r="V164" s="876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>
        <v>317050</v>
      </c>
      <c r="AD164" s="314">
        <v>0</v>
      </c>
      <c r="AE164" s="314">
        <v>0</v>
      </c>
      <c r="AF164" s="314">
        <v>0</v>
      </c>
      <c r="AG164" s="314"/>
      <c r="AH164" s="314"/>
      <c r="AI164" s="314"/>
      <c r="AJ164" s="314"/>
      <c r="AK164" s="314"/>
      <c r="AL164" s="314"/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593300</v>
      </c>
      <c r="BG164" s="786">
        <f t="shared" si="53"/>
        <v>2</v>
      </c>
      <c r="BH164" s="786">
        <f t="shared" si="54"/>
        <v>296650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875">
        <f t="shared" si="55"/>
        <v>0</v>
      </c>
      <c r="V165" s="876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>
        <v>0</v>
      </c>
      <c r="AD165" s="314">
        <v>0</v>
      </c>
      <c r="AE165" s="314">
        <v>0</v>
      </c>
      <c r="AF165" s="314">
        <v>0</v>
      </c>
      <c r="AG165" s="314"/>
      <c r="AH165" s="314"/>
      <c r="AI165" s="314"/>
      <c r="AJ165" s="314"/>
      <c r="AK165" s="314"/>
      <c r="AL165" s="314"/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148</v>
      </c>
      <c r="F166" s="100">
        <f>SUMIF(pro!$A:$A,INTGRATE!$Y:$Y,pro!$N:$N)</f>
        <v>4380</v>
      </c>
      <c r="G166" s="230"/>
      <c r="H166" s="314">
        <f>SUMIF(CBIN!$A:$A,INTGRATE!$Y:$Y,CBIN!$G:$G)</f>
        <v>0</v>
      </c>
      <c r="I166" s="230">
        <f>SUMIF(data!$D:$D,INTGRATE!$B166&amp;INTGRATE!$D166,data!$J:$J)</f>
        <v>2578</v>
      </c>
      <c r="J166" s="230"/>
      <c r="K166" s="230"/>
      <c r="L166" s="230">
        <f>SUMIF(data!$D:$D,INTGRATE!$B166&amp;INTGRATE!$D166,data!$K:$K)</f>
        <v>128900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1950</v>
      </c>
      <c r="P166" s="230">
        <f t="shared" si="65"/>
        <v>97500</v>
      </c>
      <c r="Q166" s="230">
        <f t="shared" si="66"/>
        <v>479800</v>
      </c>
      <c r="R166" s="205"/>
      <c r="S166" s="205"/>
      <c r="T166" s="230">
        <f t="shared" si="56"/>
        <v>95960</v>
      </c>
      <c r="U166" s="875">
        <f t="shared" si="55"/>
        <v>1.0160483534806168</v>
      </c>
      <c r="V166" s="876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>
        <v>86450</v>
      </c>
      <c r="AD166" s="314">
        <v>54750</v>
      </c>
      <c r="AE166" s="314">
        <v>115950</v>
      </c>
      <c r="AF166" s="314">
        <v>128900</v>
      </c>
      <c r="AG166" s="314"/>
      <c r="AH166" s="314"/>
      <c r="AI166" s="314"/>
      <c r="AJ166" s="314"/>
      <c r="AK166" s="314"/>
      <c r="AL166" s="314"/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479800</v>
      </c>
      <c r="BG166" s="786">
        <f t="shared" si="53"/>
        <v>5</v>
      </c>
      <c r="BH166" s="786">
        <f t="shared" si="54"/>
        <v>95960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875">
        <f t="shared" si="55"/>
        <v>0</v>
      </c>
      <c r="V167" s="876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>
        <v>0</v>
      </c>
      <c r="AD167" s="314">
        <v>0</v>
      </c>
      <c r="AE167" s="314">
        <v>0</v>
      </c>
      <c r="AF167" s="314">
        <v>0</v>
      </c>
      <c r="AG167" s="314"/>
      <c r="AH167" s="314"/>
      <c r="AI167" s="314"/>
      <c r="AJ167" s="314"/>
      <c r="AK167" s="314"/>
      <c r="AL167" s="314"/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875">
        <f t="shared" si="55"/>
        <v>0</v>
      </c>
      <c r="V168" s="876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>
        <v>0</v>
      </c>
      <c r="AD168" s="314">
        <v>0</v>
      </c>
      <c r="AE168" s="314">
        <v>0</v>
      </c>
      <c r="AF168" s="314">
        <v>0</v>
      </c>
      <c r="AG168" s="314"/>
      <c r="AH168" s="314"/>
      <c r="AI168" s="314"/>
      <c r="AJ168" s="314"/>
      <c r="AK168" s="314"/>
      <c r="AL168" s="314"/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875">
        <f t="shared" si="55"/>
        <v>0</v>
      </c>
      <c r="V169" s="876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>
        <v>0</v>
      </c>
      <c r="AD169" s="314">
        <v>0</v>
      </c>
      <c r="AE169" s="314">
        <v>0</v>
      </c>
      <c r="AF169" s="314">
        <v>0</v>
      </c>
      <c r="AG169" s="314"/>
      <c r="AH169" s="314"/>
      <c r="AI169" s="314"/>
      <c r="AJ169" s="314"/>
      <c r="AK169" s="314"/>
      <c r="AL169" s="314"/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875">
        <f>IF(T170=0,0,P170/T170)</f>
        <v>0</v>
      </c>
      <c r="V170" s="876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>
        <v>0</v>
      </c>
      <c r="AD170" s="314">
        <v>0</v>
      </c>
      <c r="AE170" s="314">
        <v>0</v>
      </c>
      <c r="AF170" s="314">
        <v>0</v>
      </c>
      <c r="AG170" s="314"/>
      <c r="AH170" s="314"/>
      <c r="AI170" s="314"/>
      <c r="AJ170" s="314"/>
      <c r="AK170" s="314"/>
      <c r="AL170" s="314"/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875">
        <f t="shared" si="55"/>
        <v>0</v>
      </c>
      <c r="V171" s="876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>
        <v>0</v>
      </c>
      <c r="AD171" s="314">
        <v>0</v>
      </c>
      <c r="AE171" s="314">
        <v>0</v>
      </c>
      <c r="AF171" s="314">
        <v>0</v>
      </c>
      <c r="AG171" s="314"/>
      <c r="AH171" s="314"/>
      <c r="AI171" s="314"/>
      <c r="AJ171" s="314"/>
      <c r="AK171" s="314"/>
      <c r="AL171" s="314"/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875">
        <f>IF(T172=0,0,P172/T172)</f>
        <v>0</v>
      </c>
      <c r="V172" s="876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>
        <v>0</v>
      </c>
      <c r="AD172" s="314">
        <v>0</v>
      </c>
      <c r="AE172" s="314">
        <v>0</v>
      </c>
      <c r="AF172" s="314">
        <v>0</v>
      </c>
      <c r="AG172" s="314"/>
      <c r="AH172" s="314"/>
      <c r="AI172" s="314"/>
      <c r="AJ172" s="314"/>
      <c r="AK172" s="314"/>
      <c r="AL172" s="314"/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875">
        <f t="shared" si="55"/>
        <v>0</v>
      </c>
      <c r="V173" s="876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>
        <v>0</v>
      </c>
      <c r="AD173" s="314">
        <v>0</v>
      </c>
      <c r="AE173" s="314">
        <v>0</v>
      </c>
      <c r="AF173" s="314">
        <v>0</v>
      </c>
      <c r="AG173" s="314"/>
      <c r="AH173" s="314"/>
      <c r="AI173" s="314"/>
      <c r="AJ173" s="314"/>
      <c r="AK173" s="314"/>
      <c r="AL173" s="314"/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875">
        <f t="shared" si="55"/>
        <v>0</v>
      </c>
      <c r="V174" s="876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>
        <v>0</v>
      </c>
      <c r="AD174" s="314">
        <v>0</v>
      </c>
      <c r="AE174" s="314">
        <v>0</v>
      </c>
      <c r="AF174" s="314">
        <v>0</v>
      </c>
      <c r="AG174" s="314"/>
      <c r="AH174" s="314"/>
      <c r="AI174" s="314"/>
      <c r="AJ174" s="314"/>
      <c r="AK174" s="314"/>
      <c r="AL174" s="314"/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875">
        <f t="shared" ref="U175" si="71">IF(T175=0,0,P175/T175)</f>
        <v>0</v>
      </c>
      <c r="V175" s="876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>
        <v>0</v>
      </c>
      <c r="AD175" s="314">
        <v>0</v>
      </c>
      <c r="AE175" s="314">
        <v>0</v>
      </c>
      <c r="AF175" s="314">
        <v>0</v>
      </c>
      <c r="AG175" s="314"/>
      <c r="AH175" s="314"/>
      <c r="AI175" s="314"/>
      <c r="AJ175" s="314"/>
      <c r="AK175" s="314"/>
      <c r="AL175" s="314"/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0</v>
      </c>
      <c r="F176" s="100">
        <f>SUMIF(pro!$A:$A,INTGRATE!$Y:$Y,pro!$N:$N)</f>
        <v>1673</v>
      </c>
      <c r="G176" s="230"/>
      <c r="H176" s="314">
        <f>SUMIF(CBIN!$A:$A,INTGRATE!$Y:$Y,CBIN!$G:$G)</f>
        <v>0</v>
      </c>
      <c r="I176" s="230">
        <f>SUMIF(data!$D:$D,INTGRATE!$B176&amp;INTGRATE!$D176,data!$J:$J)</f>
        <v>1668</v>
      </c>
      <c r="J176" s="230"/>
      <c r="K176" s="230"/>
      <c r="L176" s="230">
        <f>SUMIF(data!$D:$D,INTGRATE!$B176&amp;INTGRATE!$D176,data!$K:$K)</f>
        <v>83400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5</v>
      </c>
      <c r="P176" s="230">
        <f t="shared" si="65"/>
        <v>250</v>
      </c>
      <c r="Q176" s="230">
        <f t="shared" si="66"/>
        <v>128400</v>
      </c>
      <c r="R176" s="205"/>
      <c r="S176" s="205"/>
      <c r="T176" s="230">
        <f t="shared" si="56"/>
        <v>25680</v>
      </c>
      <c r="U176" s="875">
        <f t="shared" si="55"/>
        <v>9.7352024922118374E-3</v>
      </c>
      <c r="V176" s="876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>
        <v>0</v>
      </c>
      <c r="AD176" s="314">
        <v>14500</v>
      </c>
      <c r="AE176" s="314">
        <v>29000</v>
      </c>
      <c r="AF176" s="314">
        <v>83400</v>
      </c>
      <c r="AG176" s="314"/>
      <c r="AH176" s="314"/>
      <c r="AI176" s="314"/>
      <c r="AJ176" s="314"/>
      <c r="AK176" s="314"/>
      <c r="AL176" s="314"/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128400</v>
      </c>
      <c r="BG176" s="786">
        <f t="shared" si="53"/>
        <v>4</v>
      </c>
      <c r="BH176" s="786">
        <f t="shared" si="54"/>
        <v>32100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875">
        <f t="shared" si="55"/>
        <v>0</v>
      </c>
      <c r="V177" s="876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>
        <v>0</v>
      </c>
      <c r="AD177" s="314">
        <v>0</v>
      </c>
      <c r="AE177" s="314">
        <v>0</v>
      </c>
      <c r="AF177" s="314">
        <v>0</v>
      </c>
      <c r="AG177" s="314"/>
      <c r="AH177" s="314"/>
      <c r="AI177" s="314"/>
      <c r="AJ177" s="314"/>
      <c r="AK177" s="314"/>
      <c r="AL177" s="314"/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875">
        <f>IF(T178=0,0,P178/T178)</f>
        <v>0</v>
      </c>
      <c r="V178" s="876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>
        <v>0</v>
      </c>
      <c r="AD178" s="314">
        <v>0</v>
      </c>
      <c r="AE178" s="314">
        <v>0</v>
      </c>
      <c r="AF178" s="314">
        <v>0</v>
      </c>
      <c r="AG178" s="314"/>
      <c r="AH178" s="314"/>
      <c r="AI178" s="314"/>
      <c r="AJ178" s="314"/>
      <c r="AK178" s="314"/>
      <c r="AL178" s="314"/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875">
        <f>IF(T179=0,0,P179/T179)</f>
        <v>0</v>
      </c>
      <c r="V179" s="876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>
        <v>0</v>
      </c>
      <c r="AD179" s="314">
        <v>0</v>
      </c>
      <c r="AE179" s="314">
        <v>0</v>
      </c>
      <c r="AF179" s="314">
        <v>0</v>
      </c>
      <c r="AG179" s="314"/>
      <c r="AH179" s="314"/>
      <c r="AI179" s="314"/>
      <c r="AJ179" s="314"/>
      <c r="AK179" s="314"/>
      <c r="AL179" s="314"/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86</v>
      </c>
      <c r="F180" s="100">
        <f>SUMIF(pro!$A:$A,INTGRATE!$Y:$Y,pro!$N:$N)</f>
        <v>0</v>
      </c>
      <c r="G180" s="230"/>
      <c r="H180" s="314">
        <f>SUMIF(CBIN!$A:$A,INTGRATE!$Y:$Y,CBIN!$G:$G)</f>
        <v>0</v>
      </c>
      <c r="I180" s="230">
        <f>SUMIF(data!$D:$D,INTGRATE!$B180&amp;INTGRATE!$D180,data!$J:$J)</f>
        <v>40</v>
      </c>
      <c r="J180" s="230"/>
      <c r="K180" s="230"/>
      <c r="L180" s="230">
        <f>SUMIF(data!$D:$D,INTGRATE!$B180&amp;INTGRATE!$D180,data!$K:$K)</f>
        <v>2000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46</v>
      </c>
      <c r="P180" s="230">
        <f>O180*D180</f>
        <v>2300</v>
      </c>
      <c r="Q180" s="230">
        <f t="shared" si="66"/>
        <v>62350</v>
      </c>
      <c r="R180" s="205"/>
      <c r="S180" s="205"/>
      <c r="T180" s="230">
        <f t="shared" si="56"/>
        <v>12470</v>
      </c>
      <c r="U180" s="875">
        <f>IF(T180=0,0,P180/T180)</f>
        <v>0.18444266238973536</v>
      </c>
      <c r="V180" s="876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>
        <v>20500</v>
      </c>
      <c r="AD180" s="314">
        <v>26400</v>
      </c>
      <c r="AE180" s="314">
        <v>0</v>
      </c>
      <c r="AF180" s="314">
        <v>2000</v>
      </c>
      <c r="AG180" s="314"/>
      <c r="AH180" s="314"/>
      <c r="AI180" s="314"/>
      <c r="AJ180" s="314"/>
      <c r="AK180" s="314"/>
      <c r="AL180" s="314"/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62350</v>
      </c>
      <c r="BG180" s="786">
        <f t="shared" si="53"/>
        <v>4</v>
      </c>
      <c r="BH180" s="786">
        <f t="shared" si="54"/>
        <v>15587.5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511</v>
      </c>
      <c r="F181" s="100">
        <f>SUMIF(pro!$A:$A,INTGRATE!$Y:$Y,pro!$N:$N)</f>
        <v>98</v>
      </c>
      <c r="G181" s="230"/>
      <c r="H181" s="314">
        <f>SUMIF(CBIN!$A:$A,INTGRATE!$Y:$Y,CBIN!$G:$G)</f>
        <v>0</v>
      </c>
      <c r="I181" s="230">
        <f>SUMIF(data!$D:$D,INTGRATE!$B181&amp;INTGRATE!$D181,data!$J:$J)</f>
        <v>200</v>
      </c>
      <c r="J181" s="230"/>
      <c r="K181" s="230"/>
      <c r="L181" s="230">
        <f>SUMIF(data!$D:$D,INTGRATE!$B181&amp;INTGRATE!$D181,data!$K:$K)</f>
        <v>10000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409</v>
      </c>
      <c r="P181" s="230">
        <f t="shared" si="65"/>
        <v>20450</v>
      </c>
      <c r="Q181" s="230">
        <f t="shared" si="66"/>
        <v>16600</v>
      </c>
      <c r="R181" s="205"/>
      <c r="S181" s="205"/>
      <c r="T181" s="230">
        <f t="shared" si="56"/>
        <v>3320</v>
      </c>
      <c r="U181" s="875">
        <f t="shared" si="55"/>
        <v>6.1596385542168672</v>
      </c>
      <c r="V181" s="876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>
        <v>0</v>
      </c>
      <c r="AD181" s="314">
        <v>3850</v>
      </c>
      <c r="AE181" s="314">
        <v>0</v>
      </c>
      <c r="AF181" s="314">
        <v>10000</v>
      </c>
      <c r="AG181" s="314"/>
      <c r="AH181" s="314"/>
      <c r="AI181" s="314"/>
      <c r="AJ181" s="314"/>
      <c r="AK181" s="314"/>
      <c r="AL181" s="314"/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16600</v>
      </c>
      <c r="BG181" s="786">
        <f t="shared" si="53"/>
        <v>3</v>
      </c>
      <c r="BH181" s="786">
        <f t="shared" si="54"/>
        <v>5533.333333333333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875">
        <f>IF(T182=0,0,P182/T182)</f>
        <v>0</v>
      </c>
      <c r="V182" s="876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>
        <v>0</v>
      </c>
      <c r="AD182" s="314">
        <v>0</v>
      </c>
      <c r="AE182" s="314">
        <v>0</v>
      </c>
      <c r="AF182" s="314">
        <v>0</v>
      </c>
      <c r="AG182" s="314"/>
      <c r="AH182" s="314"/>
      <c r="AI182" s="314"/>
      <c r="AJ182" s="314"/>
      <c r="AK182" s="314"/>
      <c r="AL182" s="314"/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150</v>
      </c>
      <c r="F183" s="100">
        <f>SUMIF(pro!$A:$A,INTGRATE!$Y:$Y,pro!$N:$N)</f>
        <v>0</v>
      </c>
      <c r="G183" s="230"/>
      <c r="H183" s="314">
        <f>SUMIF(CBIN!$A:$A,INTGRATE!$Y:$Y,CBIN!$G:$G)</f>
        <v>0</v>
      </c>
      <c r="I183" s="230">
        <f>SUMIF(data!$D:$D,INTGRATE!$B183&amp;INTGRATE!$D183,data!$J:$J)</f>
        <v>0</v>
      </c>
      <c r="J183" s="230"/>
      <c r="K183" s="230"/>
      <c r="L183" s="230">
        <f>SUMIF(data!$D:$D,INTGRATE!$B183&amp;INTGRATE!$D183,data!$K:$K)</f>
        <v>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150</v>
      </c>
      <c r="P183" s="230">
        <f t="shared" si="65"/>
        <v>7500</v>
      </c>
      <c r="Q183" s="230">
        <f t="shared" si="66"/>
        <v>16100</v>
      </c>
      <c r="R183" s="205"/>
      <c r="S183" s="205"/>
      <c r="T183" s="230">
        <f t="shared" si="56"/>
        <v>3220</v>
      </c>
      <c r="U183" s="875">
        <f t="shared" si="55"/>
        <v>2.329192546583851</v>
      </c>
      <c r="V183" s="876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>
        <v>5350</v>
      </c>
      <c r="AD183" s="314">
        <v>0</v>
      </c>
      <c r="AE183" s="314">
        <v>0</v>
      </c>
      <c r="AF183" s="314">
        <v>0</v>
      </c>
      <c r="AG183" s="314"/>
      <c r="AH183" s="314"/>
      <c r="AI183" s="314"/>
      <c r="AJ183" s="314"/>
      <c r="AK183" s="314"/>
      <c r="AL183" s="314"/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16100</v>
      </c>
      <c r="BG183" s="786">
        <f t="shared" si="53"/>
        <v>2</v>
      </c>
      <c r="BH183" s="786">
        <f t="shared" si="54"/>
        <v>8050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875">
        <f t="shared" si="55"/>
        <v>0</v>
      </c>
      <c r="V184" s="876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>
        <v>0</v>
      </c>
      <c r="AD184" s="314">
        <v>0</v>
      </c>
      <c r="AE184" s="314">
        <v>0</v>
      </c>
      <c r="AF184" s="314">
        <v>0</v>
      </c>
      <c r="AG184" s="314"/>
      <c r="AH184" s="314"/>
      <c r="AI184" s="314"/>
      <c r="AJ184" s="314"/>
      <c r="AK184" s="314"/>
      <c r="AL184" s="314"/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875">
        <f>IF(T185=0,0,P185/T185)</f>
        <v>0</v>
      </c>
      <c r="V185" s="876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>
        <v>0</v>
      </c>
      <c r="AD185" s="314">
        <v>0</v>
      </c>
      <c r="AE185" s="314">
        <v>0</v>
      </c>
      <c r="AF185" s="314">
        <v>0</v>
      </c>
      <c r="AG185" s="314"/>
      <c r="AH185" s="314"/>
      <c r="AI185" s="314"/>
      <c r="AJ185" s="314"/>
      <c r="AK185" s="314"/>
      <c r="AL185" s="314"/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875">
        <f t="shared" ref="U186:U193" si="78">IF(T186=0,0,P186/T186)</f>
        <v>0</v>
      </c>
      <c r="V186" s="876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>
        <v>0</v>
      </c>
      <c r="AD186" s="314">
        <v>0</v>
      </c>
      <c r="AE186" s="314">
        <v>0</v>
      </c>
      <c r="AF186" s="314">
        <v>0</v>
      </c>
      <c r="AG186" s="314"/>
      <c r="AH186" s="314"/>
      <c r="AI186" s="314"/>
      <c r="AJ186" s="314"/>
      <c r="AK186" s="314"/>
      <c r="AL186" s="314"/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1104</v>
      </c>
      <c r="F187" s="100">
        <f>SUMIF(pro!$A:$A,INTGRATE!$Y:$Y,pro!$N:$N)</f>
        <v>409</v>
      </c>
      <c r="G187" s="230"/>
      <c r="H187" s="314">
        <f>SUMIF(CBIN!$A:$A,INTGRATE!$Y:$Y,CBIN!$G:$G)</f>
        <v>0</v>
      </c>
      <c r="I187" s="230">
        <f>SUMIF(data!$D:$D,INTGRATE!$B187&amp;INTGRATE!$D187,data!$J:$J)</f>
        <v>727</v>
      </c>
      <c r="J187" s="230"/>
      <c r="K187" s="230"/>
      <c r="L187" s="230">
        <f>SUMIF(data!$D:$D,INTGRATE!$B187&amp;INTGRATE!$D187,data!$K:$K)</f>
        <v>36350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786</v>
      </c>
      <c r="P187" s="230">
        <f t="shared" si="65"/>
        <v>39300</v>
      </c>
      <c r="Q187" s="230">
        <f t="shared" si="74"/>
        <v>76750</v>
      </c>
      <c r="R187" s="205"/>
      <c r="S187" s="205"/>
      <c r="T187" s="230">
        <f t="shared" si="75"/>
        <v>15350</v>
      </c>
      <c r="U187" s="875">
        <f t="shared" si="78"/>
        <v>2.560260586319218</v>
      </c>
      <c r="V187" s="876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>
        <v>0</v>
      </c>
      <c r="AD187" s="314">
        <v>22250</v>
      </c>
      <c r="AE187" s="314">
        <v>0</v>
      </c>
      <c r="AF187" s="314">
        <v>36350</v>
      </c>
      <c r="AG187" s="314"/>
      <c r="AH187" s="314"/>
      <c r="AI187" s="314"/>
      <c r="AJ187" s="314"/>
      <c r="AK187" s="314"/>
      <c r="AL187" s="314"/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76750</v>
      </c>
      <c r="BG187" s="786">
        <f t="shared" si="76"/>
        <v>3</v>
      </c>
      <c r="BH187" s="786">
        <f t="shared" si="77"/>
        <v>25583.333333333332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2295</v>
      </c>
      <c r="F188" s="100">
        <f>SUMIF(pro!$A:$A,INTGRATE!$Y:$Y,pro!$N:$N)</f>
        <v>0</v>
      </c>
      <c r="G188" s="230"/>
      <c r="H188" s="314">
        <f>SUMIF(CBIN!$A:$A,INTGRATE!$Y:$Y,CBIN!$G:$G)</f>
        <v>0</v>
      </c>
      <c r="I188" s="230">
        <f>SUMIF(data!$D:$D,INTGRATE!$B188&amp;INTGRATE!$D188,data!$J:$J)</f>
        <v>0</v>
      </c>
      <c r="J188" s="230"/>
      <c r="K188" s="230"/>
      <c r="L188" s="230">
        <f>SUMIF(data!$D:$D,INTGRATE!$B188&amp;INTGRATE!$D188,data!$K:$K)</f>
        <v>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2295</v>
      </c>
      <c r="P188" s="230">
        <f>O188*D188</f>
        <v>114750</v>
      </c>
      <c r="Q188" s="230">
        <f t="shared" si="74"/>
        <v>41650</v>
      </c>
      <c r="R188" s="205"/>
      <c r="S188" s="205"/>
      <c r="T188" s="230">
        <f t="shared" si="75"/>
        <v>8330</v>
      </c>
      <c r="U188" s="875">
        <f>IF(T188=0,0,P188/T188)</f>
        <v>13.775510204081632</v>
      </c>
      <c r="V188" s="876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>
        <v>9850</v>
      </c>
      <c r="AD188" s="314">
        <v>19050</v>
      </c>
      <c r="AE188" s="314">
        <v>5000</v>
      </c>
      <c r="AF188" s="314">
        <v>0</v>
      </c>
      <c r="AG188" s="314"/>
      <c r="AH188" s="314"/>
      <c r="AI188" s="314"/>
      <c r="AJ188" s="314"/>
      <c r="AK188" s="314"/>
      <c r="AL188" s="314"/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41650</v>
      </c>
      <c r="BG188" s="786">
        <f t="shared" si="76"/>
        <v>4</v>
      </c>
      <c r="BH188" s="786">
        <f t="shared" si="77"/>
        <v>10412.5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121</v>
      </c>
      <c r="F189" s="100">
        <f>SUMIF(pro!$A:$A,INTGRATE!$Y:$Y,pro!$N:$N)</f>
        <v>0</v>
      </c>
      <c r="G189" s="230"/>
      <c r="H189" s="314"/>
      <c r="I189" s="230">
        <f>SUMIF(data!$D:$D,INTGRATE!$B189&amp;INTGRATE!$D189,data!$J:$J)</f>
        <v>0</v>
      </c>
      <c r="J189" s="230"/>
      <c r="K189" s="230"/>
      <c r="L189" s="230">
        <f>SUMIF(data!$D:$D,INTGRATE!$B189&amp;INTGRATE!$D189,data!$K:$K)</f>
        <v>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121</v>
      </c>
      <c r="P189" s="230">
        <f>O189*D189</f>
        <v>6050</v>
      </c>
      <c r="Q189" s="230">
        <f>SUM(AA189:BE189)</f>
        <v>6350</v>
      </c>
      <c r="R189" s="205"/>
      <c r="S189" s="205"/>
      <c r="T189" s="230">
        <f t="shared" si="75"/>
        <v>1270</v>
      </c>
      <c r="U189" s="875">
        <f>IF(T189=0,0,P189/T189)</f>
        <v>4.7637795275590555</v>
      </c>
      <c r="V189" s="876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>
        <v>0</v>
      </c>
      <c r="AD189" s="314">
        <v>0</v>
      </c>
      <c r="AE189" s="314">
        <v>0</v>
      </c>
      <c r="AF189" s="314">
        <v>0</v>
      </c>
      <c r="AG189" s="314"/>
      <c r="AH189" s="314"/>
      <c r="AI189" s="314"/>
      <c r="AJ189" s="314"/>
      <c r="AK189" s="314"/>
      <c r="AL189" s="314"/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6350</v>
      </c>
      <c r="BG189" s="786">
        <f t="shared" si="76"/>
        <v>1</v>
      </c>
      <c r="BH189" s="786">
        <f t="shared" si="77"/>
        <v>6350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875">
        <f t="shared" si="78"/>
        <v>0</v>
      </c>
      <c r="V190" s="876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>
        <v>0</v>
      </c>
      <c r="AD190" s="314">
        <v>0</v>
      </c>
      <c r="AE190" s="314">
        <v>0</v>
      </c>
      <c r="AF190" s="314">
        <v>0</v>
      </c>
      <c r="AG190" s="314"/>
      <c r="AH190" s="314"/>
      <c r="AI190" s="314"/>
      <c r="AJ190" s="314"/>
      <c r="AK190" s="314"/>
      <c r="AL190" s="314"/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875">
        <f t="shared" si="78"/>
        <v>0</v>
      </c>
      <c r="V191" s="876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>
        <v>0</v>
      </c>
      <c r="AD191" s="314">
        <v>0</v>
      </c>
      <c r="AE191" s="314">
        <v>0</v>
      </c>
      <c r="AF191" s="314">
        <v>0</v>
      </c>
      <c r="AG191" s="314"/>
      <c r="AH191" s="314"/>
      <c r="AI191" s="314"/>
      <c r="AJ191" s="314"/>
      <c r="AK191" s="314"/>
      <c r="AL191" s="314"/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875">
        <f t="shared" si="78"/>
        <v>0</v>
      </c>
      <c r="V192" s="876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>
        <v>0</v>
      </c>
      <c r="AD192" s="314">
        <v>0</v>
      </c>
      <c r="AE192" s="314">
        <v>0</v>
      </c>
      <c r="AF192" s="314">
        <v>0</v>
      </c>
      <c r="AG192" s="314"/>
      <c r="AH192" s="314"/>
      <c r="AI192" s="314"/>
      <c r="AJ192" s="314"/>
      <c r="AK192" s="314"/>
      <c r="AL192" s="314"/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875">
        <f t="shared" si="78"/>
        <v>0</v>
      </c>
      <c r="V193" s="876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>
        <v>0</v>
      </c>
      <c r="AD193" s="314">
        <v>0</v>
      </c>
      <c r="AE193" s="314">
        <v>0</v>
      </c>
      <c r="AF193" s="314">
        <v>0</v>
      </c>
      <c r="AG193" s="314"/>
      <c r="AH193" s="314"/>
      <c r="AI193" s="314"/>
      <c r="AJ193" s="314"/>
      <c r="AK193" s="314"/>
      <c r="AL193" s="314"/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875">
        <f>IF(T194=0,0,P194/T194)</f>
        <v>0</v>
      </c>
      <c r="V194" s="876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>
        <v>0</v>
      </c>
      <c r="AD194" s="314">
        <v>0</v>
      </c>
      <c r="AE194" s="314">
        <v>0</v>
      </c>
      <c r="AF194" s="314">
        <v>0</v>
      </c>
      <c r="AG194" s="314"/>
      <c r="AH194" s="314"/>
      <c r="AI194" s="314"/>
      <c r="AJ194" s="314"/>
      <c r="AK194" s="314"/>
      <c r="AL194" s="314"/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875">
        <f t="shared" si="55"/>
        <v>0</v>
      </c>
      <c r="V195" s="876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>
        <v>0</v>
      </c>
      <c r="AD195" s="314">
        <v>0</v>
      </c>
      <c r="AE195" s="314">
        <v>0</v>
      </c>
      <c r="AF195" s="314">
        <v>0</v>
      </c>
      <c r="AG195" s="314"/>
      <c r="AH195" s="314"/>
      <c r="AI195" s="314"/>
      <c r="AJ195" s="314"/>
      <c r="AK195" s="314"/>
      <c r="AL195" s="314"/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875">
        <f t="shared" si="55"/>
        <v>0</v>
      </c>
      <c r="V196" s="876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>
        <v>0</v>
      </c>
      <c r="AD196" s="314">
        <v>0</v>
      </c>
      <c r="AE196" s="314">
        <v>0</v>
      </c>
      <c r="AF196" s="314">
        <v>0</v>
      </c>
      <c r="AG196" s="314"/>
      <c r="AH196" s="314"/>
      <c r="AI196" s="314"/>
      <c r="AJ196" s="314"/>
      <c r="AK196" s="314"/>
      <c r="AL196" s="314"/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875">
        <f t="shared" ref="U197:U260" si="80">IF(T197=0,0,P197/T197)</f>
        <v>0</v>
      </c>
      <c r="V197" s="876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>
        <v>0</v>
      </c>
      <c r="AD197" s="314">
        <v>0</v>
      </c>
      <c r="AE197" s="314">
        <v>0</v>
      </c>
      <c r="AF197" s="314">
        <v>0</v>
      </c>
      <c r="AG197" s="314"/>
      <c r="AH197" s="314"/>
      <c r="AI197" s="314"/>
      <c r="AJ197" s="314"/>
      <c r="AK197" s="314"/>
      <c r="AL197" s="314"/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875">
        <f t="shared" si="80"/>
        <v>0</v>
      </c>
      <c r="V198" s="876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>
        <v>0</v>
      </c>
      <c r="AD198" s="314">
        <v>0</v>
      </c>
      <c r="AE198" s="314">
        <v>0</v>
      </c>
      <c r="AF198" s="314">
        <v>0</v>
      </c>
      <c r="AG198" s="314"/>
      <c r="AH198" s="314"/>
      <c r="AI198" s="314"/>
      <c r="AJ198" s="314"/>
      <c r="AK198" s="314"/>
      <c r="AL198" s="314"/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875">
        <f t="shared" si="80"/>
        <v>0</v>
      </c>
      <c r="V199" s="876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>
        <v>0</v>
      </c>
      <c r="AD199" s="314">
        <v>0</v>
      </c>
      <c r="AE199" s="314">
        <v>0</v>
      </c>
      <c r="AF199" s="314">
        <v>0</v>
      </c>
      <c r="AG199" s="314"/>
      <c r="AH199" s="314"/>
      <c r="AI199" s="314"/>
      <c r="AJ199" s="314"/>
      <c r="AK199" s="314"/>
      <c r="AL199" s="314"/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5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875">
        <f t="shared" si="80"/>
        <v>0</v>
      </c>
      <c r="V200" s="876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>
        <v>0</v>
      </c>
      <c r="AD200" s="314">
        <v>0</v>
      </c>
      <c r="AE200" s="314">
        <v>0</v>
      </c>
      <c r="AF200" s="314">
        <v>0</v>
      </c>
      <c r="AG200" s="314"/>
      <c r="AH200" s="314"/>
      <c r="AI200" s="314"/>
      <c r="AJ200" s="314"/>
      <c r="AK200" s="314"/>
      <c r="AL200" s="314"/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5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875">
        <f t="shared" si="80"/>
        <v>0</v>
      </c>
      <c r="V201" s="876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>
        <v>0</v>
      </c>
      <c r="AD201" s="314">
        <v>0</v>
      </c>
      <c r="AE201" s="314">
        <v>0</v>
      </c>
      <c r="AF201" s="314">
        <v>0</v>
      </c>
      <c r="AG201" s="314"/>
      <c r="AH201" s="314"/>
      <c r="AI201" s="314"/>
      <c r="AJ201" s="314"/>
      <c r="AK201" s="314"/>
      <c r="AL201" s="314"/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0</v>
      </c>
      <c r="G202" s="1185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14520</v>
      </c>
      <c r="R202" s="205"/>
      <c r="S202" s="205"/>
      <c r="T202" s="345">
        <f t="shared" si="75"/>
        <v>2904</v>
      </c>
      <c r="U202" s="875">
        <f t="shared" si="80"/>
        <v>0</v>
      </c>
      <c r="V202" s="876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>
        <v>14520</v>
      </c>
      <c r="AD202" s="314">
        <v>0</v>
      </c>
      <c r="AE202" s="314">
        <v>0</v>
      </c>
      <c r="AF202" s="314">
        <v>0</v>
      </c>
      <c r="AG202" s="314"/>
      <c r="AH202" s="314"/>
      <c r="AI202" s="314"/>
      <c r="AJ202" s="314"/>
      <c r="AK202" s="314"/>
      <c r="AL202" s="314"/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14520</v>
      </c>
      <c r="BG202" s="786">
        <f t="shared" si="76"/>
        <v>1</v>
      </c>
      <c r="BH202" s="786">
        <f t="shared" si="77"/>
        <v>14520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0</v>
      </c>
      <c r="G203" s="1185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21170</v>
      </c>
      <c r="R203" s="205"/>
      <c r="S203" s="205"/>
      <c r="T203" s="345">
        <f t="shared" si="75"/>
        <v>4234</v>
      </c>
      <c r="U203" s="875">
        <f t="shared" si="80"/>
        <v>0</v>
      </c>
      <c r="V203" s="876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>
        <v>21170</v>
      </c>
      <c r="AD203" s="314">
        <v>0</v>
      </c>
      <c r="AE203" s="314">
        <v>0</v>
      </c>
      <c r="AF203" s="314">
        <v>0</v>
      </c>
      <c r="AG203" s="314"/>
      <c r="AH203" s="314"/>
      <c r="AI203" s="314"/>
      <c r="AJ203" s="314"/>
      <c r="AK203" s="314"/>
      <c r="AL203" s="314"/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21170</v>
      </c>
      <c r="BG203" s="786">
        <f t="shared" si="76"/>
        <v>1</v>
      </c>
      <c r="BH203" s="786">
        <f t="shared" si="77"/>
        <v>21170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875">
        <f t="shared" si="80"/>
        <v>0</v>
      </c>
      <c r="V204" s="876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>
        <v>0</v>
      </c>
      <c r="AD204" s="314">
        <v>0</v>
      </c>
      <c r="AE204" s="314">
        <v>0</v>
      </c>
      <c r="AF204" s="314">
        <v>0</v>
      </c>
      <c r="AG204" s="314"/>
      <c r="AH204" s="314"/>
      <c r="AI204" s="314"/>
      <c r="AJ204" s="314"/>
      <c r="AK204" s="314"/>
      <c r="AL204" s="314"/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875">
        <f t="shared" si="80"/>
        <v>0</v>
      </c>
      <c r="V205" s="876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>
        <v>0</v>
      </c>
      <c r="AD205" s="314">
        <v>0</v>
      </c>
      <c r="AE205" s="314">
        <v>0</v>
      </c>
      <c r="AF205" s="314">
        <v>0</v>
      </c>
      <c r="AG205" s="314"/>
      <c r="AH205" s="314"/>
      <c r="AI205" s="314"/>
      <c r="AJ205" s="314"/>
      <c r="AK205" s="314"/>
      <c r="AL205" s="314"/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875">
        <f t="shared" si="80"/>
        <v>0</v>
      </c>
      <c r="V206" s="876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>
        <v>0</v>
      </c>
      <c r="AD206" s="314">
        <v>0</v>
      </c>
      <c r="AE206" s="314">
        <v>0</v>
      </c>
      <c r="AF206" s="314">
        <v>0</v>
      </c>
      <c r="AG206" s="314"/>
      <c r="AH206" s="314"/>
      <c r="AI206" s="314"/>
      <c r="AJ206" s="314"/>
      <c r="AK206" s="314"/>
      <c r="AL206" s="314"/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5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875">
        <f t="shared" si="80"/>
        <v>0</v>
      </c>
      <c r="V207" s="876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>
        <v>0</v>
      </c>
      <c r="AD207" s="314">
        <v>0</v>
      </c>
      <c r="AE207" s="314">
        <v>0</v>
      </c>
      <c r="AF207" s="314">
        <v>0</v>
      </c>
      <c r="AG207" s="314"/>
      <c r="AH207" s="314"/>
      <c r="AI207" s="314"/>
      <c r="AJ207" s="314"/>
      <c r="AK207" s="314"/>
      <c r="AL207" s="314"/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5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875">
        <f t="shared" si="80"/>
        <v>0</v>
      </c>
      <c r="V208" s="876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>
        <v>0</v>
      </c>
      <c r="AD208" s="314">
        <v>0</v>
      </c>
      <c r="AE208" s="314">
        <v>0</v>
      </c>
      <c r="AF208" s="314">
        <v>0</v>
      </c>
      <c r="AG208" s="314"/>
      <c r="AH208" s="314"/>
      <c r="AI208" s="314"/>
      <c r="AJ208" s="314"/>
      <c r="AK208" s="314"/>
      <c r="AL208" s="314"/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5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875">
        <f t="shared" si="80"/>
        <v>0</v>
      </c>
      <c r="V209" s="876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>
        <v>0</v>
      </c>
      <c r="AD209" s="314">
        <v>0</v>
      </c>
      <c r="AE209" s="314">
        <v>0</v>
      </c>
      <c r="AF209" s="314">
        <v>0</v>
      </c>
      <c r="AG209" s="314"/>
      <c r="AH209" s="314"/>
      <c r="AI209" s="314"/>
      <c r="AJ209" s="314"/>
      <c r="AK209" s="314"/>
      <c r="AL209" s="314"/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5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875">
        <f t="shared" si="80"/>
        <v>0</v>
      </c>
      <c r="V210" s="876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>
        <v>0</v>
      </c>
      <c r="AD210" s="314">
        <v>0</v>
      </c>
      <c r="AE210" s="314">
        <v>0</v>
      </c>
      <c r="AF210" s="314">
        <v>0</v>
      </c>
      <c r="AG210" s="314"/>
      <c r="AH210" s="314"/>
      <c r="AI210" s="314"/>
      <c r="AJ210" s="314"/>
      <c r="AK210" s="314"/>
      <c r="AL210" s="314"/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0</v>
      </c>
      <c r="G211" s="1185"/>
      <c r="H211" s="314"/>
      <c r="I211" s="230"/>
      <c r="J211" s="230"/>
      <c r="K211" s="230"/>
      <c r="L211" s="230">
        <f>SUMIF(data!$D:$D,INTGRATE!$B211&amp;INTGRATE!$D211,data!$K:$K)</f>
        <v>0</v>
      </c>
      <c r="M211" s="314"/>
      <c r="N211" s="100"/>
      <c r="O211" s="482"/>
      <c r="P211" s="230"/>
      <c r="Q211" s="350">
        <f t="shared" si="74"/>
        <v>0</v>
      </c>
      <c r="R211" s="205"/>
      <c r="S211" s="205"/>
      <c r="T211" s="345">
        <f t="shared" si="75"/>
        <v>0</v>
      </c>
      <c r="U211" s="875">
        <f t="shared" si="80"/>
        <v>0</v>
      </c>
      <c r="V211" s="876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>
        <v>0</v>
      </c>
      <c r="AD211" s="314">
        <v>0</v>
      </c>
      <c r="AE211" s="314">
        <v>0</v>
      </c>
      <c r="AF211" s="314">
        <v>0</v>
      </c>
      <c r="AG211" s="314"/>
      <c r="AH211" s="314"/>
      <c r="AI211" s="314"/>
      <c r="AJ211" s="314"/>
      <c r="AK211" s="314"/>
      <c r="AL211" s="314"/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0</v>
      </c>
      <c r="BG211" s="786">
        <f t="shared" si="76"/>
        <v>0</v>
      </c>
      <c r="BH211" s="786">
        <f t="shared" si="77"/>
        <v>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15220</v>
      </c>
      <c r="G212" s="1185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15220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25200</v>
      </c>
      <c r="R212" s="205"/>
      <c r="S212" s="205"/>
      <c r="T212" s="345">
        <f t="shared" si="75"/>
        <v>5040</v>
      </c>
      <c r="U212" s="875">
        <f t="shared" si="80"/>
        <v>0</v>
      </c>
      <c r="V212" s="876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>
        <v>6050</v>
      </c>
      <c r="AD212" s="314">
        <v>0</v>
      </c>
      <c r="AE212" s="314">
        <v>0</v>
      </c>
      <c r="AF212" s="314">
        <v>15220</v>
      </c>
      <c r="AG212" s="314"/>
      <c r="AH212" s="314"/>
      <c r="AI212" s="314"/>
      <c r="AJ212" s="314"/>
      <c r="AK212" s="314"/>
      <c r="AL212" s="314"/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25200</v>
      </c>
      <c r="BG212" s="786">
        <f t="shared" si="76"/>
        <v>3</v>
      </c>
      <c r="BH212" s="786">
        <f t="shared" si="77"/>
        <v>8400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5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875">
        <f t="shared" si="80"/>
        <v>0</v>
      </c>
      <c r="V213" s="876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>
        <v>0</v>
      </c>
      <c r="AD213" s="314">
        <v>0</v>
      </c>
      <c r="AE213" s="314">
        <v>0</v>
      </c>
      <c r="AF213" s="314">
        <v>0</v>
      </c>
      <c r="AG213" s="314"/>
      <c r="AH213" s="314"/>
      <c r="AI213" s="314"/>
      <c r="AJ213" s="314"/>
      <c r="AK213" s="314"/>
      <c r="AL213" s="314"/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5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875">
        <f t="shared" si="80"/>
        <v>0</v>
      </c>
      <c r="V214" s="876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>
        <v>0</v>
      </c>
      <c r="AD214" s="314">
        <v>0</v>
      </c>
      <c r="AE214" s="314">
        <v>0</v>
      </c>
      <c r="AF214" s="314">
        <v>0</v>
      </c>
      <c r="AG214" s="314"/>
      <c r="AH214" s="314"/>
      <c r="AI214" s="314"/>
      <c r="AJ214" s="314"/>
      <c r="AK214" s="314"/>
      <c r="AL214" s="314"/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5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875">
        <f t="shared" si="80"/>
        <v>0</v>
      </c>
      <c r="V215" s="876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>
        <v>0</v>
      </c>
      <c r="AD215" s="314">
        <v>0</v>
      </c>
      <c r="AE215" s="314">
        <v>0</v>
      </c>
      <c r="AF215" s="314">
        <v>0</v>
      </c>
      <c r="AG215" s="314"/>
      <c r="AH215" s="314"/>
      <c r="AI215" s="314"/>
      <c r="AJ215" s="314"/>
      <c r="AK215" s="314"/>
      <c r="AL215" s="314"/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0</v>
      </c>
      <c r="G216" s="1185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14500</v>
      </c>
      <c r="R216" s="205"/>
      <c r="S216" s="205"/>
      <c r="T216" s="345">
        <f t="shared" ref="T216:T247" si="83">Q216/$N$293</f>
        <v>2900</v>
      </c>
      <c r="U216" s="875">
        <f t="shared" si="80"/>
        <v>0</v>
      </c>
      <c r="V216" s="876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>
        <v>0</v>
      </c>
      <c r="AD216" s="314">
        <v>0</v>
      </c>
      <c r="AE216" s="314">
        <v>14500</v>
      </c>
      <c r="AF216" s="314">
        <v>0</v>
      </c>
      <c r="AG216" s="314"/>
      <c r="AH216" s="314"/>
      <c r="AI216" s="314"/>
      <c r="AJ216" s="314"/>
      <c r="AK216" s="314"/>
      <c r="AL216" s="314"/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14500</v>
      </c>
      <c r="BG216" s="786">
        <f t="shared" si="76"/>
        <v>1</v>
      </c>
      <c r="BH216" s="786">
        <f t="shared" si="77"/>
        <v>14500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204320</v>
      </c>
      <c r="G217" s="1185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204320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598530</v>
      </c>
      <c r="R217" s="205"/>
      <c r="S217" s="205"/>
      <c r="T217" s="345">
        <f t="shared" si="83"/>
        <v>119706</v>
      </c>
      <c r="U217" s="875">
        <f t="shared" si="80"/>
        <v>0</v>
      </c>
      <c r="V217" s="876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>
        <v>62650</v>
      </c>
      <c r="AD217" s="314">
        <v>197610</v>
      </c>
      <c r="AE217" s="314">
        <v>133950</v>
      </c>
      <c r="AF217" s="314">
        <v>204320</v>
      </c>
      <c r="AG217" s="314"/>
      <c r="AH217" s="314"/>
      <c r="AI217" s="314"/>
      <c r="AJ217" s="314"/>
      <c r="AK217" s="314"/>
      <c r="AL217" s="314"/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598530</v>
      </c>
      <c r="BG217" s="786">
        <f t="shared" si="76"/>
        <v>4</v>
      </c>
      <c r="BH217" s="786">
        <f t="shared" si="77"/>
        <v>149632.5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5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875">
        <f t="shared" si="80"/>
        <v>0</v>
      </c>
      <c r="V218" s="876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>
        <v>0</v>
      </c>
      <c r="AD218" s="314">
        <v>0</v>
      </c>
      <c r="AE218" s="314">
        <v>0</v>
      </c>
      <c r="AF218" s="314">
        <v>0</v>
      </c>
      <c r="AG218" s="314"/>
      <c r="AH218" s="314"/>
      <c r="AI218" s="314"/>
      <c r="AJ218" s="314"/>
      <c r="AK218" s="314"/>
      <c r="AL218" s="314"/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5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875">
        <f t="shared" si="80"/>
        <v>0</v>
      </c>
      <c r="V219" s="876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>
        <v>0</v>
      </c>
      <c r="AD219" s="314">
        <v>0</v>
      </c>
      <c r="AE219" s="314">
        <v>0</v>
      </c>
      <c r="AF219" s="314">
        <v>0</v>
      </c>
      <c r="AG219" s="314"/>
      <c r="AH219" s="314"/>
      <c r="AI219" s="314"/>
      <c r="AJ219" s="314"/>
      <c r="AK219" s="314"/>
      <c r="AL219" s="314"/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5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875">
        <f t="shared" si="80"/>
        <v>0</v>
      </c>
      <c r="V220" s="876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>
        <v>0</v>
      </c>
      <c r="AD220" s="314">
        <v>0</v>
      </c>
      <c r="AE220" s="314">
        <v>0</v>
      </c>
      <c r="AF220" s="314">
        <v>0</v>
      </c>
      <c r="AG220" s="314"/>
      <c r="AH220" s="314"/>
      <c r="AI220" s="314"/>
      <c r="AJ220" s="314"/>
      <c r="AK220" s="314"/>
      <c r="AL220" s="314"/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5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875">
        <f>IF(T221=0,0,P221/T221)</f>
        <v>0</v>
      </c>
      <c r="V221" s="876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>
        <v>0</v>
      </c>
      <c r="AD221" s="314">
        <v>0</v>
      </c>
      <c r="AE221" s="314">
        <v>0</v>
      </c>
      <c r="AF221" s="314">
        <v>0</v>
      </c>
      <c r="AG221" s="314"/>
      <c r="AH221" s="314"/>
      <c r="AI221" s="314"/>
      <c r="AJ221" s="314"/>
      <c r="AK221" s="314"/>
      <c r="AL221" s="314"/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0</v>
      </c>
      <c r="G222" s="1185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408740</v>
      </c>
      <c r="R222" s="205"/>
      <c r="S222" s="205"/>
      <c r="T222" s="345">
        <f t="shared" si="83"/>
        <v>81748</v>
      </c>
      <c r="U222" s="875">
        <f t="shared" si="80"/>
        <v>0</v>
      </c>
      <c r="V222" s="876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>
        <v>161190</v>
      </c>
      <c r="AD222" s="314">
        <v>0</v>
      </c>
      <c r="AE222" s="314">
        <v>0</v>
      </c>
      <c r="AF222" s="314">
        <v>0</v>
      </c>
      <c r="AG222" s="314"/>
      <c r="AH222" s="314"/>
      <c r="AI222" s="314"/>
      <c r="AJ222" s="314"/>
      <c r="AK222" s="314"/>
      <c r="AL222" s="314"/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408740</v>
      </c>
      <c r="BG222" s="786">
        <f t="shared" si="76"/>
        <v>2</v>
      </c>
      <c r="BH222" s="786">
        <f t="shared" si="77"/>
        <v>204370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85060</v>
      </c>
      <c r="G223" s="1185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85060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253220</v>
      </c>
      <c r="R223" s="205"/>
      <c r="S223" s="205"/>
      <c r="T223" s="345">
        <f t="shared" si="83"/>
        <v>50644</v>
      </c>
      <c r="U223" s="875">
        <f t="shared" si="80"/>
        <v>0</v>
      </c>
      <c r="V223" s="876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>
        <v>13930</v>
      </c>
      <c r="AD223" s="314">
        <v>82670</v>
      </c>
      <c r="AE223" s="314">
        <v>71560</v>
      </c>
      <c r="AF223" s="314">
        <v>85060</v>
      </c>
      <c r="AG223" s="314"/>
      <c r="AH223" s="314"/>
      <c r="AI223" s="314"/>
      <c r="AJ223" s="314"/>
      <c r="AK223" s="314"/>
      <c r="AL223" s="314"/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253220</v>
      </c>
      <c r="BG223" s="786">
        <f t="shared" si="76"/>
        <v>4</v>
      </c>
      <c r="BH223" s="786">
        <f t="shared" si="77"/>
        <v>63305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5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875">
        <f t="shared" si="80"/>
        <v>0</v>
      </c>
      <c r="V224" s="876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>
        <v>0</v>
      </c>
      <c r="AD224" s="314">
        <v>0</v>
      </c>
      <c r="AE224" s="314">
        <v>0</v>
      </c>
      <c r="AF224" s="314">
        <v>0</v>
      </c>
      <c r="AG224" s="314"/>
      <c r="AH224" s="314"/>
      <c r="AI224" s="314"/>
      <c r="AJ224" s="314"/>
      <c r="AK224" s="314"/>
      <c r="AL224" s="314"/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5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875">
        <f t="shared" si="80"/>
        <v>0</v>
      </c>
      <c r="V225" s="876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>
        <v>0</v>
      </c>
      <c r="AD225" s="314">
        <v>0</v>
      </c>
      <c r="AE225" s="314">
        <v>0</v>
      </c>
      <c r="AF225" s="314">
        <v>0</v>
      </c>
      <c r="AG225" s="314"/>
      <c r="AH225" s="314"/>
      <c r="AI225" s="314"/>
      <c r="AJ225" s="314"/>
      <c r="AK225" s="314"/>
      <c r="AL225" s="314"/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5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875">
        <f t="shared" si="80"/>
        <v>0</v>
      </c>
      <c r="V226" s="876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>
        <v>0</v>
      </c>
      <c r="AD226" s="314">
        <v>0</v>
      </c>
      <c r="AE226" s="314">
        <v>0</v>
      </c>
      <c r="AF226" s="314">
        <v>0</v>
      </c>
      <c r="AG226" s="314"/>
      <c r="AH226" s="314"/>
      <c r="AI226" s="314"/>
      <c r="AJ226" s="314"/>
      <c r="AK226" s="314"/>
      <c r="AL226" s="314"/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5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875">
        <f t="shared" si="80"/>
        <v>0</v>
      </c>
      <c r="V227" s="876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>
        <v>0</v>
      </c>
      <c r="AD227" s="314">
        <v>0</v>
      </c>
      <c r="AE227" s="314">
        <v>0</v>
      </c>
      <c r="AF227" s="314">
        <v>0</v>
      </c>
      <c r="AG227" s="314"/>
      <c r="AH227" s="314"/>
      <c r="AI227" s="314"/>
      <c r="AJ227" s="314"/>
      <c r="AK227" s="314"/>
      <c r="AL227" s="314"/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5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875">
        <f t="shared" si="80"/>
        <v>0</v>
      </c>
      <c r="V228" s="876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>
        <v>0</v>
      </c>
      <c r="AD228" s="314">
        <v>0</v>
      </c>
      <c r="AE228" s="314">
        <v>0</v>
      </c>
      <c r="AF228" s="314">
        <v>0</v>
      </c>
      <c r="AG228" s="314"/>
      <c r="AH228" s="314"/>
      <c r="AI228" s="314"/>
      <c r="AJ228" s="314"/>
      <c r="AK228" s="314"/>
      <c r="AL228" s="314"/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5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875">
        <f t="shared" si="80"/>
        <v>0</v>
      </c>
      <c r="V229" s="876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>
        <v>0</v>
      </c>
      <c r="AD229" s="314">
        <v>0</v>
      </c>
      <c r="AE229" s="314">
        <v>0</v>
      </c>
      <c r="AF229" s="314">
        <v>0</v>
      </c>
      <c r="AG229" s="314"/>
      <c r="AH229" s="314"/>
      <c r="AI229" s="314"/>
      <c r="AJ229" s="314"/>
      <c r="AK229" s="314"/>
      <c r="AL229" s="314"/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5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875">
        <f t="shared" si="80"/>
        <v>0</v>
      </c>
      <c r="V230" s="876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>
        <v>0</v>
      </c>
      <c r="AD230" s="314">
        <v>0</v>
      </c>
      <c r="AE230" s="314">
        <v>0</v>
      </c>
      <c r="AF230" s="314">
        <v>0</v>
      </c>
      <c r="AG230" s="314"/>
      <c r="AH230" s="314"/>
      <c r="AI230" s="314"/>
      <c r="AJ230" s="314"/>
      <c r="AK230" s="314"/>
      <c r="AL230" s="314"/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5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875">
        <f t="shared" si="80"/>
        <v>0</v>
      </c>
      <c r="V231" s="876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>
        <v>0</v>
      </c>
      <c r="AD231" s="314">
        <v>0</v>
      </c>
      <c r="AE231" s="314">
        <v>0</v>
      </c>
      <c r="AF231" s="314">
        <v>0</v>
      </c>
      <c r="AG231" s="314"/>
      <c r="AH231" s="314"/>
      <c r="AI231" s="314"/>
      <c r="AJ231" s="314"/>
      <c r="AK231" s="314"/>
      <c r="AL231" s="314"/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5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875">
        <f>IF(T232=0,0,P232/T232)</f>
        <v>0</v>
      </c>
      <c r="V232" s="876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>
        <v>0</v>
      </c>
      <c r="AD232" s="314">
        <v>0</v>
      </c>
      <c r="AE232" s="314">
        <v>0</v>
      </c>
      <c r="AF232" s="314">
        <v>0</v>
      </c>
      <c r="AG232" s="314"/>
      <c r="AH232" s="314"/>
      <c r="AI232" s="314"/>
      <c r="AJ232" s="314"/>
      <c r="AK232" s="314"/>
      <c r="AL232" s="314"/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0</v>
      </c>
      <c r="G233" s="1185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239870</v>
      </c>
      <c r="R233" s="205"/>
      <c r="S233" s="205"/>
      <c r="T233" s="345">
        <f t="shared" si="83"/>
        <v>47974</v>
      </c>
      <c r="U233" s="875">
        <f t="shared" si="80"/>
        <v>0</v>
      </c>
      <c r="V233" s="876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>
        <v>72880</v>
      </c>
      <c r="AD233" s="314">
        <v>0</v>
      </c>
      <c r="AE233" s="314">
        <v>0</v>
      </c>
      <c r="AF233" s="314">
        <v>0</v>
      </c>
      <c r="AG233" s="314"/>
      <c r="AH233" s="314"/>
      <c r="AI233" s="314"/>
      <c r="AJ233" s="314"/>
      <c r="AK233" s="314"/>
      <c r="AL233" s="314"/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239870</v>
      </c>
      <c r="BG233" s="786">
        <f t="shared" si="76"/>
        <v>2</v>
      </c>
      <c r="BH233" s="786">
        <f t="shared" si="77"/>
        <v>119935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5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875">
        <f t="shared" si="80"/>
        <v>0</v>
      </c>
      <c r="V234" s="876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>
        <v>0</v>
      </c>
      <c r="AD234" s="314">
        <v>0</v>
      </c>
      <c r="AE234" s="314">
        <v>0</v>
      </c>
      <c r="AF234" s="314">
        <v>0</v>
      </c>
      <c r="AG234" s="314"/>
      <c r="AH234" s="314"/>
      <c r="AI234" s="314"/>
      <c r="AJ234" s="314"/>
      <c r="AK234" s="314"/>
      <c r="AL234" s="314"/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5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875">
        <f t="shared" si="80"/>
        <v>0</v>
      </c>
      <c r="V235" s="876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>
        <v>0</v>
      </c>
      <c r="AD235" s="314">
        <v>0</v>
      </c>
      <c r="AE235" s="314">
        <v>0</v>
      </c>
      <c r="AF235" s="314">
        <v>0</v>
      </c>
      <c r="AG235" s="314"/>
      <c r="AH235" s="314"/>
      <c r="AI235" s="314"/>
      <c r="AJ235" s="314"/>
      <c r="AK235" s="314"/>
      <c r="AL235" s="314"/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0</v>
      </c>
      <c r="G236" s="1185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30210</v>
      </c>
      <c r="R236" s="205"/>
      <c r="S236" s="205"/>
      <c r="T236" s="345">
        <f t="shared" si="83"/>
        <v>6042</v>
      </c>
      <c r="U236" s="875">
        <f t="shared" si="80"/>
        <v>0</v>
      </c>
      <c r="V236" s="876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>
        <v>14370</v>
      </c>
      <c r="AD236" s="314">
        <v>4070</v>
      </c>
      <c r="AE236" s="314">
        <v>0</v>
      </c>
      <c r="AF236" s="314">
        <v>0</v>
      </c>
      <c r="AG236" s="314"/>
      <c r="AH236" s="314"/>
      <c r="AI236" s="314"/>
      <c r="AJ236" s="314"/>
      <c r="AK236" s="314"/>
      <c r="AL236" s="314"/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30210</v>
      </c>
      <c r="BG236" s="786">
        <f t="shared" si="76"/>
        <v>3</v>
      </c>
      <c r="BH236" s="786">
        <f t="shared" si="77"/>
        <v>10070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5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875">
        <f t="shared" si="80"/>
        <v>0</v>
      </c>
      <c r="V237" s="876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>
        <v>0</v>
      </c>
      <c r="AD237" s="314">
        <v>0</v>
      </c>
      <c r="AE237" s="314">
        <v>0</v>
      </c>
      <c r="AF237" s="314">
        <v>0</v>
      </c>
      <c r="AG237" s="314"/>
      <c r="AH237" s="314"/>
      <c r="AI237" s="314"/>
      <c r="AJ237" s="314"/>
      <c r="AK237" s="314"/>
      <c r="AL237" s="314"/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5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875">
        <f t="shared" si="80"/>
        <v>0</v>
      </c>
      <c r="V238" s="876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>
        <v>0</v>
      </c>
      <c r="AD238" s="314">
        <v>0</v>
      </c>
      <c r="AE238" s="314">
        <v>0</v>
      </c>
      <c r="AF238" s="314">
        <v>0</v>
      </c>
      <c r="AG238" s="314"/>
      <c r="AH238" s="314"/>
      <c r="AI238" s="314"/>
      <c r="AJ238" s="314"/>
      <c r="AK238" s="314"/>
      <c r="AL238" s="314"/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5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875">
        <f t="shared" si="80"/>
        <v>0</v>
      </c>
      <c r="V239" s="876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>
        <v>0</v>
      </c>
      <c r="AD239" s="314">
        <v>0</v>
      </c>
      <c r="AE239" s="314">
        <v>0</v>
      </c>
      <c r="AF239" s="314">
        <v>0</v>
      </c>
      <c r="AG239" s="314"/>
      <c r="AH239" s="314"/>
      <c r="AI239" s="314"/>
      <c r="AJ239" s="314"/>
      <c r="AK239" s="314"/>
      <c r="AL239" s="314"/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5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875">
        <f t="shared" si="80"/>
        <v>0</v>
      </c>
      <c r="V240" s="876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>
        <v>0</v>
      </c>
      <c r="AD240" s="314">
        <v>0</v>
      </c>
      <c r="AE240" s="314">
        <v>0</v>
      </c>
      <c r="AF240" s="314">
        <v>0</v>
      </c>
      <c r="AG240" s="314"/>
      <c r="AH240" s="314"/>
      <c r="AI240" s="314"/>
      <c r="AJ240" s="314"/>
      <c r="AK240" s="314"/>
      <c r="AL240" s="314"/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5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875">
        <f t="shared" si="80"/>
        <v>0</v>
      </c>
      <c r="V241" s="876"/>
      <c r="W241" s="1186"/>
      <c r="X241" s="1186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>
        <v>0</v>
      </c>
      <c r="AD241" s="314">
        <v>0</v>
      </c>
      <c r="AE241" s="314">
        <v>0</v>
      </c>
      <c r="AF241" s="314">
        <v>0</v>
      </c>
      <c r="AG241" s="314"/>
      <c r="AH241" s="314"/>
      <c r="AI241" s="314"/>
      <c r="AJ241" s="314"/>
      <c r="AK241" s="314"/>
      <c r="AL241" s="314"/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5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875">
        <f t="shared" si="80"/>
        <v>0</v>
      </c>
      <c r="V242" s="876"/>
      <c r="W242" s="1186"/>
      <c r="X242" s="1186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>
        <v>0</v>
      </c>
      <c r="AD242" s="314">
        <v>0</v>
      </c>
      <c r="AE242" s="314">
        <v>0</v>
      </c>
      <c r="AF242" s="314">
        <v>0</v>
      </c>
      <c r="AG242" s="314"/>
      <c r="AH242" s="314"/>
      <c r="AI242" s="314"/>
      <c r="AJ242" s="314"/>
      <c r="AK242" s="314"/>
      <c r="AL242" s="314"/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5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875">
        <f t="shared" si="80"/>
        <v>0</v>
      </c>
      <c r="V243" s="876"/>
      <c r="W243" s="1186"/>
      <c r="X243" s="1186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>
        <v>0</v>
      </c>
      <c r="AD243" s="314">
        <v>0</v>
      </c>
      <c r="AE243" s="314">
        <v>0</v>
      </c>
      <c r="AF243" s="314">
        <v>0</v>
      </c>
      <c r="AG243" s="314"/>
      <c r="AH243" s="314"/>
      <c r="AI243" s="314"/>
      <c r="AJ243" s="314"/>
      <c r="AK243" s="314"/>
      <c r="AL243" s="314"/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85810</v>
      </c>
      <c r="G244" s="1185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85810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284980</v>
      </c>
      <c r="R244" s="205"/>
      <c r="S244" s="205"/>
      <c r="T244" s="345">
        <f t="shared" si="83"/>
        <v>56996</v>
      </c>
      <c r="U244" s="875">
        <f t="shared" si="80"/>
        <v>0</v>
      </c>
      <c r="V244" s="876"/>
      <c r="W244" s="1186"/>
      <c r="X244" s="1186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>
        <v>0</v>
      </c>
      <c r="AD244" s="314">
        <v>113400</v>
      </c>
      <c r="AE244" s="314">
        <v>85770</v>
      </c>
      <c r="AF244" s="314">
        <v>85810</v>
      </c>
      <c r="AG244" s="314"/>
      <c r="AH244" s="314"/>
      <c r="AI244" s="314"/>
      <c r="AJ244" s="314"/>
      <c r="AK244" s="314"/>
      <c r="AL244" s="314"/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284980</v>
      </c>
      <c r="BG244" s="786">
        <f t="shared" si="76"/>
        <v>3</v>
      </c>
      <c r="BH244" s="786">
        <f t="shared" si="77"/>
        <v>94993.333333333328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5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875">
        <f t="shared" si="80"/>
        <v>0</v>
      </c>
      <c r="V245" s="876"/>
      <c r="W245" s="1186"/>
      <c r="X245" s="1186"/>
      <c r="Y245" s="863" t="str">
        <f>B245&amp;D245</f>
        <v>566FBigbag</v>
      </c>
      <c r="Z245" s="818">
        <v>366201</v>
      </c>
      <c r="AA245" s="350"/>
      <c r="AB245" s="314">
        <v>0</v>
      </c>
      <c r="AC245" s="314">
        <v>0</v>
      </c>
      <c r="AD245" s="314">
        <v>0</v>
      </c>
      <c r="AE245" s="314">
        <v>0</v>
      </c>
      <c r="AF245" s="314">
        <v>0</v>
      </c>
      <c r="AG245" s="314"/>
      <c r="AH245" s="314"/>
      <c r="AI245" s="314"/>
      <c r="AJ245" s="314"/>
      <c r="AK245" s="314"/>
      <c r="AL245" s="314"/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5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875">
        <f t="shared" si="80"/>
        <v>0</v>
      </c>
      <c r="V246" s="876"/>
      <c r="W246" s="1186"/>
      <c r="X246" s="1186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>
        <v>0</v>
      </c>
      <c r="AD246" s="314">
        <v>0</v>
      </c>
      <c r="AE246" s="314">
        <v>0</v>
      </c>
      <c r="AF246" s="314">
        <v>0</v>
      </c>
      <c r="AG246" s="314"/>
      <c r="AH246" s="314"/>
      <c r="AI246" s="314"/>
      <c r="AJ246" s="314"/>
      <c r="AK246" s="314"/>
      <c r="AL246" s="314"/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5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875">
        <f t="shared" si="80"/>
        <v>0</v>
      </c>
      <c r="V247" s="876"/>
      <c r="W247" s="1186"/>
      <c r="X247" s="1186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>
        <v>0</v>
      </c>
      <c r="AD247" s="314">
        <v>0</v>
      </c>
      <c r="AE247" s="314">
        <v>0</v>
      </c>
      <c r="AF247" s="314">
        <v>0</v>
      </c>
      <c r="AG247" s="314"/>
      <c r="AH247" s="314"/>
      <c r="AI247" s="314"/>
      <c r="AJ247" s="314"/>
      <c r="AK247" s="314"/>
      <c r="AL247" s="314"/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0</v>
      </c>
      <c r="G248" s="1185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57340</v>
      </c>
      <c r="R248" s="205"/>
      <c r="S248" s="205"/>
      <c r="T248" s="345">
        <f t="shared" ref="T248:T260" si="87">Q248/$N$293</f>
        <v>11468</v>
      </c>
      <c r="U248" s="875">
        <f t="shared" si="80"/>
        <v>0</v>
      </c>
      <c r="V248" s="876"/>
      <c r="W248" s="1186"/>
      <c r="X248" s="1186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>
        <v>0</v>
      </c>
      <c r="AD248" s="314">
        <v>0</v>
      </c>
      <c r="AE248" s="314">
        <v>0</v>
      </c>
      <c r="AF248" s="314">
        <v>0</v>
      </c>
      <c r="AG248" s="314"/>
      <c r="AH248" s="314"/>
      <c r="AI248" s="314"/>
      <c r="AJ248" s="314"/>
      <c r="AK248" s="314"/>
      <c r="AL248" s="314"/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57340</v>
      </c>
      <c r="BG248" s="786">
        <f t="shared" si="76"/>
        <v>1</v>
      </c>
      <c r="BH248" s="786">
        <f t="shared" si="77"/>
        <v>57340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5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875">
        <f t="shared" si="80"/>
        <v>0</v>
      </c>
      <c r="V249" s="876"/>
      <c r="W249" s="1186"/>
      <c r="X249" s="1186"/>
      <c r="Y249" s="863" t="str">
        <f>B249&amp;D249</f>
        <v>566FS90SILO</v>
      </c>
      <c r="Z249" s="818">
        <v>36630890</v>
      </c>
      <c r="AA249" s="350"/>
      <c r="AB249" s="314">
        <v>0</v>
      </c>
      <c r="AC249" s="314">
        <v>0</v>
      </c>
      <c r="AD249" s="314">
        <v>0</v>
      </c>
      <c r="AE249" s="314">
        <v>0</v>
      </c>
      <c r="AF249" s="314">
        <v>0</v>
      </c>
      <c r="AG249" s="314"/>
      <c r="AH249" s="314"/>
      <c r="AI249" s="314"/>
      <c r="AJ249" s="314"/>
      <c r="AK249" s="314"/>
      <c r="AL249" s="314"/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5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875">
        <f t="shared" si="80"/>
        <v>0</v>
      </c>
      <c r="V250" s="876"/>
      <c r="W250" s="1186"/>
      <c r="X250" s="1186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>
        <v>0</v>
      </c>
      <c r="AD250" s="314">
        <v>0</v>
      </c>
      <c r="AE250" s="314">
        <v>0</v>
      </c>
      <c r="AF250" s="314">
        <v>0</v>
      </c>
      <c r="AG250" s="314"/>
      <c r="AH250" s="314"/>
      <c r="AI250" s="314"/>
      <c r="AJ250" s="314"/>
      <c r="AK250" s="314"/>
      <c r="AL250" s="314"/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88220</v>
      </c>
      <c r="G251" s="1185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88220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221750</v>
      </c>
      <c r="R251" s="205"/>
      <c r="S251" s="205"/>
      <c r="T251" s="345">
        <f t="shared" si="87"/>
        <v>44350</v>
      </c>
      <c r="U251" s="875">
        <f t="shared" si="80"/>
        <v>0</v>
      </c>
      <c r="V251" s="876"/>
      <c r="W251" s="1186"/>
      <c r="X251" s="1186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>
        <v>0</v>
      </c>
      <c r="AD251" s="314">
        <v>60960</v>
      </c>
      <c r="AE251" s="314">
        <v>72570</v>
      </c>
      <c r="AF251" s="314">
        <v>88220</v>
      </c>
      <c r="AG251" s="314"/>
      <c r="AH251" s="314"/>
      <c r="AI251" s="314"/>
      <c r="AJ251" s="314"/>
      <c r="AK251" s="314"/>
      <c r="AL251" s="314"/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221750</v>
      </c>
      <c r="BG251" s="786">
        <f t="shared" si="88"/>
        <v>3</v>
      </c>
      <c r="BH251" s="786">
        <f t="shared" si="89"/>
        <v>73916.666666666672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5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875">
        <f t="shared" si="80"/>
        <v>0</v>
      </c>
      <c r="V252" s="876"/>
      <c r="W252" s="1186"/>
      <c r="X252" s="1186"/>
      <c r="Y252" s="863" t="str">
        <f>B252&amp;D252</f>
        <v>567SFBigbag</v>
      </c>
      <c r="Z252" s="818">
        <v>367101</v>
      </c>
      <c r="AA252" s="350"/>
      <c r="AB252" s="314">
        <v>0</v>
      </c>
      <c r="AC252" s="314">
        <v>0</v>
      </c>
      <c r="AD252" s="314">
        <v>0</v>
      </c>
      <c r="AE252" s="314">
        <v>0</v>
      </c>
      <c r="AF252" s="314">
        <v>0</v>
      </c>
      <c r="AG252" s="314"/>
      <c r="AH252" s="314"/>
      <c r="AI252" s="314"/>
      <c r="AJ252" s="314"/>
      <c r="AK252" s="314"/>
      <c r="AL252" s="314"/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0</v>
      </c>
      <c r="G253" s="1185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115010</v>
      </c>
      <c r="R253" s="205"/>
      <c r="S253" s="205"/>
      <c r="T253" s="345">
        <f t="shared" si="87"/>
        <v>23002</v>
      </c>
      <c r="U253" s="875">
        <f t="shared" si="80"/>
        <v>0</v>
      </c>
      <c r="V253" s="876"/>
      <c r="W253" s="1186"/>
      <c r="X253" s="1186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>
        <v>43510</v>
      </c>
      <c r="AD253" s="314">
        <v>0</v>
      </c>
      <c r="AE253" s="314">
        <v>0</v>
      </c>
      <c r="AF253" s="314">
        <v>0</v>
      </c>
      <c r="AG253" s="314"/>
      <c r="AH253" s="314"/>
      <c r="AI253" s="314"/>
      <c r="AJ253" s="314"/>
      <c r="AK253" s="314"/>
      <c r="AL253" s="314"/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115010</v>
      </c>
      <c r="BG253" s="786">
        <f t="shared" si="88"/>
        <v>2</v>
      </c>
      <c r="BH253" s="786">
        <f t="shared" si="89"/>
        <v>57505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0</v>
      </c>
      <c r="G254" s="1185"/>
      <c r="H254" s="314"/>
      <c r="I254" s="230"/>
      <c r="J254" s="230"/>
      <c r="K254" s="230"/>
      <c r="L254" s="230">
        <f>SUMIF(data!$D:$D,INTGRATE!$B254&amp;INTGRATE!$D254,data!$K:$K)</f>
        <v>0</v>
      </c>
      <c r="M254" s="314"/>
      <c r="N254" s="100"/>
      <c r="O254" s="482"/>
      <c r="P254" s="230"/>
      <c r="Q254" s="350">
        <f t="shared" si="86"/>
        <v>41020</v>
      </c>
      <c r="R254" s="205"/>
      <c r="S254" s="205"/>
      <c r="T254" s="345">
        <f t="shared" si="87"/>
        <v>8204</v>
      </c>
      <c r="U254" s="875">
        <f t="shared" si="80"/>
        <v>0</v>
      </c>
      <c r="V254" s="876"/>
      <c r="W254" s="1186"/>
      <c r="X254" s="1186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>
        <v>13550</v>
      </c>
      <c r="AD254" s="314">
        <v>0</v>
      </c>
      <c r="AE254" s="314">
        <v>0</v>
      </c>
      <c r="AF254" s="314">
        <v>0</v>
      </c>
      <c r="AG254" s="314"/>
      <c r="AH254" s="314"/>
      <c r="AI254" s="314"/>
      <c r="AJ254" s="314"/>
      <c r="AK254" s="314"/>
      <c r="AL254" s="314"/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41020</v>
      </c>
      <c r="BG254" s="786">
        <f t="shared" si="88"/>
        <v>2</v>
      </c>
      <c r="BH254" s="786">
        <f t="shared" si="89"/>
        <v>20510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5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875">
        <f t="shared" si="80"/>
        <v>0</v>
      </c>
      <c r="V255" s="876"/>
      <c r="W255" s="1186"/>
      <c r="X255" s="1186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>
        <v>0</v>
      </c>
      <c r="AD255" s="314">
        <v>0</v>
      </c>
      <c r="AE255" s="314">
        <v>0</v>
      </c>
      <c r="AF255" s="314">
        <v>0</v>
      </c>
      <c r="AG255" s="314"/>
      <c r="AH255" s="314"/>
      <c r="AI255" s="314"/>
      <c r="AJ255" s="314"/>
      <c r="AK255" s="314"/>
      <c r="AL255" s="314"/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5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875">
        <f t="shared" si="80"/>
        <v>0</v>
      </c>
      <c r="V256" s="876"/>
      <c r="W256" s="1186"/>
      <c r="X256" s="1186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>
        <v>0</v>
      </c>
      <c r="AD256" s="314">
        <v>0</v>
      </c>
      <c r="AE256" s="314">
        <v>0</v>
      </c>
      <c r="AF256" s="314">
        <v>0</v>
      </c>
      <c r="AG256" s="314"/>
      <c r="AH256" s="314"/>
      <c r="AI256" s="314"/>
      <c r="AJ256" s="314"/>
      <c r="AK256" s="314"/>
      <c r="AL256" s="314"/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5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875">
        <f t="shared" si="80"/>
        <v>0</v>
      </c>
      <c r="V257" s="876"/>
      <c r="W257" s="1186"/>
      <c r="X257" s="1186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>
        <v>0</v>
      </c>
      <c r="AD257" s="314">
        <v>0</v>
      </c>
      <c r="AE257" s="314">
        <v>0</v>
      </c>
      <c r="AF257" s="314">
        <v>0</v>
      </c>
      <c r="AG257" s="314"/>
      <c r="AH257" s="314"/>
      <c r="AI257" s="314"/>
      <c r="AJ257" s="314"/>
      <c r="AK257" s="314"/>
      <c r="AL257" s="314"/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5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875">
        <f t="shared" si="80"/>
        <v>0</v>
      </c>
      <c r="V258" s="876"/>
      <c r="W258" s="1186"/>
      <c r="X258" s="1186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>
        <v>0</v>
      </c>
      <c r="AD258" s="314">
        <v>0</v>
      </c>
      <c r="AE258" s="314">
        <v>0</v>
      </c>
      <c r="AF258" s="314">
        <v>0</v>
      </c>
      <c r="AG258" s="314"/>
      <c r="AH258" s="314"/>
      <c r="AI258" s="314"/>
      <c r="AJ258" s="314"/>
      <c r="AK258" s="314"/>
      <c r="AL258" s="314"/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5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875">
        <f t="shared" si="80"/>
        <v>0</v>
      </c>
      <c r="V259" s="876"/>
      <c r="W259" s="1186"/>
      <c r="X259" s="1186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>
        <v>0</v>
      </c>
      <c r="AD259" s="314">
        <v>0</v>
      </c>
      <c r="AE259" s="314"/>
      <c r="AF259" s="314">
        <v>0</v>
      </c>
      <c r="AG259" s="314"/>
      <c r="AH259" s="314"/>
      <c r="AI259" s="314"/>
      <c r="AJ259" s="314"/>
      <c r="AK259" s="314"/>
      <c r="AL259" s="314"/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5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875">
        <f t="shared" si="80"/>
        <v>0</v>
      </c>
      <c r="V260" s="876"/>
      <c r="W260" s="1186"/>
      <c r="X260" s="1186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>
        <v>0</v>
      </c>
      <c r="AD260" s="314">
        <v>0</v>
      </c>
      <c r="AE260" s="314"/>
      <c r="AF260" s="314"/>
      <c r="AG260" s="314"/>
      <c r="AH260" s="314"/>
      <c r="AI260" s="314"/>
      <c r="AJ260" s="314"/>
      <c r="AK260" s="314"/>
      <c r="AL260" s="314"/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872" t="s">
        <v>70</v>
      </c>
      <c r="B261" s="873"/>
      <c r="C261" s="873"/>
      <c r="D261" s="874"/>
      <c r="E261" s="214">
        <f>E118+E125+E127+E126</f>
        <v>8450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0</v>
      </c>
      <c r="I261" s="214">
        <f t="shared" si="90"/>
        <v>730</v>
      </c>
      <c r="J261" s="214">
        <f t="shared" si="90"/>
        <v>0</v>
      </c>
      <c r="K261" s="214">
        <f t="shared" si="90"/>
        <v>0</v>
      </c>
      <c r="L261" s="214">
        <f t="shared" si="90"/>
        <v>7300</v>
      </c>
      <c r="M261" s="214">
        <f t="shared" si="90"/>
        <v>1</v>
      </c>
      <c r="N261" s="214">
        <f t="shared" si="90"/>
        <v>0</v>
      </c>
      <c r="O261" s="214">
        <f t="shared" si="90"/>
        <v>7719</v>
      </c>
      <c r="P261" s="214">
        <f t="shared" si="90"/>
        <v>77190</v>
      </c>
      <c r="Q261" s="214">
        <f t="shared" ref="Q261" si="91">Q118+Q125+Q127+Q126</f>
        <v>70400</v>
      </c>
      <c r="R261" s="214"/>
      <c r="S261" s="214"/>
      <c r="T261" s="214">
        <f>T118+T125+T127</f>
        <v>14080</v>
      </c>
      <c r="U261" s="892">
        <f>IF(T261=0,0,P261/T261)</f>
        <v>5.4822443181818183</v>
      </c>
      <c r="V261" s="893"/>
      <c r="W261" s="1187"/>
      <c r="X261" s="867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88"/>
      <c r="BJ261" s="1188"/>
      <c r="BK261" s="1188"/>
      <c r="BL261" s="1188"/>
      <c r="BM261" s="1188"/>
      <c r="BN261" s="1188"/>
      <c r="BO261" s="1188"/>
      <c r="BP261" s="1188"/>
      <c r="BQ261" s="1188"/>
      <c r="BR261" s="1188"/>
      <c r="BS261" s="1188"/>
      <c r="BT261" s="1188"/>
      <c r="BU261" s="1188"/>
      <c r="BV261" s="1188"/>
      <c r="BW261" s="1188"/>
      <c r="BX261" s="1188"/>
      <c r="BY261" s="1188"/>
      <c r="BZ261" s="1188"/>
      <c r="CA261" s="1188"/>
      <c r="CB261" s="1188"/>
      <c r="CC261" s="1188"/>
      <c r="CD261" s="1188"/>
      <c r="CE261" s="1188"/>
      <c r="CF261" s="1188"/>
      <c r="CG261" s="1188"/>
      <c r="CH261" s="1188"/>
      <c r="CI261" s="1188"/>
      <c r="CJ261" s="1188"/>
      <c r="CK261" s="1188"/>
      <c r="CL261" s="1188"/>
      <c r="CM261" s="1188"/>
      <c r="CN261" s="1188"/>
      <c r="CO261" s="1188"/>
      <c r="CP261" s="1188"/>
      <c r="CQ261" s="1188"/>
      <c r="CR261" s="1188"/>
      <c r="CS261" s="1188"/>
      <c r="CT261" s="1188"/>
      <c r="CU261" s="1188"/>
      <c r="CV261" s="1188"/>
      <c r="CW261" s="1188"/>
      <c r="CX261" s="1188"/>
      <c r="CY261" s="1188"/>
      <c r="CZ261" s="1188"/>
      <c r="DA261" s="1188"/>
      <c r="DB261" s="1188"/>
      <c r="DC261" s="1188"/>
      <c r="DD261" s="1188"/>
    </row>
    <row r="262" spans="1:108" s="217" customFormat="1" ht="15.75" customHeight="1">
      <c r="A262" s="872" t="s">
        <v>72</v>
      </c>
      <c r="B262" s="873"/>
      <c r="C262" s="873"/>
      <c r="D262" s="874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557300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111460</v>
      </c>
      <c r="U262" s="892">
        <f>IF(T262=0,0,P262/T262)</f>
        <v>0</v>
      </c>
      <c r="V262" s="893"/>
      <c r="W262" s="1189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1732470</v>
      </c>
      <c r="AD262" s="216">
        <f t="shared" si="93"/>
        <v>1406560</v>
      </c>
      <c r="AE262" s="216">
        <f t="shared" si="93"/>
        <v>1552200</v>
      </c>
      <c r="AF262" s="216">
        <f t="shared" si="93"/>
        <v>1850380</v>
      </c>
      <c r="AG262" s="216">
        <f t="shared" si="93"/>
        <v>0</v>
      </c>
      <c r="AH262" s="216">
        <f t="shared" si="93"/>
        <v>0</v>
      </c>
      <c r="AI262" s="216">
        <f t="shared" si="93"/>
        <v>0</v>
      </c>
      <c r="AJ262" s="216">
        <f t="shared" si="93"/>
        <v>0</v>
      </c>
      <c r="AK262" s="216">
        <f t="shared" si="93"/>
        <v>0</v>
      </c>
      <c r="AL262" s="216">
        <f t="shared" si="93"/>
        <v>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8218310</v>
      </c>
      <c r="BG262" s="222"/>
      <c r="BH262" s="222"/>
      <c r="BI262" s="449"/>
    </row>
    <row r="263" spans="1:108" s="217" customFormat="1" ht="15.75" customHeight="1">
      <c r="A263" s="872" t="s">
        <v>337</v>
      </c>
      <c r="B263" s="873"/>
      <c r="C263" s="873"/>
      <c r="D263" s="874"/>
      <c r="E263" s="214">
        <f>SUM(E128:E195,E121:E123,E119)-E135-E147-E158-E159-E170-E172</f>
        <v>29936</v>
      </c>
      <c r="F263" s="214">
        <f>SUM(F128:F195,F121:F123,F119)-F135-F147-F158-F159-F170-F172</f>
        <v>24152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27289</v>
      </c>
      <c r="J263" s="214">
        <f t="shared" si="94"/>
        <v>0</v>
      </c>
      <c r="K263" s="214">
        <f t="shared" si="94"/>
        <v>0</v>
      </c>
      <c r="L263" s="214">
        <f t="shared" si="94"/>
        <v>1364450</v>
      </c>
      <c r="M263" s="214">
        <f t="shared" si="94"/>
        <v>0</v>
      </c>
      <c r="N263" s="214">
        <f t="shared" si="94"/>
        <v>0</v>
      </c>
      <c r="O263" s="214">
        <f t="shared" si="94"/>
        <v>26799</v>
      </c>
      <c r="P263" s="214">
        <f t="shared" si="94"/>
        <v>1339950</v>
      </c>
      <c r="Q263" s="214">
        <f>+SUM(Q128:Q195)-Q135-Q129-Q158-Q147-Q170+Q123+Q119</f>
        <v>5264550</v>
      </c>
      <c r="R263" s="214">
        <f>+SUM(R128:R195)-R135-R129-R158-R147-R170+R123+R119</f>
        <v>1417140</v>
      </c>
      <c r="S263" s="214">
        <f>+SUM(S128:S195)-S135-S129-S158-S147-S170+S123+S119</f>
        <v>8218310</v>
      </c>
      <c r="T263" s="214">
        <f>+SUM(T128:T195)-T135-T129-T158-T147-T170+T123+T119</f>
        <v>1052910</v>
      </c>
      <c r="U263" s="892">
        <f>IF(T263=0,0,P263/T263)</f>
        <v>1.2726158930962761</v>
      </c>
      <c r="V263" s="893"/>
      <c r="W263" s="1189"/>
      <c r="X263" s="214">
        <f>+SUM(X128:X195)*50</f>
        <v>0</v>
      </c>
      <c r="Y263" s="857"/>
      <c r="Z263" s="819"/>
      <c r="AA263" s="197">
        <f>+AA262+AA103+BRAN!X150+BRAN!X193+BRAN!X276+BRAN!X300+BRAN!X331</f>
        <v>0</v>
      </c>
      <c r="AB263" s="197">
        <f>+AB262+AB103+BRAN!Y150+BRAN!Y193+BRAN!Y276+BRAN!Y300+BRAN!Y331</f>
        <v>2455620</v>
      </c>
      <c r="AC263" s="197">
        <f>+AC262+AC103+BRAN!Z150+BRAN!Z193+BRAN!Z276+BRAN!Z300+BRAN!Z331</f>
        <v>2025450</v>
      </c>
      <c r="AD263" s="197">
        <f>+AD262+AD103+BRAN!AA150+BRAN!AA193+BRAN!AA276+BRAN!AA300+BRAN!AA331</f>
        <v>2123320</v>
      </c>
      <c r="AE263" s="197">
        <f>+AE262+AE103+BRAN!AB150+BRAN!AB193+BRAN!AB276+BRAN!AB300+BRAN!AB331</f>
        <v>2200995</v>
      </c>
      <c r="AF263" s="197">
        <f>+AF262+AF103+BRAN!AC150+BRAN!AC193+BRAN!AC276+BRAN!AC300+BRAN!AC331</f>
        <v>2468265</v>
      </c>
      <c r="AG263" s="197">
        <f>+AG262+AG103+BRAN!AD150+BRAN!AD193+BRAN!AD276+BRAN!AD300+BRAN!AD331</f>
        <v>0</v>
      </c>
      <c r="AH263" s="197">
        <f>+AH262+AH103+BRAN!AE150+BRAN!AE193+BRAN!AE276+BRAN!AE300+BRAN!AE331</f>
        <v>0</v>
      </c>
      <c r="AI263" s="197">
        <f>+AI262+AI103+BRAN!AF150+BRAN!AF193+BRAN!AF276+BRAN!AF300+BRAN!AF331</f>
        <v>0</v>
      </c>
      <c r="AJ263" s="197">
        <f>+AJ262+AJ103+BRAN!AG150+BRAN!AG193+BRAN!AG276+BRAN!AG300+BRAN!AG331</f>
        <v>0</v>
      </c>
      <c r="AK263" s="197">
        <f>+AK262+AK103+BRAN!AH150+BRAN!AH193+BRAN!AH276+BRAN!AH300+BRAN!AH331</f>
        <v>0</v>
      </c>
      <c r="AL263" s="197">
        <f>+AL262+AL103+BRAN!AI150+BRAN!AI193+BRAN!AI276+BRAN!AI300+BRAN!AI331</f>
        <v>0</v>
      </c>
      <c r="AM263" s="197">
        <f>+AM262+AM103+BRAN!AJ150+BRAN!AJ193+BRAN!AJ276+BRAN!AJ300+BRAN!AJ331</f>
        <v>0</v>
      </c>
      <c r="AN263" s="197">
        <f>+AN262+AN103+BRAN!AK150+BRAN!AK193+BRAN!AK276+BRAN!AK300+BRAN!AK331</f>
        <v>0</v>
      </c>
      <c r="AO263" s="197">
        <f>+AO262+AO103+BRAN!AL150+BRAN!AL193+BRAN!AL276+BRAN!AL300+BRAN!AL331</f>
        <v>0</v>
      </c>
      <c r="AP263" s="197">
        <f>+AP262+AP103+BRAN!AM150+BRAN!AM193+BRAN!AM276+BRAN!AM300+BRAN!AM331</f>
        <v>0</v>
      </c>
      <c r="AQ263" s="197">
        <f>+AQ262+AQ103+BRAN!AN150+BRAN!AN193+BRAN!AN276+BRAN!AN300+BRAN!AN331</f>
        <v>0</v>
      </c>
      <c r="AR263" s="197">
        <f>+AR262+AR103+BRAN!AO150+BRAN!AO193+BRAN!AO276+BRAN!AO300+BRAN!AO331</f>
        <v>0</v>
      </c>
      <c r="AS263" s="197">
        <f>+AS262+AS103+BRAN!AP150+BRAN!AP193+BRAN!AP276+BRAN!AP300+BRAN!AP331</f>
        <v>0</v>
      </c>
      <c r="AT263" s="197">
        <f>+AT262+AT103+BRAN!AQ150+BRAN!AQ193+BRAN!AQ276+BRAN!AQ300+BRAN!AQ331</f>
        <v>0</v>
      </c>
      <c r="AU263" s="197">
        <f>+AU262+AU103+BRAN!AR150+BRAN!AR193+BRAN!AR276+BRAN!AR300+BRAN!AR331</f>
        <v>0</v>
      </c>
      <c r="AV263" s="197">
        <f>+AV262+AV103+BRAN!AS150+BRAN!AS193+BRAN!AS276+BRAN!AS300+BRAN!AS331</f>
        <v>0</v>
      </c>
      <c r="AW263" s="197">
        <f>+AW262+AW103+BRAN!AT150+BRAN!AT193+BRAN!AT276+BRAN!AT300+BRAN!AT331</f>
        <v>0</v>
      </c>
      <c r="AX263" s="197">
        <f>+AX262+AX103+BRAN!AU150+BRAN!AU193+BRAN!AU276+BRAN!AU300+BRAN!AU331</f>
        <v>0</v>
      </c>
      <c r="AY263" s="197">
        <f>+AY262+AY103+BRAN!AV150+BRAN!AV193+BRAN!AV276+BRAN!AV300+BRAN!AV331</f>
        <v>0</v>
      </c>
      <c r="AZ263" s="197">
        <f>+AZ262+AZ103+BRAN!AW150+BRAN!AW193+BRAN!AW276+BRAN!AW300+BRAN!AW331</f>
        <v>0</v>
      </c>
      <c r="BA263" s="197">
        <f>+BA262+BA103+BRAN!AX150+BRAN!AX193+BRAN!AX276+BRAN!AX300+BRAN!AX331</f>
        <v>0</v>
      </c>
      <c r="BB263" s="197">
        <f>+BB262+BB103+BRAN!AY150+BRAN!AY193+BRAN!AY276+BRAN!AY300+BRAN!AY331</f>
        <v>0</v>
      </c>
      <c r="BC263" s="197">
        <f>+BC262+BC103+BRAN!AZ150+BRAN!AZ193+BRAN!AZ276+BRAN!AZ300+BRAN!AZ331</f>
        <v>0</v>
      </c>
      <c r="BD263" s="197">
        <f>+BD262+BD103+BRAN!BA150+BRAN!BA193+BRAN!BA276+BRAN!BA300+BRAN!BA331</f>
        <v>0</v>
      </c>
      <c r="BE263" s="197">
        <f>+BE262+BE103+BRAN!BB150+BRAN!BB193+BRAN!BB276+BRAN!BB300+BRAN!BB331</f>
        <v>0</v>
      </c>
      <c r="BF263" s="197">
        <f>SUM(AA263:BE263)</f>
        <v>11273650</v>
      </c>
      <c r="BG263" s="197"/>
      <c r="BH263" s="197"/>
      <c r="BI263" s="192">
        <f>+BF262+BF103</f>
        <v>8849860</v>
      </c>
    </row>
    <row r="264" spans="1:108" s="217" customFormat="1" ht="15.75" customHeight="1">
      <c r="A264" s="872" t="s">
        <v>74</v>
      </c>
      <c r="B264" s="873"/>
      <c r="C264" s="873"/>
      <c r="D264" s="874"/>
      <c r="E264" s="236"/>
      <c r="F264" s="236">
        <f>SUM(F196:F260)</f>
        <v>478630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478630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2326060</v>
      </c>
      <c r="R264" s="236">
        <f t="shared" si="95"/>
        <v>0</v>
      </c>
      <c r="S264" s="236">
        <f t="shared" si="95"/>
        <v>0</v>
      </c>
      <c r="T264" s="236">
        <f t="shared" si="95"/>
        <v>465212</v>
      </c>
      <c r="U264" s="892"/>
      <c r="V264" s="893"/>
      <c r="W264" s="1189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+BF262+BF103+BRAN!BC332</f>
        <v>11273650</v>
      </c>
      <c r="BG264" s="449"/>
      <c r="BH264" s="449"/>
    </row>
    <row r="265" spans="1:108" s="783" customFormat="1" ht="15.75" customHeight="1">
      <c r="A265" s="869" t="s">
        <v>75</v>
      </c>
      <c r="B265" s="870"/>
      <c r="C265" s="870"/>
      <c r="D265" s="871"/>
      <c r="E265" s="220">
        <f>SUM(E118:E195)</f>
        <v>38386</v>
      </c>
      <c r="F265" s="220">
        <f t="shared" ref="F265:O265" si="96">SUM(F261:F264)</f>
        <v>502782</v>
      </c>
      <c r="G265" s="220">
        <f t="shared" si="96"/>
        <v>0</v>
      </c>
      <c r="H265" s="220">
        <f t="shared" si="96"/>
        <v>0</v>
      </c>
      <c r="I265" s="220">
        <f t="shared" si="96"/>
        <v>28019</v>
      </c>
      <c r="J265" s="220">
        <f t="shared" si="96"/>
        <v>0</v>
      </c>
      <c r="K265" s="220">
        <f t="shared" si="96"/>
        <v>0</v>
      </c>
      <c r="L265" s="220">
        <f>+L266-L264</f>
        <v>1371750</v>
      </c>
      <c r="M265" s="220">
        <f>SUM(M261:M264)</f>
        <v>1</v>
      </c>
      <c r="N265" s="220">
        <f t="shared" si="96"/>
        <v>0</v>
      </c>
      <c r="O265" s="220">
        <f t="shared" si="96"/>
        <v>34518</v>
      </c>
      <c r="P265" s="220">
        <f>SUM(P261:P264)</f>
        <v>1417140</v>
      </c>
      <c r="Q265" s="934">
        <f>SUM(Q261:Q264)</f>
        <v>8218310</v>
      </c>
      <c r="R265" s="218">
        <f>SUM(R119:R260)</f>
        <v>1417140</v>
      </c>
      <c r="S265" s="218"/>
      <c r="T265" s="934">
        <f>Q265/$N$293</f>
        <v>1643662</v>
      </c>
      <c r="U265" s="890" t="s">
        <v>338</v>
      </c>
      <c r="V265" s="891"/>
      <c r="W265" s="1189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872" t="s">
        <v>77</v>
      </c>
      <c r="B266" s="873"/>
      <c r="C266" s="873"/>
      <c r="D266" s="874"/>
      <c r="E266" s="213">
        <f>+E261*10+E262*25+E263*50</f>
        <v>1581300</v>
      </c>
      <c r="F266" s="213">
        <f t="shared" ref="F266:O266" si="97">+F261*10+F262*25+F263*50</f>
        <v>1207600</v>
      </c>
      <c r="G266" s="213">
        <f>+G261*10+G262*25+G263*50</f>
        <v>0</v>
      </c>
      <c r="H266" s="213">
        <f>+H261*10+H262*25+H263*50</f>
        <v>0</v>
      </c>
      <c r="I266" s="213">
        <f>+I261*10+I262*25+I263*50</f>
        <v>1371750</v>
      </c>
      <c r="J266" s="213">
        <f t="shared" si="97"/>
        <v>0</v>
      </c>
      <c r="K266" s="213">
        <f t="shared" si="97"/>
        <v>0</v>
      </c>
      <c r="L266" s="213">
        <f>SUM(L118:L260)</f>
        <v>1850380</v>
      </c>
      <c r="M266" s="213">
        <f>+M261*10+M262*25+M263*50</f>
        <v>10</v>
      </c>
      <c r="N266" s="213">
        <f t="shared" si="97"/>
        <v>0</v>
      </c>
      <c r="O266" s="213">
        <f t="shared" si="97"/>
        <v>1417140</v>
      </c>
      <c r="P266" s="213">
        <f>SUM(P261:P264)</f>
        <v>1417140</v>
      </c>
      <c r="Q266" s="935"/>
      <c r="R266" s="224"/>
      <c r="S266" s="224"/>
      <c r="T266" s="935"/>
      <c r="U266" s="890"/>
      <c r="V266" s="891"/>
      <c r="W266" s="1190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956" t="s">
        <v>447</v>
      </c>
      <c r="B267" s="957"/>
      <c r="C267" s="948" t="s">
        <v>448</v>
      </c>
      <c r="D267" s="949"/>
      <c r="E267" s="220">
        <f>+E265+E107</f>
        <v>42795</v>
      </c>
      <c r="F267" s="220"/>
      <c r="G267" s="220"/>
      <c r="H267" s="220">
        <f>SUM(H107,H265)</f>
        <v>0</v>
      </c>
      <c r="I267" s="220">
        <f>SUM(I107,I265)</f>
        <v>30154</v>
      </c>
      <c r="J267" s="220">
        <f>SUM(J107,J265)</f>
        <v>0</v>
      </c>
      <c r="K267" s="220">
        <f>SUM(K107,K265)</f>
        <v>0</v>
      </c>
      <c r="L267" s="220">
        <f>SUM(L107,L265)</f>
        <v>1371750</v>
      </c>
      <c r="M267" s="220"/>
      <c r="N267" s="220">
        <f>SUM(N107,N265)</f>
        <v>0</v>
      </c>
      <c r="O267" s="484">
        <f>+SUM(O261:O264)+SUM(O103:O106)</f>
        <v>37414</v>
      </c>
      <c r="P267" s="220">
        <f>SUM(P107,P265)</f>
        <v>1561940</v>
      </c>
      <c r="Q267" s="939" t="s">
        <v>449</v>
      </c>
      <c r="R267" s="940"/>
      <c r="S267" s="940"/>
      <c r="T267" s="940"/>
      <c r="U267" s="940"/>
      <c r="V267" s="940"/>
      <c r="W267" s="941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958"/>
      <c r="B268" s="959"/>
      <c r="C268" s="879" t="s">
        <v>450</v>
      </c>
      <c r="D268" s="880"/>
      <c r="E268" s="204">
        <f>+E266+E108</f>
        <v>1801750</v>
      </c>
      <c r="F268" s="204">
        <f>+F266+F108</f>
        <v>1238700</v>
      </c>
      <c r="G268" s="204">
        <f>+G266+G108</f>
        <v>0</v>
      </c>
      <c r="H268" s="204">
        <f>SUM(H108,H266)</f>
        <v>0</v>
      </c>
      <c r="I268" s="204">
        <f>SUM(I108,I266)</f>
        <v>1478500</v>
      </c>
      <c r="J268" s="320"/>
      <c r="K268" s="320"/>
      <c r="L268" s="204">
        <f>SUM(L108,L266)</f>
        <v>1957130</v>
      </c>
      <c r="M268" s="204">
        <f>SUM(M108,M266)</f>
        <v>10</v>
      </c>
      <c r="N268" s="204">
        <f>SUM(N108,N266)</f>
        <v>0</v>
      </c>
      <c r="O268" s="584">
        <f>+O261*10+O262*25+O263*50+O103*25+O105*50</f>
        <v>1561940</v>
      </c>
      <c r="P268" s="585">
        <f>+P266+P108</f>
        <v>1561940</v>
      </c>
      <c r="Q268" s="942"/>
      <c r="R268" s="943"/>
      <c r="S268" s="943"/>
      <c r="T268" s="943"/>
      <c r="U268" s="943"/>
      <c r="V268" s="943"/>
      <c r="W268" s="944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950" t="s">
        <v>451</v>
      </c>
      <c r="B269" s="951"/>
      <c r="C269" s="877" t="s">
        <v>452</v>
      </c>
      <c r="D269" s="878"/>
      <c r="E269" s="204">
        <f>SUM(BRAN!E152,BRAN!E193,BRAN!E276,BRAN!E300,BRAN!E331)</f>
        <v>81</v>
      </c>
      <c r="F269" s="204">
        <f>SUM(BRAN!F152,BRAN!F193,BRAN!F276,BRAN!F300,BRAN!F331)</f>
        <v>0</v>
      </c>
      <c r="G269" s="204">
        <f>SUM(BRAN!G152,BRAN!G193,BRAN!G276,BRAN!G300,BRAN!G331)</f>
        <v>0</v>
      </c>
      <c r="H269" s="204">
        <f>SUM(BRAN!H152,BRAN!H193,BRAN!H276,BRAN!H300,BRAN!H331)</f>
        <v>0</v>
      </c>
      <c r="I269" s="204">
        <f>SUM(BRAN!I152,BRAN!I193,BRAN!I276,BRAN!I300,BRAN!I331)</f>
        <v>25</v>
      </c>
      <c r="J269" s="204"/>
      <c r="K269" s="204"/>
      <c r="L269" s="204">
        <f>SUM(BRAN!J152,BRAN!J193,BRAN!J276,BRAN!J300,BRAN!J331)</f>
        <v>625</v>
      </c>
      <c r="M269" s="204">
        <f>SUM(BRAN!K152,BRAN!K193,BRAN!K276,BRAN!K300,BRAN!K331)</f>
        <v>0</v>
      </c>
      <c r="N269" s="204">
        <f>SUM(BRAN!L152,BRAN!L193,BRAN!L276,BRAN!L300,BRAN!L331)</f>
        <v>0</v>
      </c>
      <c r="O269" s="584">
        <f>SUM(BRAN!M152,BRAN!M193,BRAN!M276,BRAN!M300,BRAN!M331)</f>
        <v>56</v>
      </c>
      <c r="P269" s="584">
        <f>+O269*25</f>
        <v>1400</v>
      </c>
      <c r="Q269" s="942"/>
      <c r="R269" s="943"/>
      <c r="S269" s="943"/>
      <c r="T269" s="943"/>
      <c r="U269" s="943"/>
      <c r="V269" s="943"/>
      <c r="W269" s="944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952"/>
      <c r="B270" s="953"/>
      <c r="C270" s="877" t="s">
        <v>453</v>
      </c>
      <c r="D270" s="878"/>
      <c r="E270" s="204">
        <f>+E261+BRAN!E151</f>
        <v>8500</v>
      </c>
      <c r="F270" s="204">
        <f>+F261</f>
        <v>0</v>
      </c>
      <c r="G270" s="204">
        <f>+G261</f>
        <v>0</v>
      </c>
      <c r="H270" s="204">
        <f>+H261+BRAN!H151</f>
        <v>0</v>
      </c>
      <c r="I270" s="204">
        <f>+I261+BRAN!I151</f>
        <v>730</v>
      </c>
      <c r="J270" s="204"/>
      <c r="K270" s="204"/>
      <c r="L270" s="204">
        <f>+I270*10</f>
        <v>7300</v>
      </c>
      <c r="M270" s="204">
        <f>+M261+BRAN!K151</f>
        <v>1</v>
      </c>
      <c r="N270" s="204">
        <f>+N261+BRAN!L151</f>
        <v>0</v>
      </c>
      <c r="O270" s="584">
        <f>+E270+F270+G270+H270-I270-M270-N270</f>
        <v>7769</v>
      </c>
      <c r="P270" s="585">
        <f>+O270*10</f>
        <v>77690</v>
      </c>
      <c r="Q270" s="942"/>
      <c r="R270" s="943"/>
      <c r="S270" s="943"/>
      <c r="T270" s="943"/>
      <c r="U270" s="943"/>
      <c r="V270" s="943"/>
      <c r="W270" s="944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954"/>
      <c r="B271" s="955"/>
      <c r="C271" s="877" t="s">
        <v>454</v>
      </c>
      <c r="D271" s="878"/>
      <c r="E271" s="203">
        <f>SUM(BRAN!E153,BRAN!E194,BRAN!E277,BRAN!E301,BRAN!E332)+SUM(INTGRATE!E103,INTGRATE!E262)</f>
        <v>55203</v>
      </c>
      <c r="F271" s="203">
        <f>SUM(BRAN!F153,BRAN!F194,BRAN!F277,BRAN!F301,BRAN!F332)+SUM(INTGRATE!F103,INTGRATE!F262)</f>
        <v>12659</v>
      </c>
      <c r="G271" s="203">
        <f>SUM(BRAN!G153,BRAN!G194,BRAN!G277,BRAN!G301,BRAN!G332)+SUM(INTGRATE!G103,INTGRATE!G262)</f>
        <v>0</v>
      </c>
      <c r="H271" s="203">
        <f>SUM(BRAN!H153,BRAN!H194,BRAN!H277,BRAN!H301,BRAN!H332)+SUM(INTGRATE!H103,INTGRATE!H262)</f>
        <v>1</v>
      </c>
      <c r="I271" s="203">
        <f>SUM(BRAN!I153,BRAN!I194,BRAN!I277,BRAN!I301,BRAN!I332)+SUM(INTGRATE!I103,INTGRATE!I262)+I158</f>
        <v>15792</v>
      </c>
      <c r="J271" s="203"/>
      <c r="K271" s="203"/>
      <c r="L271" s="203">
        <f>SUM(BRAN!J153,BRAN!J194,BRAN!J277,BRAN!J301,BRAN!J332)+SUM(INTGRATE!L103,INTGRATE!L262)+L158</f>
        <v>394800</v>
      </c>
      <c r="M271" s="489">
        <f>SUM(BRAN!K153,BRAN!K194,BRAN!K277,BRAN!K301,BRAN!K332)+SUM(INTGRATE!M103,INTGRATE!M262)</f>
        <v>15</v>
      </c>
      <c r="N271" s="489">
        <f>SUM(BRAN!L153,BRAN!L194,BRAN!L277,BRAN!L301,BRAN!L332)+SUM(INTGRATE!N103,INTGRATE!N262)</f>
        <v>1</v>
      </c>
      <c r="O271" s="586">
        <f>+O262+O103+BRAN!M153+BRAN!M194+BRAN!M277+BRAN!M332+BRAN!M301</f>
        <v>52055</v>
      </c>
      <c r="P271" s="587">
        <f>+O271*25</f>
        <v>1301375</v>
      </c>
      <c r="Q271" s="942"/>
      <c r="R271" s="943"/>
      <c r="S271" s="943"/>
      <c r="T271" s="943"/>
      <c r="U271" s="943"/>
      <c r="V271" s="943"/>
      <c r="W271" s="944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01" t="s">
        <v>455</v>
      </c>
      <c r="B272" s="1002"/>
      <c r="C272" s="877" t="s">
        <v>456</v>
      </c>
      <c r="D272" s="878"/>
      <c r="E272" s="203">
        <f>SUM(BRAN!E154,BRAN!E195,BRAN!E278,BRAN!E302,BRAN!E333)+E104</f>
        <v>0</v>
      </c>
      <c r="F272" s="203">
        <f>SUM(BRAN!F154,BRAN!F195,BRAN!F278,BRAN!F302,BRAN!F333)+F104</f>
        <v>0</v>
      </c>
      <c r="G272" s="203">
        <f>SUM(BRAN!G154,BRAN!G195,BRAN!G278,BRAN!G302,BRAN!G333)+G104</f>
        <v>0</v>
      </c>
      <c r="H272" s="203">
        <f>SUM(BRAN!H154,BRAN!H195,BRAN!H278,BRAN!H302)+H104</f>
        <v>0</v>
      </c>
      <c r="I272" s="203">
        <f>SUM(BRAN!I154,BRAN!I195,BRAN!I278,BRAN!I302,BRAN!I333)+I104</f>
        <v>0</v>
      </c>
      <c r="J272" s="203">
        <f>SUM(BRAN!J154,BRAN!J195,BRAN!J278,BRAN!J302,BRAN!J333)+J104</f>
        <v>0</v>
      </c>
      <c r="K272" s="203">
        <f>SUM(BRAN!K154,BRAN!K195,BRAN!K278,BRAN!K302,BRAN!K333)+K104</f>
        <v>0</v>
      </c>
      <c r="L272" s="203">
        <f>+I272*40</f>
        <v>0</v>
      </c>
      <c r="M272" s="203">
        <f>+M104+BRAN!K195+BRAN!K154+BRAN!K278+BRAN!K302+BRAN!K333</f>
        <v>0</v>
      </c>
      <c r="N272" s="203">
        <f>+N104+BRAN!L195+BRAN!L154</f>
        <v>0</v>
      </c>
      <c r="O272" s="203">
        <f>+BRAN!M154+BRAN!M195+BRAN!M278+BRAN!M302+BRAN!M333</f>
        <v>0</v>
      </c>
      <c r="P272" s="203">
        <f>+O272*40</f>
        <v>0</v>
      </c>
      <c r="Q272" s="942"/>
      <c r="R272" s="943"/>
      <c r="S272" s="943"/>
      <c r="T272" s="943"/>
      <c r="U272" s="943"/>
      <c r="V272" s="943"/>
      <c r="W272" s="944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03"/>
      <c r="B273" s="1004"/>
      <c r="C273" s="877" t="s">
        <v>457</v>
      </c>
      <c r="D273" s="878"/>
      <c r="E273" s="203">
        <f>SUM(E105,E263)</f>
        <v>34345</v>
      </c>
      <c r="F273" s="203">
        <f>SUM(F105,F263)</f>
        <v>24774</v>
      </c>
      <c r="G273" s="203">
        <f>SUM(G105,G263)</f>
        <v>0</v>
      </c>
      <c r="H273" s="203">
        <f>SUM(H105,H106,H263,H264)</f>
        <v>0</v>
      </c>
      <c r="I273" s="203">
        <f>SUM(I105,I263)-I158</f>
        <v>29424</v>
      </c>
      <c r="J273" s="203">
        <f>SUM(J105,J263)-J158</f>
        <v>0</v>
      </c>
      <c r="K273" s="203">
        <f>SUM(K105,K263)-K158</f>
        <v>0</v>
      </c>
      <c r="L273" s="203">
        <f>SUM(L105,L263)-L158</f>
        <v>1471200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29695</v>
      </c>
      <c r="P273" s="587">
        <f>+O273*50</f>
        <v>1484750</v>
      </c>
      <c r="Q273" s="942"/>
      <c r="R273" s="943"/>
      <c r="S273" s="943"/>
      <c r="T273" s="943"/>
      <c r="U273" s="943"/>
      <c r="V273" s="943"/>
      <c r="W273" s="944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05"/>
      <c r="B274" s="1006"/>
      <c r="C274" s="879" t="s">
        <v>458</v>
      </c>
      <c r="D274" s="880"/>
      <c r="E274" s="203">
        <f>+E269*25+E270*10+E271*25+E272*40+E273*50</f>
        <v>3184350</v>
      </c>
      <c r="F274" s="348">
        <f>+F271*25+F269*25+F270*10+F272*40+F273*50+F264+F106+BRAN!F155+BRAN!F280+BRAN!F334+BRAN!F304</f>
        <v>2149515</v>
      </c>
      <c r="G274" s="348">
        <f>SUM(BRAN!G157,BRAN!G197,BRAN!G281,BRAN!G305,BRAN!G336)+SUM(G266,G108)</f>
        <v>0</v>
      </c>
      <c r="H274" s="348">
        <f>SUM(BRAN!H157,BRAN!H197,BRAN!H281,BRAN!H305,BRAN!H336)+SUM(H266,H108)</f>
        <v>25</v>
      </c>
      <c r="I274" s="348">
        <f>+L274</f>
        <v>2468265</v>
      </c>
      <c r="J274" s="348"/>
      <c r="K274" s="348"/>
      <c r="L274" s="348">
        <f>+L266+L108+BRAN!J336+BRAN!J305+BRAN!J281+BRAN!J197+BRAN!J157</f>
        <v>2468265</v>
      </c>
      <c r="M274" s="348">
        <f>+M269*25+M270*10+M271*25+M272*40+M273*50</f>
        <v>385</v>
      </c>
      <c r="N274" s="545">
        <f>+N273*50+N272*40+N271*25+N270*10+N269*25</f>
        <v>25</v>
      </c>
      <c r="O274" s="582">
        <f>+P274</f>
        <v>2865215</v>
      </c>
      <c r="P274" s="582">
        <f>SUM(P269:P273)</f>
        <v>2865215</v>
      </c>
      <c r="Q274" s="945"/>
      <c r="R274" s="946"/>
      <c r="S274" s="946"/>
      <c r="T274" s="946"/>
      <c r="U274" s="946"/>
      <c r="V274" s="946"/>
      <c r="W274" s="947"/>
      <c r="X274" s="397">
        <f>+X265+X108+BRAN!U157+BRAN!U197+BRAN!U281+BRAN!U305+BRAN!U336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2865215</v>
      </c>
      <c r="P275" s="590">
        <f>+E274+F274+H274-I274-M274-N274</f>
        <v>2865215</v>
      </c>
      <c r="Q275" s="237">
        <f>SUM(Q119:Q260)</f>
        <v>8147910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886"/>
      <c r="U276" s="886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1"/>
      <c r="U277" s="1192"/>
      <c r="V277" s="1193"/>
      <c r="W277" s="1194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1"/>
      <c r="U278" s="1191"/>
      <c r="V278" s="1195"/>
      <c r="W278" s="1194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1085">
        <f>P274+REMIX!O24+X274</f>
        <v>2865215</v>
      </c>
      <c r="R281" s="1086"/>
      <c r="S281" s="1086"/>
      <c r="T281" s="1086"/>
      <c r="U281" s="1087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912" t="s">
        <v>460</v>
      </c>
      <c r="P282" s="913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912" t="s">
        <v>462</v>
      </c>
      <c r="P283" s="913"/>
      <c r="Q283" s="245">
        <f>SUM(R128)+BRAN!P14+BRAN!P167+BRAN!P206</f>
        <v>188190</v>
      </c>
      <c r="R283" s="215"/>
      <c r="S283" s="215"/>
      <c r="T283" s="245">
        <f>Q283/Q281*100</f>
        <v>6.5680934938564821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912" t="s">
        <v>463</v>
      </c>
      <c r="P284" s="913"/>
      <c r="Q284" s="245">
        <f>+Q281-Q282-Q283</f>
        <v>2677025</v>
      </c>
      <c r="R284" s="215"/>
      <c r="S284" s="215"/>
      <c r="T284" s="245">
        <f>Q284/Q281*100</f>
        <v>93.43190650614352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995" t="s">
        <v>464</v>
      </c>
      <c r="P285" s="997"/>
      <c r="Q285" s="1082">
        <v>403381</v>
      </c>
      <c r="R285" s="1083"/>
      <c r="S285" s="1083"/>
      <c r="T285" s="1083"/>
      <c r="U285" s="1084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995" t="s">
        <v>465</v>
      </c>
      <c r="P286" s="996"/>
      <c r="Q286" s="1082"/>
      <c r="R286" s="1083"/>
      <c r="S286" s="1083"/>
      <c r="T286" s="1083"/>
      <c r="U286" s="1084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907" t="s">
        <v>466</v>
      </c>
      <c r="P287" s="888"/>
      <c r="Q287" s="887">
        <f>+Q281+Q285+Q286</f>
        <v>3268596</v>
      </c>
      <c r="R287" s="888"/>
      <c r="S287" s="888"/>
      <c r="T287" s="888"/>
      <c r="U287" s="889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960" t="s">
        <v>467</v>
      </c>
      <c r="P288" s="961"/>
      <c r="Q288" s="962"/>
      <c r="R288" s="249"/>
      <c r="S288" s="250"/>
      <c r="T288" s="1092">
        <f>Q281/O311</f>
        <v>1.2707574742873871</v>
      </c>
      <c r="U288" s="1093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910" t="s">
        <v>468</v>
      </c>
      <c r="P289" s="911"/>
      <c r="Q289" s="251">
        <f>+BRAN!N157+BRAN!N197+BRAN!N281+BRAN!N305+BRAN!N336</f>
        <v>1303275</v>
      </c>
      <c r="R289" s="252"/>
      <c r="S289" s="252"/>
      <c r="T289" s="494">
        <f>+Q289/Q287*100</f>
        <v>39.872624209293534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908" t="s">
        <v>469</v>
      </c>
      <c r="P290" s="909"/>
      <c r="Q290" s="251">
        <f>+Q281-Q289</f>
        <v>1561940</v>
      </c>
      <c r="R290" s="249"/>
      <c r="S290" s="249"/>
      <c r="T290" s="495">
        <f>+Q290/$Q$287*100</f>
        <v>47.786266641701822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905" t="s">
        <v>470</v>
      </c>
      <c r="P291" s="906"/>
      <c r="Q291" s="673">
        <v>252000</v>
      </c>
      <c r="R291" s="446"/>
      <c r="S291" s="446"/>
      <c r="T291" s="495">
        <f>+Q291/$Q$287*100</f>
        <v>7.7097322520127909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1075"/>
      <c r="P292" s="1075"/>
      <c r="Q292" s="1075"/>
      <c r="T292" s="227"/>
      <c r="U292" s="197"/>
      <c r="V292" s="197"/>
    </row>
    <row r="293" spans="1:26" ht="17.25" customHeight="1" thickBot="1">
      <c r="A293" s="938" t="s">
        <v>471</v>
      </c>
      <c r="B293" s="938"/>
      <c r="C293" s="271">
        <v>5</v>
      </c>
      <c r="D293" s="937" t="s">
        <v>472</v>
      </c>
      <c r="E293" s="937"/>
      <c r="F293" s="937"/>
      <c r="G293" s="937"/>
      <c r="H293" s="937"/>
      <c r="I293" s="979"/>
      <c r="J293" s="979"/>
      <c r="L293" s="938" t="s">
        <v>473</v>
      </c>
      <c r="M293" s="938"/>
      <c r="N293" s="272">
        <v>5</v>
      </c>
      <c r="O293" s="1091" t="s">
        <v>474</v>
      </c>
      <c r="P293" s="1091"/>
      <c r="Q293" s="1091"/>
      <c r="R293" s="1091"/>
      <c r="S293" s="1091"/>
      <c r="T293" s="1091"/>
      <c r="U293" s="1091"/>
      <c r="V293" s="193"/>
    </row>
    <row r="294" spans="1:26" ht="21.75" customHeight="1">
      <c r="A294" s="1009" t="s">
        <v>475</v>
      </c>
      <c r="B294" s="998" t="s">
        <v>476</v>
      </c>
      <c r="C294" s="999"/>
      <c r="D294" s="999"/>
      <c r="E294" s="999"/>
      <c r="F294" s="999"/>
      <c r="G294" s="999"/>
      <c r="H294" s="1000"/>
      <c r="I294" s="987"/>
      <c r="J294" s="987"/>
      <c r="K294" s="259"/>
      <c r="L294" s="1066" t="s">
        <v>475</v>
      </c>
      <c r="M294" s="1067"/>
      <c r="N294" s="970" t="s">
        <v>477</v>
      </c>
      <c r="O294" s="971"/>
      <c r="P294" s="971"/>
      <c r="Q294" s="971"/>
      <c r="R294" s="971"/>
      <c r="S294" s="971"/>
      <c r="T294" s="971"/>
      <c r="U294" s="972"/>
      <c r="V294" s="304"/>
      <c r="W294" s="303"/>
      <c r="X294" s="247"/>
      <c r="Y294" s="775"/>
      <c r="Z294" s="825"/>
    </row>
    <row r="295" spans="1:26" ht="25.5" customHeight="1">
      <c r="A295" s="1010"/>
      <c r="B295" s="685" t="s">
        <v>478</v>
      </c>
      <c r="C295" s="685" t="s">
        <v>58</v>
      </c>
      <c r="D295" s="988" t="s">
        <v>479</v>
      </c>
      <c r="E295" s="989"/>
      <c r="F295" s="988" t="s">
        <v>480</v>
      </c>
      <c r="G295" s="1011"/>
      <c r="H295" s="1012"/>
      <c r="I295" s="979"/>
      <c r="J295" s="979"/>
      <c r="K295" s="255"/>
      <c r="L295" s="1068"/>
      <c r="M295" s="1069"/>
      <c r="N295" s="685" t="s">
        <v>58</v>
      </c>
      <c r="O295" s="686" t="s">
        <v>481</v>
      </c>
      <c r="P295" s="963" t="s">
        <v>482</v>
      </c>
      <c r="Q295" s="1070"/>
      <c r="R295" s="687"/>
      <c r="S295" s="687"/>
      <c r="T295" s="963" t="s">
        <v>483</v>
      </c>
      <c r="U295" s="964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BRAN!F152*25+2950</f>
        <v>2950</v>
      </c>
      <c r="C296" s="735">
        <f>+BRAN!F155+272770</f>
        <v>343590</v>
      </c>
      <c r="D296" s="1007">
        <f>BRAN!F153*25+BRAN!F154*40+1529200</f>
        <v>1793200</v>
      </c>
      <c r="E296" s="1008"/>
      <c r="F296" s="981"/>
      <c r="G296" s="982"/>
      <c r="H296" s="983"/>
      <c r="I296" s="986"/>
      <c r="J296" s="987"/>
      <c r="K296" s="256"/>
      <c r="L296" s="688" t="s">
        <v>484</v>
      </c>
      <c r="M296" s="689"/>
      <c r="N296" s="690">
        <f>+C296</f>
        <v>343590</v>
      </c>
      <c r="O296" s="691">
        <f>BRAN!O150+BRAN!O152</f>
        <v>1550</v>
      </c>
      <c r="P296" s="990">
        <f>+BRAN!BC150-INTGRATE!O296-N296</f>
        <v>1528955</v>
      </c>
      <c r="Q296" s="991"/>
      <c r="R296" s="692"/>
      <c r="S296" s="692"/>
      <c r="T296" s="973"/>
      <c r="U296" s="973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100</v>
      </c>
      <c r="C297" s="765">
        <f>+C296/C308*100</f>
        <v>11.852753879164625</v>
      </c>
      <c r="D297" s="984">
        <f>D296/D308*100</f>
        <v>79.354788746418265</v>
      </c>
      <c r="E297" s="985"/>
      <c r="F297" s="965"/>
      <c r="G297" s="976"/>
      <c r="H297" s="977"/>
      <c r="I297" s="978"/>
      <c r="J297" s="979"/>
      <c r="K297" s="258"/>
      <c r="L297" s="693" t="s">
        <v>461</v>
      </c>
      <c r="M297" s="694"/>
      <c r="N297" s="695">
        <f>+N296/N308</f>
        <v>0.11852753879164625</v>
      </c>
      <c r="O297" s="696">
        <f>O296/O308*100</f>
        <v>100</v>
      </c>
      <c r="P297" s="980">
        <f>P296/P308*100</f>
        <v>58.443387752137696</v>
      </c>
      <c r="Q297" s="974"/>
      <c r="R297" s="697"/>
      <c r="S297" s="697"/>
      <c r="T297" s="902"/>
      <c r="U297" s="902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BRAN!F193*25</f>
        <v>0</v>
      </c>
      <c r="C298" s="738"/>
      <c r="D298" s="967">
        <f>BRAN!F194*25+BRAN!F195*40+100850</f>
        <v>115175</v>
      </c>
      <c r="E298" s="975"/>
      <c r="F298" s="967"/>
      <c r="G298" s="968"/>
      <c r="H298" s="969"/>
      <c r="I298" s="868"/>
      <c r="J298" s="868"/>
      <c r="K298" s="1196"/>
      <c r="L298" s="693" t="s">
        <v>485</v>
      </c>
      <c r="M298" s="694"/>
      <c r="N298" s="698">
        <f>BRAN!O193</f>
        <v>0</v>
      </c>
      <c r="O298" s="699">
        <f>BRAN!O193</f>
        <v>0</v>
      </c>
      <c r="P298" s="903">
        <f>BRAN!O194+BRAN!O195</f>
        <v>116625</v>
      </c>
      <c r="Q298" s="904"/>
      <c r="R298" s="697"/>
      <c r="S298" s="697"/>
      <c r="T298" s="1090"/>
      <c r="U298" s="1090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65">
        <f>D298/D308*100</f>
        <v>5.0968591310889604</v>
      </c>
      <c r="E299" s="966"/>
      <c r="F299" s="965"/>
      <c r="G299" s="976"/>
      <c r="H299" s="977"/>
      <c r="I299" s="496"/>
      <c r="J299" s="196"/>
      <c r="K299" s="196"/>
      <c r="L299" s="693" t="s">
        <v>461</v>
      </c>
      <c r="M299" s="694"/>
      <c r="N299" s="700"/>
      <c r="O299" s="696">
        <f>N298/O308*100</f>
        <v>0</v>
      </c>
      <c r="P299" s="980">
        <f>P298/P308*100</f>
        <v>4.4579206690799005</v>
      </c>
      <c r="Q299" s="974"/>
      <c r="R299" s="697"/>
      <c r="S299" s="697"/>
      <c r="T299" s="902"/>
      <c r="U299" s="902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BRAN!F276*25</f>
        <v>0</v>
      </c>
      <c r="C300" s="738">
        <f>+BRAN!F280+109730</f>
        <v>154620</v>
      </c>
      <c r="D300" s="967">
        <f>BRAN!F277*25+BRAN!F278*40+238100</f>
        <v>259975</v>
      </c>
      <c r="E300" s="975"/>
      <c r="F300" s="967"/>
      <c r="G300" s="968"/>
      <c r="H300" s="969"/>
      <c r="I300" s="496"/>
      <c r="J300" s="259"/>
      <c r="K300" s="259"/>
      <c r="L300" s="693" t="s">
        <v>486</v>
      </c>
      <c r="M300" s="694"/>
      <c r="N300" s="698">
        <f>C300</f>
        <v>154620</v>
      </c>
      <c r="O300" s="699">
        <f>BRAN!O276</f>
        <v>0</v>
      </c>
      <c r="P300" s="903">
        <f>+BRAN!O277-N300</f>
        <v>223275</v>
      </c>
      <c r="Q300" s="904"/>
      <c r="R300" s="697"/>
      <c r="S300" s="697"/>
      <c r="T300" s="1090"/>
      <c r="U300" s="1090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5.3338944812026963</v>
      </c>
      <c r="D301" s="965">
        <f>D300/D308*100</f>
        <v>11.504718494507076</v>
      </c>
      <c r="E301" s="966"/>
      <c r="F301" s="965"/>
      <c r="G301" s="976"/>
      <c r="H301" s="977"/>
      <c r="I301" s="496"/>
      <c r="J301" s="196"/>
      <c r="K301" s="196"/>
      <c r="L301" s="693" t="s">
        <v>461</v>
      </c>
      <c r="M301" s="694"/>
      <c r="N301" s="695">
        <f>+N300/N308</f>
        <v>5.3338944812026966E-2</v>
      </c>
      <c r="O301" s="696">
        <v>0</v>
      </c>
      <c r="P301" s="980">
        <f>P300/P308*100</f>
        <v>8.5345529465278869</v>
      </c>
      <c r="Q301" s="974"/>
      <c r="R301" s="697"/>
      <c r="S301" s="697"/>
      <c r="T301" s="902"/>
      <c r="U301" s="902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BRAN!F300*25</f>
        <v>0</v>
      </c>
      <c r="C302" s="738">
        <f>+BRAN!F304</f>
        <v>0</v>
      </c>
      <c r="D302" s="967">
        <f>BRAN!F301*25+BRAN!F302*40</f>
        <v>0</v>
      </c>
      <c r="E302" s="975"/>
      <c r="F302" s="967"/>
      <c r="G302" s="968"/>
      <c r="H302" s="969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BRAN!O300</f>
        <v>0</v>
      </c>
      <c r="P302" s="903">
        <f>+BRAN!O301+BRAN!O302</f>
        <v>0</v>
      </c>
      <c r="Q302" s="904"/>
      <c r="R302" s="697"/>
      <c r="S302" s="697"/>
      <c r="T302" s="904"/>
      <c r="U302" s="904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65">
        <f>D302/D308*100</f>
        <v>0</v>
      </c>
      <c r="E303" s="966"/>
      <c r="F303" s="965"/>
      <c r="G303" s="976"/>
      <c r="H303" s="977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80">
        <f>P302/P308*100</f>
        <v>0</v>
      </c>
      <c r="Q303" s="974"/>
      <c r="R303" s="697"/>
      <c r="S303" s="697"/>
      <c r="T303" s="974"/>
      <c r="U303" s="974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BRAN!F331*25</f>
        <v>0</v>
      </c>
      <c r="C304" s="738">
        <f>+BRAN!J334</f>
        <v>0</v>
      </c>
      <c r="D304" s="967">
        <f>BRAN!F332*25+BRAN!F333*40+75100</f>
        <v>91375</v>
      </c>
      <c r="E304" s="975"/>
      <c r="F304" s="967"/>
      <c r="G304" s="968"/>
      <c r="H304" s="969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BRAN!O331</f>
        <v>0</v>
      </c>
      <c r="P304" s="903">
        <f>+BRAN!O332+BRAN!O333</f>
        <v>55175</v>
      </c>
      <c r="Q304" s="904"/>
      <c r="R304" s="697"/>
      <c r="S304" s="697"/>
      <c r="T304" s="904"/>
      <c r="U304" s="904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65">
        <f>D304/D308*100</f>
        <v>4.0436336279857068</v>
      </c>
      <c r="E305" s="966"/>
      <c r="F305" s="965"/>
      <c r="G305" s="976"/>
      <c r="H305" s="977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80">
        <f>P304/P308*100</f>
        <v>2.1090312790266541</v>
      </c>
      <c r="Q305" s="974"/>
      <c r="R305" s="697"/>
      <c r="S305" s="697"/>
      <c r="T305" s="974"/>
      <c r="U305" s="974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+F264+F106+1921980</f>
        <v>2400610</v>
      </c>
      <c r="D306" s="967">
        <f>F103*25+F262*25</f>
        <v>0</v>
      </c>
      <c r="E306" s="975"/>
      <c r="F306" s="967">
        <f>F105*50+F263*50+F104*40+3842550</f>
        <v>5081250</v>
      </c>
      <c r="G306" s="968"/>
      <c r="H306" s="969"/>
      <c r="I306" s="497"/>
      <c r="J306" s="259"/>
      <c r="K306" s="259"/>
      <c r="L306" s="693" t="s">
        <v>489</v>
      </c>
      <c r="M306" s="694"/>
      <c r="N306" s="698">
        <f>+Q264+Q106</f>
        <v>2400610</v>
      </c>
      <c r="O306" s="699">
        <v>0</v>
      </c>
      <c r="P306" s="903">
        <f>Q262+Q103+Q261+Q104</f>
        <v>692100</v>
      </c>
      <c r="Q306" s="904"/>
      <c r="R306" s="697"/>
      <c r="S306" s="697"/>
      <c r="T306" s="904">
        <f>Q263+Q105</f>
        <v>5757150</v>
      </c>
      <c r="U306" s="904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82.813351639632685</v>
      </c>
      <c r="D307" s="1028">
        <f>+D306/D308*100</f>
        <v>0</v>
      </c>
      <c r="E307" s="1029"/>
      <c r="F307" s="1028">
        <f>+F306/F308*100</f>
        <v>100</v>
      </c>
      <c r="G307" s="1063"/>
      <c r="H307" s="1064"/>
      <c r="I307" s="496"/>
      <c r="J307" s="259"/>
      <c r="K307" s="366"/>
      <c r="L307" s="701" t="s">
        <v>461</v>
      </c>
      <c r="M307" s="702"/>
      <c r="N307" s="703">
        <f>+N306/N308</f>
        <v>0.82813351639632682</v>
      </c>
      <c r="O307" s="696"/>
      <c r="P307" s="1030">
        <f>P306/P308*100</f>
        <v>26.455107353227859</v>
      </c>
      <c r="Q307" s="1031"/>
      <c r="R307" s="704"/>
      <c r="S307" s="704"/>
      <c r="T307" s="1031">
        <f>T306/T308*100</f>
        <v>100</v>
      </c>
      <c r="U307" s="1031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2950</v>
      </c>
      <c r="C308" s="746">
        <f>+C296+C298+C300+C302+C304+C306</f>
        <v>2898820</v>
      </c>
      <c r="D308" s="1040">
        <f>SUM(D296,D298,D300,D302,D304,D306)</f>
        <v>2259725</v>
      </c>
      <c r="E308" s="1041"/>
      <c r="F308" s="1040">
        <f>+F306</f>
        <v>5081250</v>
      </c>
      <c r="G308" s="1042"/>
      <c r="H308" s="1043"/>
      <c r="I308" s="497"/>
      <c r="J308" s="497"/>
      <c r="K308" s="497"/>
      <c r="L308" s="1021" t="s">
        <v>491</v>
      </c>
      <c r="M308" s="1022"/>
      <c r="N308" s="705">
        <f>SUM(N296,N298,N300,N302,N304,N306)</f>
        <v>2898820</v>
      </c>
      <c r="O308" s="706">
        <f>SUM(O296,O298,O300,O302,O304,O306)</f>
        <v>1550</v>
      </c>
      <c r="P308" s="1047">
        <f>SUM(P296,P298,P300,P302,P304,P306)</f>
        <v>2616130</v>
      </c>
      <c r="Q308" s="1048"/>
      <c r="R308" s="707"/>
      <c r="S308" s="707"/>
      <c r="T308" s="1048">
        <f>SUM(T306)</f>
        <v>5757150</v>
      </c>
      <c r="U308" s="1048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1044">
        <f>+C308/D310*100</f>
        <v>28.301202460863763</v>
      </c>
      <c r="C309" s="1065"/>
      <c r="D309" s="1044">
        <f>D308/D310*100</f>
        <v>22.061712949019039</v>
      </c>
      <c r="E309" s="1065"/>
      <c r="F309" s="1044">
        <f>F308/D310*100</f>
        <v>49.608283716913775</v>
      </c>
      <c r="G309" s="1045"/>
      <c r="H309" s="1046"/>
      <c r="I309" s="498"/>
      <c r="J309" s="365"/>
      <c r="K309" s="365"/>
      <c r="L309" s="708" t="s">
        <v>492</v>
      </c>
      <c r="M309" s="709"/>
      <c r="N309" s="710">
        <f>N308/O310*100</f>
        <v>25.713233957059163</v>
      </c>
      <c r="O309" s="711">
        <f>+O308/O310*100</f>
        <v>1.3748874588088154E-2</v>
      </c>
      <c r="P309" s="1019">
        <f>P308/O310*100</f>
        <v>23.205705339441973</v>
      </c>
      <c r="Q309" s="1020"/>
      <c r="R309" s="707"/>
      <c r="S309" s="707"/>
      <c r="T309" s="1020">
        <f>T308/O310*100</f>
        <v>51.067311828910775</v>
      </c>
      <c r="U309" s="1020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1037" t="s">
        <v>493</v>
      </c>
      <c r="B310" s="1038"/>
      <c r="C310" s="1039"/>
      <c r="D310" s="1057">
        <f>SUM(B308:F308)</f>
        <v>10242745</v>
      </c>
      <c r="E310" s="1058"/>
      <c r="F310" s="1058"/>
      <c r="G310" s="1058"/>
      <c r="H310" s="1059"/>
      <c r="I310" s="277"/>
      <c r="J310" s="277"/>
      <c r="K310" s="277"/>
      <c r="L310" s="992" t="s">
        <v>493</v>
      </c>
      <c r="M310" s="993"/>
      <c r="N310" s="994"/>
      <c r="O310" s="897">
        <f>+N308+O308+P308+T308</f>
        <v>11273650</v>
      </c>
      <c r="P310" s="897"/>
      <c r="Q310" s="897"/>
      <c r="R310" s="897"/>
      <c r="S310" s="897"/>
      <c r="T310" s="897"/>
      <c r="U310" s="898"/>
      <c r="V310" s="712"/>
      <c r="W310" s="262"/>
      <c r="X310" s="201"/>
      <c r="Y310" s="857"/>
      <c r="Z310" s="819"/>
    </row>
    <row r="311" spans="1:34" s="261" customFormat="1" ht="19.5" customHeight="1" thickBot="1">
      <c r="A311" s="1054" t="s">
        <v>494</v>
      </c>
      <c r="B311" s="1055"/>
      <c r="C311" s="1056"/>
      <c r="D311" s="1060">
        <f>D310/C293</f>
        <v>2048549</v>
      </c>
      <c r="E311" s="1061"/>
      <c r="F311" s="1061"/>
      <c r="G311" s="1061"/>
      <c r="H311" s="1062"/>
      <c r="I311" s="260"/>
      <c r="J311" s="357"/>
      <c r="K311" s="357"/>
      <c r="L311" s="1013" t="s">
        <v>495</v>
      </c>
      <c r="M311" s="1014"/>
      <c r="N311" s="1015"/>
      <c r="O311" s="894">
        <f>O310/N293</f>
        <v>2254730</v>
      </c>
      <c r="P311" s="895"/>
      <c r="Q311" s="895"/>
      <c r="R311" s="895"/>
      <c r="S311" s="895"/>
      <c r="T311" s="895"/>
      <c r="U311" s="896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1032" t="s">
        <v>496</v>
      </c>
      <c r="B313" s="1018" t="s">
        <v>497</v>
      </c>
      <c r="C313" s="1018"/>
      <c r="D313" s="1018"/>
      <c r="E313" s="1025" t="s">
        <v>498</v>
      </c>
      <c r="F313" s="1025"/>
      <c r="G313" s="1016" t="s">
        <v>499</v>
      </c>
      <c r="H313" s="1026" t="s">
        <v>500</v>
      </c>
      <c r="I313" s="1023" t="s">
        <v>501</v>
      </c>
      <c r="J313" s="358"/>
      <c r="K313" s="358"/>
      <c r="M313" s="1016" t="s">
        <v>499</v>
      </c>
      <c r="N313" s="1032" t="s">
        <v>496</v>
      </c>
      <c r="O313" s="1018" t="s">
        <v>497</v>
      </c>
      <c r="P313" s="1018"/>
      <c r="Q313" s="1018"/>
      <c r="R313" s="1079" t="s">
        <v>498</v>
      </c>
      <c r="S313" s="1080"/>
      <c r="T313" s="1080"/>
      <c r="U313" s="1080"/>
      <c r="V313" s="1081"/>
      <c r="W313" s="1088" t="s">
        <v>500</v>
      </c>
      <c r="X313" s="1077" t="s">
        <v>502</v>
      </c>
      <c r="Y313" s="901" t="s">
        <v>503</v>
      </c>
      <c r="Z313" s="899" t="s">
        <v>504</v>
      </c>
      <c r="AA313" s="914" t="s">
        <v>505</v>
      </c>
      <c r="AB313" s="883" t="s">
        <v>506</v>
      </c>
      <c r="AC313" s="884"/>
      <c r="AD313" s="884"/>
      <c r="AE313" s="885"/>
      <c r="AF313" s="815"/>
      <c r="AG313" s="815"/>
      <c r="AH313" s="815"/>
    </row>
    <row r="314" spans="1:34" s="247" customFormat="1" ht="27.75" customHeight="1">
      <c r="A314" s="1033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1017"/>
      <c r="H314" s="1027"/>
      <c r="I314" s="1024"/>
      <c r="J314" s="358"/>
      <c r="K314" s="358"/>
      <c r="L314" s="775"/>
      <c r="M314" s="1017"/>
      <c r="N314" s="1033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1089"/>
      <c r="X314" s="1078"/>
      <c r="Y314" s="901"/>
      <c r="Z314" s="900"/>
      <c r="AA314" s="915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0</v>
      </c>
      <c r="AH314" s="847"/>
    </row>
    <row r="315" spans="1:34" s="193" customFormat="1" ht="15" customHeight="1">
      <c r="A315" s="289">
        <f>SUM(BRAN!N21,BRAN!N40:N41,BRAN!N144:N149,BRAN!N166:N167,BRAN!N187:N189,BRAN!N192)+BRAN!N233+BRAN!N234+BRAN!N235+BRAN!N236+BRAN!M244+BRAN!N329+BRAN!N326+BRAN!N327+BRAN!N328</f>
        <v>134775</v>
      </c>
      <c r="B315" s="265">
        <f>+SUM(P118:P145)+SUM(BRAN!N294,BRAN!N250:N254,BRAN!N176,BRAN!N88:N108,BRAN!N36:N38,BRAN!N16,BRAN!N18:N20)+SUM(X136:X145)*50+BRAN!N260+BRAN!N179+BRAN!N181+BRAN!N122+BRAN!N117</f>
        <v>808740</v>
      </c>
      <c r="C315" s="265">
        <f>SUM(P146:P173)+SUM(BRAN!N23:N24,BRAN!N39,BRAN!N109:N131,BRAN!N177:N183,BRAN!N255:N264,BRAN!N295:N297,BRAN!N323:N325)-BRAN!N122-BRAN!N117-BRAN!N179-BRAN!N181-BRAN!N260</f>
        <v>830525</v>
      </c>
      <c r="D315" s="265">
        <f>SUM(P174:P195)+SUM(BRAN!N298:N299,BRAN!N265:N273,BRAN!N184:N186,BRAN!N132:N143,BRAN!N25)+SUM(X174:X195)*50+BRAN!N13</f>
        <v>329325</v>
      </c>
      <c r="E315" s="265">
        <f>SUM(P10:P45,P62:P68)+SUM(BRAN!N42:N59,BRAN!N168,BRAN!N316,BRAN!N17)+SUM(BRAN!U42:U60)*25+BRAN!N169+BRAN!N217+BRAN!N228+BRAN!N223+BRAN!N221</f>
        <v>419525</v>
      </c>
      <c r="F315" s="265">
        <f>SUM(P46:P55)+SUM(BRAN!N206:N216,BRAN!N63:N74,BRAN!N30:N35)+BRAN!N314+BRAN!N317+BRAN!N293</f>
        <v>68175</v>
      </c>
      <c r="G315" s="265">
        <f>+SUM(BRAN!N190:N191)+BRAN!N330</f>
        <v>3400</v>
      </c>
      <c r="H315" s="265">
        <f>SUM(BRAN!N26:N29,BRAN!N232)+BRAN!N61</f>
        <v>49875</v>
      </c>
      <c r="I315" s="632">
        <f>SUM(BRAN!N75:N87,BRAN!N170:N175,BRAN!N245:N249,BRAN!N274:N275,BRAN!N319:N320)+SUM(P69:P73,P55:P61)</f>
        <v>151000</v>
      </c>
      <c r="J315" s="222"/>
      <c r="K315" s="222"/>
      <c r="L315" s="811">
        <f>SUM(A315:I315)</f>
        <v>2795340</v>
      </c>
      <c r="M315" s="264">
        <f>+BRAN!BF26</f>
        <v>6450</v>
      </c>
      <c r="N315" s="264">
        <f>+BRAN!BF25</f>
        <v>161795</v>
      </c>
      <c r="O315" s="493">
        <f>BRAN!BF15+BI135</f>
        <v>2020795</v>
      </c>
      <c r="P315" s="265">
        <f>+BI136+BRAN!BF16</f>
        <v>6307605</v>
      </c>
      <c r="Q315" s="265">
        <f>BI145+BRAN!BF17</f>
        <v>1440000</v>
      </c>
      <c r="R315" s="265"/>
      <c r="S315" s="265"/>
      <c r="T315" s="265">
        <f>BRAN!BF21+BRAN!BF18+BI10</f>
        <v>706445</v>
      </c>
      <c r="U315" s="265">
        <f>+BRAN!BF20+BI11</f>
        <v>117100</v>
      </c>
      <c r="V315" s="732">
        <f>+BI12</f>
        <v>0</v>
      </c>
      <c r="W315" s="265">
        <f>+BRAN!BF24</f>
        <v>45810</v>
      </c>
      <c r="X315" s="434">
        <f>BK20+BRAN!BI22</f>
        <v>467650</v>
      </c>
      <c r="Y315" s="826">
        <f>SUM(S119)+SUM(BRAN!Q13)</f>
        <v>0</v>
      </c>
      <c r="Z315" s="826">
        <f>+BRAN!BF29</f>
        <v>0</v>
      </c>
      <c r="AA315" s="384">
        <f>+BRAN!Q206+BRAN!Q14+BRAN!Q167+BRAN!Q324</f>
        <v>176120</v>
      </c>
      <c r="AB315" s="356">
        <f>+BRAN!Q319+BRAN!Q295+BRAN!Q216+BRAN!Q217+BRAN!Q168+BRAN!Q169+BRAN!Q19+BRAN!Q15+INTGRATE!S128+INTGRATE!S13</f>
        <v>521505</v>
      </c>
      <c r="AC315" s="356">
        <f>S131+BRAN!Q323+BRAN!Q296+BRAN!Q232+BRAN!Q170+BRAN!Q17</f>
        <v>1394150</v>
      </c>
      <c r="AD315" s="356">
        <f>BRAN!Q18+BRAN!Q325+BRAN!Q233+BRAN!Q298+S16</f>
        <v>301325</v>
      </c>
      <c r="AE315" s="356">
        <f>S144+S19+BRAN!Q16+BRAN!Q171+BRAN!Q245+BRAN!Q297+BRAN!Q320</f>
        <v>8880550</v>
      </c>
      <c r="AF315" s="590">
        <f>SUM(M315:X315)</f>
        <v>11273650</v>
      </c>
      <c r="AG315" s="848">
        <f>SUM(Y315:AE315)</f>
        <v>11273650</v>
      </c>
      <c r="AH315" s="848">
        <f>AG315-AF315</f>
        <v>0</v>
      </c>
    </row>
    <row r="316" spans="1:34" s="726" customFormat="1" ht="15" customHeight="1" thickBot="1">
      <c r="A316" s="723">
        <f>A315/$L$315</f>
        <v>4.8214170726995645E-2</v>
      </c>
      <c r="B316" s="723">
        <f t="shared" ref="B316:I316" si="98">B315/$L$315</f>
        <v>0.28931722080319389</v>
      </c>
      <c r="C316" s="723">
        <f t="shared" si="98"/>
        <v>0.29711054826962013</v>
      </c>
      <c r="D316" s="723">
        <f t="shared" si="98"/>
        <v>0.1178121444976282</v>
      </c>
      <c r="E316" s="723">
        <f t="shared" si="98"/>
        <v>0.15008013336481429</v>
      </c>
      <c r="F316" s="723">
        <f t="shared" si="98"/>
        <v>2.4388804224173086E-2</v>
      </c>
      <c r="G316" s="723">
        <f t="shared" si="98"/>
        <v>1.2163100016455959E-3</v>
      </c>
      <c r="H316" s="723">
        <f t="shared" si="98"/>
        <v>1.7842194509433557E-2</v>
      </c>
      <c r="I316" s="723">
        <f t="shared" si="98"/>
        <v>5.4018473602495579E-2</v>
      </c>
      <c r="J316" s="724"/>
      <c r="K316" s="724"/>
      <c r="L316" s="776"/>
      <c r="M316" s="723">
        <f>M315/$O$310</f>
        <v>5.7213058769786185E-4</v>
      </c>
      <c r="N316" s="723">
        <f t="shared" ref="N316:X316" si="99">N315/$O$310</f>
        <v>1.4351607509546598E-2</v>
      </c>
      <c r="O316" s="723">
        <f t="shared" si="99"/>
        <v>0.17924940014990709</v>
      </c>
      <c r="P316" s="723">
        <f t="shared" si="99"/>
        <v>0.55949980707224367</v>
      </c>
      <c r="Q316" s="723">
        <f t="shared" si="99"/>
        <v>0.12773148004417381</v>
      </c>
      <c r="R316" s="723">
        <f t="shared" si="99"/>
        <v>0</v>
      </c>
      <c r="S316" s="723">
        <f t="shared" si="99"/>
        <v>0</v>
      </c>
      <c r="T316" s="723">
        <f t="shared" si="99"/>
        <v>6.2663378763754413E-2</v>
      </c>
      <c r="U316" s="723">
        <f t="shared" si="99"/>
        <v>1.0387052995258855E-2</v>
      </c>
      <c r="V316" s="723">
        <f t="shared" si="99"/>
        <v>0</v>
      </c>
      <c r="W316" s="723">
        <f t="shared" si="99"/>
        <v>4.0634577089052795E-3</v>
      </c>
      <c r="X316" s="764">
        <f t="shared" si="99"/>
        <v>4.1481685168512417E-2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1.5622269628736035E-2</v>
      </c>
      <c r="AB316" s="725">
        <f t="shared" si="100"/>
        <v>4.6258753819747818E-2</v>
      </c>
      <c r="AC316" s="725">
        <f t="shared" si="100"/>
        <v>0.12366447423860064</v>
      </c>
      <c r="AD316" s="725">
        <f t="shared" si="100"/>
        <v>2.6728255711326854E-2</v>
      </c>
      <c r="AE316" s="725">
        <f t="shared" si="100"/>
        <v>0.78772624660158863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886"/>
      <c r="M317" s="886"/>
      <c r="N317" s="886"/>
      <c r="O317" s="886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1670885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F108+F266+BRAN!F157+BRAN!F197+BRAN!F281+BRAN!F305+BRAN!F336</f>
        <v>1670885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pane="bottomRight" activeCell="P36" sqref="P36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51">
        <f>[2]BRAN!N3</f>
        <v>41756</v>
      </c>
      <c r="P3" s="1151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56" t="s">
        <v>13</v>
      </c>
      <c r="B7" s="1156"/>
      <c r="C7" s="1156"/>
      <c r="D7" s="1156"/>
      <c r="E7" s="1156"/>
      <c r="F7" s="1156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56" t="s">
        <v>14</v>
      </c>
      <c r="B8" s="1156"/>
      <c r="C8" s="1156"/>
      <c r="D8" s="1156"/>
      <c r="E8" s="1156"/>
      <c r="F8" s="1156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56" t="s">
        <v>252</v>
      </c>
      <c r="B9" s="1156"/>
      <c r="C9" s="1156"/>
      <c r="D9" s="1156"/>
      <c r="E9" s="1156"/>
      <c r="F9" s="1156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1034">
        <f>+BRAN!O3</f>
        <v>46148</v>
      </c>
      <c r="Q9" s="1034"/>
      <c r="R9" s="1034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52" t="s">
        <v>524</v>
      </c>
      <c r="B13" s="1152"/>
      <c r="C13" s="1152"/>
      <c r="D13" s="1152"/>
      <c r="E13" s="1152"/>
      <c r="F13" s="1152"/>
      <c r="G13" s="1152"/>
      <c r="H13" s="1152"/>
      <c r="I13" s="1152"/>
      <c r="J13" s="1152"/>
      <c r="K13" s="1152"/>
      <c r="L13" s="1152"/>
      <c r="M13" s="1152"/>
      <c r="N13" s="1152"/>
      <c r="O13" s="1152"/>
      <c r="P13" s="1152"/>
      <c r="Q13" s="1152"/>
      <c r="R13" s="1152"/>
    </row>
    <row r="14" spans="1:19" ht="17.25" customHeight="1">
      <c r="A14" s="1153" t="s">
        <v>525</v>
      </c>
      <c r="B14" s="1153"/>
      <c r="C14" s="1153"/>
      <c r="D14" s="1153"/>
      <c r="E14" s="1153"/>
      <c r="F14" s="1153"/>
      <c r="G14" s="1153"/>
      <c r="H14" s="1153"/>
      <c r="I14" s="1153"/>
      <c r="J14" s="1153"/>
      <c r="K14" s="1153"/>
      <c r="L14" s="1153"/>
      <c r="M14" s="1153"/>
      <c r="N14" s="1153"/>
      <c r="O14" s="1153"/>
      <c r="P14" s="1153"/>
      <c r="Q14" s="1153"/>
      <c r="R14" s="1153"/>
    </row>
    <row r="15" spans="1:19" ht="13.7" customHeight="1">
      <c r="A15" s="279"/>
      <c r="B15" s="1154"/>
      <c r="C15" s="1154"/>
      <c r="D15" s="1154"/>
      <c r="E15" s="1154"/>
      <c r="F15" s="1154"/>
      <c r="G15" s="1155"/>
      <c r="H15" s="1155"/>
      <c r="I15" s="1155"/>
      <c r="J15" s="1155"/>
      <c r="K15" s="1155"/>
      <c r="L15" s="1155"/>
      <c r="M15" s="1155"/>
      <c r="N15" s="1155"/>
      <c r="O15" s="1155"/>
      <c r="P15" s="1154"/>
      <c r="Q15" s="1154"/>
      <c r="R15" s="1154"/>
    </row>
    <row r="16" spans="1:19" s="28" customFormat="1" ht="30.75" customHeight="1">
      <c r="A16" s="1146" t="s">
        <v>22</v>
      </c>
      <c r="B16" s="1134" t="s">
        <v>23</v>
      </c>
      <c r="C16" s="1134" t="s">
        <v>24</v>
      </c>
      <c r="D16" s="1131" t="s">
        <v>25</v>
      </c>
      <c r="E16" s="751" t="s">
        <v>26</v>
      </c>
      <c r="F16" s="1149" t="s">
        <v>526</v>
      </c>
      <c r="G16" s="1144" t="s">
        <v>527</v>
      </c>
      <c r="H16" s="1145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42" t="s">
        <v>531</v>
      </c>
      <c r="R16" s="1140" t="s">
        <v>532</v>
      </c>
    </row>
    <row r="17" spans="1:254" s="28" customFormat="1" ht="30.75" customHeight="1">
      <c r="A17" s="1147"/>
      <c r="B17" s="1135"/>
      <c r="C17" s="1135"/>
      <c r="D17" s="1132" t="s">
        <v>35</v>
      </c>
      <c r="E17" s="752" t="s">
        <v>36</v>
      </c>
      <c r="F17" s="1150"/>
      <c r="G17" s="1137" t="s">
        <v>533</v>
      </c>
      <c r="H17" s="1138"/>
      <c r="I17" s="755" t="s">
        <v>534</v>
      </c>
      <c r="J17" s="755"/>
      <c r="K17" s="755"/>
      <c r="L17" s="755"/>
      <c r="M17" s="756" t="s">
        <v>535</v>
      </c>
      <c r="N17" s="1137" t="s">
        <v>536</v>
      </c>
      <c r="O17" s="1138"/>
      <c r="P17" s="759" t="s">
        <v>537</v>
      </c>
      <c r="Q17" s="1143"/>
      <c r="R17" s="1141"/>
    </row>
    <row r="18" spans="1:254" s="28" customFormat="1" ht="30.75" customHeight="1">
      <c r="A18" s="1148"/>
      <c r="B18" s="1136"/>
      <c r="C18" s="1136"/>
      <c r="D18" s="1133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39" t="s">
        <v>544</v>
      </c>
      <c r="B23" s="1139"/>
      <c r="C23" s="1139"/>
      <c r="D23" s="1139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28">
        <f t="shared" ref="T23:AX23" si="4">SUM(T19:T21)</f>
        <v>0</v>
      </c>
      <c r="U23" s="1128">
        <f t="shared" si="4"/>
        <v>0</v>
      </c>
      <c r="V23" s="1128">
        <f t="shared" si="4"/>
        <v>0</v>
      </c>
      <c r="W23" s="1128">
        <f t="shared" si="4"/>
        <v>0</v>
      </c>
      <c r="X23" s="1128">
        <f t="shared" si="4"/>
        <v>0</v>
      </c>
      <c r="Y23" s="1128">
        <f t="shared" si="4"/>
        <v>0</v>
      </c>
      <c r="Z23" s="1128">
        <f t="shared" si="4"/>
        <v>0</v>
      </c>
      <c r="AA23" s="1128">
        <f t="shared" si="4"/>
        <v>0</v>
      </c>
      <c r="AB23" s="1128">
        <f t="shared" si="4"/>
        <v>0</v>
      </c>
      <c r="AC23" s="1128">
        <f t="shared" si="4"/>
        <v>0</v>
      </c>
      <c r="AD23" s="1128">
        <f t="shared" si="4"/>
        <v>0</v>
      </c>
      <c r="AE23" s="1128">
        <f t="shared" si="4"/>
        <v>0</v>
      </c>
      <c r="AF23" s="1128">
        <f t="shared" si="4"/>
        <v>0</v>
      </c>
      <c r="AG23" s="1128">
        <f t="shared" si="4"/>
        <v>0</v>
      </c>
      <c r="AH23" s="1128">
        <f t="shared" si="4"/>
        <v>0</v>
      </c>
      <c r="AI23" s="1128">
        <f t="shared" si="4"/>
        <v>0</v>
      </c>
      <c r="AJ23" s="1128">
        <f t="shared" si="4"/>
        <v>0</v>
      </c>
      <c r="AK23" s="1128">
        <f t="shared" si="4"/>
        <v>0</v>
      </c>
      <c r="AL23" s="1128">
        <f t="shared" si="4"/>
        <v>0</v>
      </c>
      <c r="AM23" s="1128">
        <f t="shared" si="4"/>
        <v>0</v>
      </c>
      <c r="AN23" s="1128">
        <f t="shared" si="4"/>
        <v>0</v>
      </c>
      <c r="AO23" s="1128">
        <f t="shared" si="4"/>
        <v>0</v>
      </c>
      <c r="AP23" s="1128">
        <f t="shared" si="4"/>
        <v>0</v>
      </c>
      <c r="AQ23" s="1128">
        <f t="shared" si="4"/>
        <v>0</v>
      </c>
      <c r="AR23" s="1128">
        <f t="shared" si="4"/>
        <v>0</v>
      </c>
      <c r="AS23" s="1128">
        <f t="shared" si="4"/>
        <v>0</v>
      </c>
      <c r="AT23" s="1128">
        <f t="shared" si="4"/>
        <v>0</v>
      </c>
      <c r="AU23" s="1128">
        <f t="shared" si="4"/>
        <v>0</v>
      </c>
      <c r="AV23" s="1128">
        <f t="shared" si="4"/>
        <v>0</v>
      </c>
      <c r="AW23" s="1128">
        <f t="shared" si="4"/>
        <v>0</v>
      </c>
      <c r="AX23" s="1128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30" t="s">
        <v>545</v>
      </c>
      <c r="B24" s="1130"/>
      <c r="C24" s="1130"/>
      <c r="D24" s="1130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29"/>
      <c r="U24" s="1129"/>
      <c r="V24" s="1129"/>
      <c r="W24" s="1129"/>
      <c r="X24" s="1129"/>
      <c r="Y24" s="1129"/>
      <c r="Z24" s="1129"/>
      <c r="AA24" s="1129"/>
      <c r="AB24" s="1129"/>
      <c r="AC24" s="1129"/>
      <c r="AD24" s="1129"/>
      <c r="AE24" s="1129"/>
      <c r="AF24" s="1129"/>
      <c r="AG24" s="1129"/>
      <c r="AH24" s="1129"/>
      <c r="AI24" s="1129"/>
      <c r="AJ24" s="1129"/>
      <c r="AK24" s="1129"/>
      <c r="AL24" s="1129"/>
      <c r="AM24" s="1129"/>
      <c r="AN24" s="1129"/>
      <c r="AO24" s="1129"/>
      <c r="AP24" s="1129"/>
      <c r="AQ24" s="1129"/>
      <c r="AR24" s="1129"/>
      <c r="AS24" s="1129"/>
      <c r="AT24" s="1129"/>
      <c r="AU24" s="1129"/>
      <c r="AV24" s="1129"/>
      <c r="AW24" s="1129"/>
      <c r="AX24" s="1129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F25" sqref="F25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>
        <f>IF(F1="","",(SUMIF(INTGRATE!$Y:$Y,data!D1,INTGRATE!$L:$L)+SUMIF(BRAN!$V:$V,data!D1,BRAN!$J:$J)))</f>
        <v>975</v>
      </c>
      <c r="C1" s="572">
        <f t="shared" ref="C1:C32" si="0">IF(F1="","",B1-K1)</f>
        <v>0</v>
      </c>
      <c r="D1" s="573" t="str">
        <f>IFERROR(VLOOKUP(E1,Map!$B:$F,4,0),"")&amp;IFERROR(VLOOKUP(E1,Map!$B:$F,5,0),"")</f>
        <v>511L25</v>
      </c>
      <c r="E1" s="574" t="str">
        <f>IF(MID(F1,10,2)="99",F1&amp;H1,LEFT(F1,14))</f>
        <v>21115111200125</v>
      </c>
      <c r="F1" s="428">
        <v>21115111200125</v>
      </c>
      <c r="G1" t="s">
        <v>2070</v>
      </c>
      <c r="H1" t="s">
        <v>17</v>
      </c>
      <c r="I1">
        <v>25</v>
      </c>
      <c r="J1" s="442">
        <v>39</v>
      </c>
      <c r="K1" s="442">
        <v>975</v>
      </c>
      <c r="L1" s="14">
        <v>10871250</v>
      </c>
      <c r="M1" s="611"/>
      <c r="N1" s="369"/>
      <c r="O1" s="369"/>
      <c r="P1" s="369"/>
      <c r="Q1" s="369"/>
      <c r="R1" s="369"/>
    </row>
    <row r="2" spans="2:18">
      <c r="B2" s="571">
        <f>IF(F2="","",(SUMIF(INTGRATE!$Y:$Y,data!D2,INTGRATE!$L:$L)+SUMIF(BRAN!$V:$V,data!D2,BRAN!$J:$J)))</f>
        <v>2250</v>
      </c>
      <c r="C2" s="572">
        <f t="shared" si="0"/>
        <v>0</v>
      </c>
      <c r="D2" s="573" t="str">
        <f>IFERROR(VLOOKUP(E2,Map!$B:$F,4,0),"")&amp;IFERROR(VLOOKUP(E2,Map!$B:$F,5,0),"")</f>
        <v>510M25</v>
      </c>
      <c r="E2" s="574" t="str">
        <f t="shared" ref="E2:E32" si="1">IF(MID(F2,10,2)="99",F2&amp;H2,LEFT(F2,14))</f>
        <v>21115101300125</v>
      </c>
      <c r="F2" s="428">
        <v>21115101300125</v>
      </c>
      <c r="G2" t="s">
        <v>2071</v>
      </c>
      <c r="H2" t="s">
        <v>17</v>
      </c>
      <c r="I2">
        <v>25</v>
      </c>
      <c r="J2" s="442">
        <v>90</v>
      </c>
      <c r="K2" s="442">
        <v>2250</v>
      </c>
      <c r="L2" s="14">
        <v>26797500</v>
      </c>
      <c r="M2" s="625"/>
      <c r="N2" s="554"/>
      <c r="O2" s="625"/>
      <c r="P2" s="554"/>
      <c r="Q2" s="625"/>
      <c r="R2" s="554"/>
    </row>
    <row r="3" spans="2:18">
      <c r="B3" s="571">
        <f>IF(F3="","",(SUMIF(INTGRATE!$Y:$Y,data!D3,INTGRATE!$L:$L)+SUMIF(BRAN!$V:$V,data!D3,BRAN!$J:$J)))</f>
        <v>1125</v>
      </c>
      <c r="C3" s="572">
        <f t="shared" si="0"/>
        <v>0</v>
      </c>
      <c r="D3" s="573" t="str">
        <f>IFERROR(VLOOKUP(E3,Map!$B:$F,4,0),"")&amp;IFERROR(VLOOKUP(E3,Map!$B:$F,5,0),"")</f>
        <v>30125</v>
      </c>
      <c r="E3" s="574" t="str">
        <f t="shared" si="1"/>
        <v>21113010000125</v>
      </c>
      <c r="F3" s="428">
        <v>21113010000125</v>
      </c>
      <c r="G3" t="s">
        <v>2072</v>
      </c>
      <c r="H3" t="s">
        <v>17</v>
      </c>
      <c r="I3">
        <v>25</v>
      </c>
      <c r="J3" s="442">
        <v>45</v>
      </c>
      <c r="K3" s="442">
        <v>1125</v>
      </c>
      <c r="L3" s="14">
        <v>13252500</v>
      </c>
      <c r="M3" s="625"/>
      <c r="N3" s="554"/>
      <c r="O3" s="625"/>
      <c r="P3" s="554"/>
      <c r="Q3" s="625"/>
      <c r="R3" s="554"/>
    </row>
    <row r="4" spans="2:18">
      <c r="B4" s="571">
        <f>IF(F4="","",(SUMIF(INTGRATE!$Y:$Y,data!D4,INTGRATE!$L:$L)+SUMIF(BRAN!$V:$V,data!D4,BRAN!$J:$J)))</f>
        <v>4000</v>
      </c>
      <c r="C4" s="572">
        <f t="shared" si="0"/>
        <v>0</v>
      </c>
      <c r="D4" s="573" t="str">
        <f>IFERROR(VLOOKUP(E4,Map!$B:$F,4,0),"")&amp;IFERROR(VLOOKUP(E4,Map!$B:$F,5,0),"")</f>
        <v>550Pro25</v>
      </c>
      <c r="E4" s="574" t="str">
        <f t="shared" si="1"/>
        <v>21115501600125</v>
      </c>
      <c r="F4" s="428">
        <v>21115501600125</v>
      </c>
      <c r="G4" t="s">
        <v>1720</v>
      </c>
      <c r="H4" t="s">
        <v>17</v>
      </c>
      <c r="I4">
        <v>25</v>
      </c>
      <c r="J4" s="442">
        <v>160</v>
      </c>
      <c r="K4" s="442">
        <v>4000</v>
      </c>
      <c r="L4" s="14">
        <v>91440000</v>
      </c>
      <c r="M4" s="625"/>
      <c r="N4" s="554"/>
      <c r="O4" s="625"/>
      <c r="P4" s="554"/>
      <c r="Q4" s="625"/>
      <c r="R4" s="554"/>
    </row>
    <row r="5" spans="2:18">
      <c r="B5" s="571">
        <f>IF(F5="","",(SUMIF(INTGRATE!$Y:$Y,data!D5,INTGRATE!$L:$L)+SUMIF(BRAN!$V:$V,data!D5,BRAN!$J:$J)))</f>
        <v>34900</v>
      </c>
      <c r="C5" s="572">
        <f t="shared" si="0"/>
        <v>0</v>
      </c>
      <c r="D5" s="573" t="str">
        <f>IFERROR(VLOOKUP(E5,Map!$B:$F,4,0),"")&amp;IFERROR(VLOOKUP(E5,Map!$B:$F,5,0),"")</f>
        <v>553SSilo</v>
      </c>
      <c r="E5" s="574" t="str">
        <f t="shared" si="1"/>
        <v>21115531900100</v>
      </c>
      <c r="F5" s="428">
        <v>21115531900100</v>
      </c>
      <c r="G5" t="s">
        <v>1498</v>
      </c>
      <c r="H5" t="s">
        <v>17</v>
      </c>
      <c r="I5">
        <v>0</v>
      </c>
      <c r="J5" s="442">
        <v>0</v>
      </c>
      <c r="K5" s="442">
        <v>34900</v>
      </c>
      <c r="L5" s="14">
        <v>377618000</v>
      </c>
      <c r="M5" s="625"/>
      <c r="N5" s="554"/>
      <c r="O5" s="625"/>
      <c r="P5" s="554"/>
      <c r="Q5" s="625"/>
      <c r="R5" s="554"/>
    </row>
    <row r="6" spans="2:18">
      <c r="B6" s="571">
        <f>IF(F6="","",(SUMIF(INTGRATE!$Y:$Y,data!D6,INTGRATE!$L:$L)+SUMIF(BRAN!$V:$V,data!D6,BRAN!$J:$J)))</f>
        <v>7475</v>
      </c>
      <c r="C6" s="572">
        <f t="shared" si="0"/>
        <v>0</v>
      </c>
      <c r="D6" s="573" t="str">
        <f>IFERROR(VLOOKUP(E6,Map!$B:$F,4,0),"")&amp;IFERROR(VLOOKUP(E6,Map!$B:$F,5,0),"")</f>
        <v>551X25</v>
      </c>
      <c r="E6" s="574" t="str">
        <f t="shared" si="1"/>
        <v>21115512400125</v>
      </c>
      <c r="F6" s="428">
        <v>21115512400125</v>
      </c>
      <c r="G6" t="s">
        <v>1863</v>
      </c>
      <c r="H6" t="s">
        <v>17</v>
      </c>
      <c r="I6">
        <v>25</v>
      </c>
      <c r="J6" s="442">
        <v>299</v>
      </c>
      <c r="K6" s="442">
        <v>7475</v>
      </c>
      <c r="L6" s="14">
        <v>129840750</v>
      </c>
      <c r="M6" s="625"/>
      <c r="N6" s="554"/>
      <c r="O6" s="625"/>
      <c r="P6" s="554"/>
      <c r="Q6" s="625"/>
      <c r="R6" s="554"/>
    </row>
    <row r="7" spans="2:18">
      <c r="B7" s="571">
        <f>IF(F7="","",(SUMIF(INTGRATE!$Y:$Y,data!D7,INTGRATE!$L:$L)+SUMIF(BRAN!$V:$V,data!D7,BRAN!$J:$J)))</f>
        <v>32010</v>
      </c>
      <c r="C7" s="572">
        <f t="shared" si="0"/>
        <v>0</v>
      </c>
      <c r="D7" s="573" t="str">
        <f>IFERROR(VLOOKUP(E7,Map!$B:$F,4,0),"")&amp;IFERROR(VLOOKUP(E7,Map!$B:$F,5,0),"")</f>
        <v>BS07TAsilo</v>
      </c>
      <c r="E7" s="574" t="str">
        <f t="shared" si="1"/>
        <v>211338107TA100</v>
      </c>
      <c r="F7" s="428" t="s">
        <v>2054</v>
      </c>
      <c r="G7" t="s">
        <v>2055</v>
      </c>
      <c r="H7" t="s">
        <v>17</v>
      </c>
      <c r="I7">
        <v>0</v>
      </c>
      <c r="J7" s="442">
        <v>0</v>
      </c>
      <c r="K7" s="442">
        <v>32010</v>
      </c>
      <c r="L7" s="14">
        <v>325429560</v>
      </c>
      <c r="M7" s="625"/>
      <c r="N7" s="554"/>
      <c r="O7" s="625"/>
      <c r="P7" s="554"/>
      <c r="Q7" s="625"/>
      <c r="R7" s="554"/>
    </row>
    <row r="8" spans="2:18">
      <c r="B8" s="571">
        <f>IF(F8="","",(SUMIF(INTGRATE!$Y:$Y,data!D8,INTGRATE!$L:$L)+SUMIF(BRAN!$V:$V,data!D8,BRAN!$J:$J)))</f>
        <v>250</v>
      </c>
      <c r="C8" s="572">
        <f t="shared" si="0"/>
        <v>0</v>
      </c>
      <c r="D8" s="573" t="str">
        <f>IFERROR(VLOOKUP(E8,Map!$B:$F,4,0),"")&amp;IFERROR(VLOOKUP(E8,Map!$B:$F,5,0),"")</f>
        <v>688425</v>
      </c>
      <c r="E8" s="574" t="str">
        <f t="shared" si="1"/>
        <v>21163840000125</v>
      </c>
      <c r="F8" s="428">
        <v>21163840000125</v>
      </c>
      <c r="G8" t="s">
        <v>1817</v>
      </c>
      <c r="H8" t="s">
        <v>17</v>
      </c>
      <c r="I8">
        <v>25</v>
      </c>
      <c r="J8" s="442">
        <v>10</v>
      </c>
      <c r="K8" s="442">
        <v>250</v>
      </c>
      <c r="L8" s="14">
        <v>2280000</v>
      </c>
      <c r="M8" s="625"/>
      <c r="N8" s="554"/>
      <c r="O8" s="625"/>
      <c r="P8" s="554"/>
      <c r="Q8" s="625"/>
      <c r="R8" s="554"/>
    </row>
    <row r="9" spans="2:18">
      <c r="B9" s="571">
        <f>IF(F9="","",(SUMIF(INTGRATE!$Y:$Y,data!D9,INTGRATE!$L:$L)+SUMIF(BRAN!$V:$V,data!D9,BRAN!$J:$J)))</f>
        <v>12020</v>
      </c>
      <c r="C9" s="572">
        <f t="shared" si="0"/>
        <v>0</v>
      </c>
      <c r="D9" s="573" t="str">
        <f>IFERROR(VLOOKUP(E9,Map!$B:$F,4,0),"")&amp;IFERROR(VLOOKUP(E9,Map!$B:$F,5,0),"")</f>
        <v>567SSilo</v>
      </c>
      <c r="E9" s="574" t="str">
        <f t="shared" si="1"/>
        <v>21115671900100</v>
      </c>
      <c r="F9" s="428">
        <v>21115671900100</v>
      </c>
      <c r="G9" t="s">
        <v>1452</v>
      </c>
      <c r="H9" t="s">
        <v>17</v>
      </c>
      <c r="I9">
        <v>0</v>
      </c>
      <c r="J9" s="442">
        <v>0</v>
      </c>
      <c r="K9" s="442">
        <v>12020</v>
      </c>
      <c r="L9" s="14">
        <v>148687400</v>
      </c>
      <c r="M9" s="625"/>
      <c r="N9" s="554"/>
      <c r="O9" s="625"/>
      <c r="P9" s="554"/>
      <c r="Q9" s="625"/>
      <c r="R9" s="554"/>
    </row>
    <row r="10" spans="2:18">
      <c r="B10" s="571">
        <f>IF(F10="","",(SUMIF(INTGRATE!$Y:$Y,data!D10,INTGRATE!$L:$L)+SUMIF(BRAN!$V:$V,data!D10,BRAN!$J:$J)))</f>
        <v>12040</v>
      </c>
      <c r="C10" s="572">
        <f t="shared" si="0"/>
        <v>0</v>
      </c>
      <c r="D10" s="573" t="str">
        <f>IFERROR(VLOOKUP(E10,Map!$B:$F,4,0),"")&amp;IFERROR(VLOOKUP(E10,Map!$B:$F,5,0),"")</f>
        <v>562PSilo</v>
      </c>
      <c r="E10" s="574" t="str">
        <f t="shared" si="1"/>
        <v>21115621600100</v>
      </c>
      <c r="F10" s="428">
        <v>21115621600100</v>
      </c>
      <c r="G10" t="s">
        <v>1579</v>
      </c>
      <c r="H10" t="s">
        <v>17</v>
      </c>
      <c r="I10">
        <v>0</v>
      </c>
      <c r="J10" s="442">
        <v>0</v>
      </c>
      <c r="K10" s="442">
        <v>12040</v>
      </c>
      <c r="L10" s="14">
        <v>136172400</v>
      </c>
      <c r="M10" s="625"/>
      <c r="N10" s="554"/>
      <c r="O10" s="625"/>
      <c r="P10" s="554"/>
      <c r="Q10" s="625"/>
      <c r="R10" s="554"/>
    </row>
    <row r="11" spans="2:18">
      <c r="B11" s="571">
        <f>IF(F11="","",(SUMIF(INTGRATE!$Y:$Y,data!D11,INTGRATE!$L:$L)+SUMIF(BRAN!$V:$V,data!D11,BRAN!$J:$J)))</f>
        <v>22200</v>
      </c>
      <c r="C11" s="572">
        <f t="shared" si="0"/>
        <v>0</v>
      </c>
      <c r="D11" s="573" t="str">
        <f>IFERROR(VLOOKUP(E11,Map!$B:$F,4,0),"")&amp;IFERROR(VLOOKUP(E11,Map!$B:$F,5,0),"")</f>
        <v>549F50</v>
      </c>
      <c r="E11" s="574" t="str">
        <f t="shared" si="1"/>
        <v>21115490000250</v>
      </c>
      <c r="F11" s="428">
        <v>21115490000250</v>
      </c>
      <c r="G11" t="s">
        <v>2073</v>
      </c>
      <c r="H11" t="s">
        <v>17</v>
      </c>
      <c r="I11">
        <v>50</v>
      </c>
      <c r="J11" s="442">
        <v>444</v>
      </c>
      <c r="K11" s="442">
        <v>22200</v>
      </c>
      <c r="L11" s="14">
        <v>210900000</v>
      </c>
      <c r="M11" s="625"/>
      <c r="N11" s="554"/>
      <c r="O11" s="625"/>
      <c r="P11" s="554"/>
      <c r="Q11" s="625"/>
      <c r="R11" s="554"/>
    </row>
    <row r="12" spans="2:18">
      <c r="B12" s="571">
        <f>IF(F12="","",(SUMIF(INTGRATE!$Y:$Y,data!D12,INTGRATE!$L:$L)+SUMIF(BRAN!$V:$V,data!D12,BRAN!$J:$J)))</f>
        <v>7300</v>
      </c>
      <c r="C12" s="572">
        <f t="shared" si="0"/>
        <v>0</v>
      </c>
      <c r="D12" s="573" t="str">
        <f>IFERROR(VLOOKUP(E12,Map!$B:$F,4,0),"")&amp;IFERROR(VLOOKUP(E12,Map!$B:$F,5,0),"")</f>
        <v>550PF10</v>
      </c>
      <c r="E12" s="574" t="str">
        <f t="shared" si="1"/>
        <v>21115501600210</v>
      </c>
      <c r="F12" s="428">
        <v>21115501600210</v>
      </c>
      <c r="G12" t="s">
        <v>2074</v>
      </c>
      <c r="H12" t="s">
        <v>17</v>
      </c>
      <c r="I12">
        <v>10</v>
      </c>
      <c r="J12" s="442">
        <v>730</v>
      </c>
      <c r="K12" s="442">
        <v>7300</v>
      </c>
      <c r="L12" s="14">
        <v>191698000</v>
      </c>
      <c r="M12" s="625"/>
      <c r="N12" s="554"/>
      <c r="O12" s="625"/>
      <c r="P12" s="554"/>
      <c r="Q12" s="625"/>
      <c r="R12" s="554"/>
    </row>
    <row r="13" spans="2:18">
      <c r="B13" s="571">
        <f>IF(F13="","",(SUMIF(INTGRATE!$Y:$Y,data!D13,INTGRATE!$L:$L)+SUMIF(BRAN!$V:$V,data!D13,BRAN!$J:$J)))</f>
        <v>228550</v>
      </c>
      <c r="C13" s="572">
        <f t="shared" si="0"/>
        <v>0</v>
      </c>
      <c r="D13" s="573" t="str">
        <f>IFERROR(VLOOKUP(E13,Map!$B:$F,4,0),"")&amp;IFERROR(VLOOKUP(E13,Map!$B:$F,5,0),"")</f>
        <v>552SF50</v>
      </c>
      <c r="E13" s="574" t="str">
        <f t="shared" si="1"/>
        <v>21115521900250</v>
      </c>
      <c r="F13" s="428">
        <v>21115521900250</v>
      </c>
      <c r="G13" t="s">
        <v>2075</v>
      </c>
      <c r="H13" t="s">
        <v>17</v>
      </c>
      <c r="I13">
        <v>50</v>
      </c>
      <c r="J13" s="442">
        <v>4571</v>
      </c>
      <c r="K13" s="442">
        <v>228550</v>
      </c>
      <c r="L13" s="14">
        <v>2141513500</v>
      </c>
      <c r="M13" s="625"/>
      <c r="N13" s="554"/>
      <c r="O13" s="625"/>
      <c r="P13" s="554"/>
      <c r="Q13" s="625"/>
      <c r="R13" s="554"/>
    </row>
    <row r="14" spans="2:18">
      <c r="B14" s="571">
        <f>IF(F14="","",(SUMIF(INTGRATE!$Y:$Y,data!D14,INTGRATE!$L:$L)+SUMIF(BRAN!$V:$V,data!D14,BRAN!$J:$J)))</f>
        <v>7500</v>
      </c>
      <c r="C14" s="572">
        <f t="shared" si="0"/>
        <v>0</v>
      </c>
      <c r="D14" s="573" t="str">
        <f>IFERROR(VLOOKUP(E14,Map!$B:$F,4,0),"")&amp;IFERROR(VLOOKUP(E14,Map!$B:$F,5,0),"")</f>
        <v>511ANFP9250</v>
      </c>
      <c r="E14" s="574" t="str">
        <f t="shared" si="1"/>
        <v>21115114399250P92</v>
      </c>
      <c r="F14" s="428">
        <v>21115114399250</v>
      </c>
      <c r="G14" t="s">
        <v>1222</v>
      </c>
      <c r="H14" t="s">
        <v>2076</v>
      </c>
      <c r="I14">
        <v>50</v>
      </c>
      <c r="J14" s="442">
        <v>150</v>
      </c>
      <c r="K14" s="442">
        <v>7500</v>
      </c>
      <c r="L14" s="14">
        <v>87300000</v>
      </c>
      <c r="M14" s="625"/>
      <c r="N14" s="554"/>
      <c r="O14" s="625"/>
      <c r="P14" s="554"/>
      <c r="Q14" s="625"/>
      <c r="R14" s="554"/>
    </row>
    <row r="15" spans="2:18">
      <c r="B15" s="571">
        <f>IF(F15="","",(SUMIF(INTGRATE!$Y:$Y,data!D15,INTGRATE!$L:$L)+SUMIF(BRAN!$V:$V,data!D15,BRAN!$J:$J)))</f>
        <v>44750</v>
      </c>
      <c r="C15" s="572">
        <f t="shared" si="0"/>
        <v>0</v>
      </c>
      <c r="D15" s="573" t="str">
        <f>IFERROR(VLOOKUP(E15,Map!$B:$F,4,0),"")&amp;IFERROR(VLOOKUP(E15,Map!$B:$F,5,0),"")</f>
        <v>511NF50</v>
      </c>
      <c r="E15" s="574" t="str">
        <f t="shared" si="1"/>
        <v>21115111400250</v>
      </c>
      <c r="F15" s="428">
        <v>21115111400250</v>
      </c>
      <c r="G15" t="s">
        <v>2077</v>
      </c>
      <c r="H15" t="s">
        <v>17</v>
      </c>
      <c r="I15">
        <v>50</v>
      </c>
      <c r="J15" s="442">
        <v>895</v>
      </c>
      <c r="K15" s="442">
        <v>44750</v>
      </c>
      <c r="L15" s="14">
        <v>490012500</v>
      </c>
      <c r="M15" s="796"/>
      <c r="N15" s="554"/>
      <c r="O15" s="369"/>
      <c r="P15" s="369"/>
      <c r="Q15" s="369"/>
      <c r="R15" s="369"/>
    </row>
    <row r="16" spans="2:18">
      <c r="B16" s="571">
        <f>IF(F16="","",(SUMIF(INTGRATE!$Y:$Y,data!D16,INTGRATE!$L:$L)+SUMIF(BRAN!$V:$V,data!D16,BRAN!$J:$J)))</f>
        <v>14000</v>
      </c>
      <c r="C16" s="572">
        <f t="shared" si="0"/>
        <v>0</v>
      </c>
      <c r="D16" s="573" t="str">
        <f>IFERROR(VLOOKUP(E16,Map!$B:$F,4,0),"")&amp;IFERROR(VLOOKUP(E16,Map!$B:$F,5,0),"")</f>
        <v>551GPFS1350</v>
      </c>
      <c r="E16" s="574" t="str">
        <f t="shared" si="1"/>
        <v>21115517599250S13</v>
      </c>
      <c r="F16" s="428">
        <v>21115517599250</v>
      </c>
      <c r="G16" t="s">
        <v>1350</v>
      </c>
      <c r="H16" t="s">
        <v>2078</v>
      </c>
      <c r="I16">
        <v>50</v>
      </c>
      <c r="J16" s="442">
        <v>280</v>
      </c>
      <c r="K16" s="442">
        <v>14000</v>
      </c>
      <c r="L16" s="14">
        <v>154280000</v>
      </c>
      <c r="M16" s="625"/>
      <c r="N16" s="554"/>
      <c r="O16" s="625"/>
      <c r="P16" s="554"/>
      <c r="Q16" s="625"/>
      <c r="R16" s="554"/>
    </row>
    <row r="17" spans="2:18">
      <c r="B17" s="571">
        <f>IF(F17="","",(SUMIF(INTGRATE!$Y:$Y,data!D17,INTGRATE!$L:$L)+SUMIF(BRAN!$V:$V,data!D17,BRAN!$J:$J)))</f>
        <v>15220</v>
      </c>
      <c r="C17" s="572">
        <f t="shared" si="0"/>
        <v>0</v>
      </c>
      <c r="D17" s="573" t="str">
        <f>IFERROR(VLOOKUP(E17,Map!$B:$F,4,0),"")&amp;IFERROR(VLOOKUP(E17,Map!$B:$F,5,0),"")</f>
        <v>551GPFS54silo</v>
      </c>
      <c r="E17" s="574" t="str">
        <f t="shared" si="1"/>
        <v>21115517599300S54</v>
      </c>
      <c r="F17" s="428">
        <v>21115517599300</v>
      </c>
      <c r="G17" t="s">
        <v>1346</v>
      </c>
      <c r="H17" t="s">
        <v>2079</v>
      </c>
      <c r="I17">
        <v>0</v>
      </c>
      <c r="J17" s="442">
        <v>0</v>
      </c>
      <c r="K17" s="442">
        <v>15220</v>
      </c>
      <c r="L17" s="14">
        <v>173660200</v>
      </c>
      <c r="M17" s="625"/>
      <c r="N17" s="554"/>
      <c r="O17" s="625"/>
      <c r="P17" s="554"/>
      <c r="Q17" s="625"/>
      <c r="R17" s="554"/>
    </row>
    <row r="18" spans="2:18">
      <c r="B18" s="571">
        <f>IF(F18="","",(SUMIF(INTGRATE!$Y:$Y,data!D18,INTGRATE!$L:$L)+SUMIF(BRAN!$V:$V,data!D18,BRAN!$J:$J)))</f>
        <v>7500</v>
      </c>
      <c r="C18" s="572">
        <f t="shared" si="0"/>
        <v>0</v>
      </c>
      <c r="D18" s="573" t="str">
        <f>IFERROR(VLOOKUP(E18,Map!$B:$F,4,0),"")&amp;IFERROR(VLOOKUP(E18,Map!$B:$F,5,0),"")</f>
        <v>548F50</v>
      </c>
      <c r="E18" s="574" t="str">
        <f t="shared" si="1"/>
        <v>21115480000250</v>
      </c>
      <c r="F18" s="428">
        <v>21115480000250</v>
      </c>
      <c r="G18" t="s">
        <v>2080</v>
      </c>
      <c r="H18" t="s">
        <v>17</v>
      </c>
      <c r="I18">
        <v>50</v>
      </c>
      <c r="J18" s="442">
        <v>150</v>
      </c>
      <c r="K18" s="442">
        <v>7500</v>
      </c>
      <c r="L18" s="14">
        <v>71850000</v>
      </c>
      <c r="M18" s="625"/>
      <c r="N18" s="554"/>
      <c r="O18" s="625"/>
      <c r="P18" s="554"/>
      <c r="Q18" s="625"/>
      <c r="R18" s="554"/>
    </row>
    <row r="19" spans="2:18">
      <c r="B19" s="571">
        <f>IF(F19="","",(SUMIF(INTGRATE!$Y:$Y,data!D19,INTGRATE!$L:$L)+SUMIF(BRAN!$V:$V,data!D19,BRAN!$J:$J)))</f>
        <v>3350</v>
      </c>
      <c r="C19" s="572">
        <f t="shared" si="0"/>
        <v>0</v>
      </c>
      <c r="D19" s="573" t="str">
        <f>IFERROR(VLOOKUP(E19,Map!$B:$F,4,0),"")&amp;IFERROR(VLOOKUP(E19,Map!$B:$F,5,0),"")</f>
        <v>695125</v>
      </c>
      <c r="E19" s="574" t="str">
        <f t="shared" si="1"/>
        <v>21165510000125</v>
      </c>
      <c r="F19" s="428">
        <v>21165510000125</v>
      </c>
      <c r="G19" t="s">
        <v>2017</v>
      </c>
      <c r="H19" t="s">
        <v>17</v>
      </c>
      <c r="I19">
        <v>25</v>
      </c>
      <c r="J19" s="442">
        <v>134</v>
      </c>
      <c r="K19" s="442">
        <v>3350</v>
      </c>
      <c r="L19" s="14">
        <v>34505000</v>
      </c>
      <c r="M19" s="625"/>
      <c r="N19" s="554"/>
      <c r="O19" s="625"/>
      <c r="P19" s="554"/>
      <c r="Q19" s="625"/>
      <c r="R19" s="554"/>
    </row>
    <row r="20" spans="2:18">
      <c r="B20" s="571">
        <f>IF(F20="","",(SUMIF(INTGRATE!$Y:$Y,data!D20,INTGRATE!$L:$L)+SUMIF(BRAN!$V:$V,data!D20,BRAN!$J:$J)))</f>
        <v>8825</v>
      </c>
      <c r="C20" s="572">
        <f t="shared" si="0"/>
        <v>0</v>
      </c>
      <c r="D20" s="573" t="str">
        <f>IFERROR(VLOOKUP(E20,Map!$B:$F,4,0),"")&amp;IFERROR(VLOOKUP(E20,Map!$B:$F,5,0),"")</f>
        <v>55325</v>
      </c>
      <c r="E20" s="574" t="str">
        <f t="shared" si="1"/>
        <v>21115530000125</v>
      </c>
      <c r="F20" s="428">
        <v>21115530000125</v>
      </c>
      <c r="G20" t="s">
        <v>2081</v>
      </c>
      <c r="H20" t="s">
        <v>17</v>
      </c>
      <c r="I20">
        <v>25</v>
      </c>
      <c r="J20" s="442">
        <v>353</v>
      </c>
      <c r="K20" s="442">
        <v>8825</v>
      </c>
      <c r="L20" s="14">
        <v>87965500</v>
      </c>
      <c r="M20" s="625"/>
      <c r="N20" s="554"/>
      <c r="O20" s="625"/>
      <c r="P20" s="554"/>
      <c r="Q20" s="625"/>
      <c r="R20" s="554"/>
    </row>
    <row r="21" spans="2:18">
      <c r="B21" s="571">
        <f>IF(F21="","",(SUMIF(INTGRATE!$Y:$Y,data!D21,INTGRATE!$L:$L)+SUMIF(BRAN!$V:$V,data!D21,BRAN!$J:$J)))</f>
        <v>26050</v>
      </c>
      <c r="C21" s="572">
        <f t="shared" si="0"/>
        <v>0</v>
      </c>
      <c r="D21" s="573" t="str">
        <f>IFERROR(VLOOKUP(E21,Map!$B:$F,4,0),"")&amp;IFERROR(VLOOKUP(E21,Map!$B:$F,5,0),"")</f>
        <v>552S25</v>
      </c>
      <c r="E21" s="574" t="str">
        <f t="shared" si="1"/>
        <v>21115521900125</v>
      </c>
      <c r="F21" s="428">
        <v>21115521900125</v>
      </c>
      <c r="G21" t="s">
        <v>2082</v>
      </c>
      <c r="H21" t="s">
        <v>17</v>
      </c>
      <c r="I21">
        <v>25</v>
      </c>
      <c r="J21" s="442">
        <v>1042</v>
      </c>
      <c r="K21" s="442">
        <v>26050</v>
      </c>
      <c r="L21" s="14">
        <v>311575000</v>
      </c>
      <c r="M21" s="625"/>
      <c r="N21" s="554"/>
      <c r="O21" s="625"/>
      <c r="P21" s="554"/>
      <c r="Q21" s="625"/>
      <c r="R21" s="554"/>
    </row>
    <row r="22" spans="2:18">
      <c r="B22" s="571">
        <f>IF(F22="","",(SUMIF(INTGRATE!$Y:$Y,data!D22,INTGRATE!$L:$L)+SUMIF(BRAN!$V:$V,data!D22,BRAN!$J:$J)))</f>
        <v>7625</v>
      </c>
      <c r="C22" s="572">
        <f t="shared" si="0"/>
        <v>0</v>
      </c>
      <c r="D22" s="573" t="str">
        <f>IFERROR(VLOOKUP(E22,Map!$B:$F,4,0),"")&amp;IFERROR(VLOOKUP(E22,Map!$B:$F,5,0),"")</f>
        <v>55125</v>
      </c>
      <c r="E22" s="574" t="str">
        <f t="shared" si="1"/>
        <v>21115510000125</v>
      </c>
      <c r="F22" s="428">
        <v>21115510000125</v>
      </c>
      <c r="G22" t="s">
        <v>2083</v>
      </c>
      <c r="H22" t="s">
        <v>17</v>
      </c>
      <c r="I22">
        <v>25</v>
      </c>
      <c r="J22" s="442">
        <v>305</v>
      </c>
      <c r="K22" s="442">
        <v>7625</v>
      </c>
      <c r="L22" s="14">
        <v>117202500</v>
      </c>
      <c r="M22" s="625"/>
      <c r="N22" s="554"/>
      <c r="O22" s="625"/>
      <c r="P22" s="554"/>
      <c r="Q22" s="625"/>
      <c r="R22" s="554"/>
    </row>
    <row r="23" spans="2:18">
      <c r="B23" s="571">
        <f>IF(F23="","",(SUMIF(INTGRATE!$Y:$Y,data!D23,INTGRATE!$L:$L)+SUMIF(BRAN!$V:$V,data!D23,BRAN!$J:$J)))</f>
        <v>12600</v>
      </c>
      <c r="C23" s="572">
        <f t="shared" si="0"/>
        <v>0</v>
      </c>
      <c r="D23" s="573" t="str">
        <f>IFERROR(VLOOKUP(E23,Map!$B:$F,4,0),"")&amp;IFERROR(VLOOKUP(E23,Map!$B:$F,5,0),"")</f>
        <v>567S25</v>
      </c>
      <c r="E23" s="574" t="str">
        <f t="shared" si="1"/>
        <v>21115671900125</v>
      </c>
      <c r="F23" s="428">
        <v>21115671900125</v>
      </c>
      <c r="G23" t="s">
        <v>2084</v>
      </c>
      <c r="H23" t="s">
        <v>17</v>
      </c>
      <c r="I23">
        <v>25</v>
      </c>
      <c r="J23" s="442">
        <v>504</v>
      </c>
      <c r="K23" s="442">
        <v>12600</v>
      </c>
      <c r="L23" s="14">
        <v>152157000</v>
      </c>
      <c r="M23" s="625"/>
      <c r="N23" s="554"/>
      <c r="O23" s="625"/>
      <c r="P23" s="554"/>
      <c r="Q23" s="625"/>
      <c r="R23" s="554"/>
    </row>
    <row r="24" spans="2:18">
      <c r="B24" s="571">
        <f>IF(F24="","",(SUMIF(INTGRATE!$Y:$Y,data!D24,INTGRATE!$L:$L)+SUMIF(BRAN!$V:$V,data!D24,BRAN!$J:$J)))</f>
        <v>250</v>
      </c>
      <c r="C24" s="572">
        <f t="shared" si="0"/>
        <v>0</v>
      </c>
      <c r="D24" s="573" t="str">
        <f>IFERROR(VLOOKUP(E24,Map!$B:$F,4,0),"")&amp;IFERROR(VLOOKUP(E24,Map!$B:$F,5,0),"")</f>
        <v>54825</v>
      </c>
      <c r="E24" s="574" t="str">
        <f t="shared" si="1"/>
        <v>21115480000125</v>
      </c>
      <c r="F24" s="428">
        <v>21115480000125</v>
      </c>
      <c r="G24" t="s">
        <v>2085</v>
      </c>
      <c r="H24" t="s">
        <v>17</v>
      </c>
      <c r="I24">
        <v>25</v>
      </c>
      <c r="J24" s="442">
        <v>10</v>
      </c>
      <c r="K24" s="442">
        <v>250</v>
      </c>
      <c r="L24" s="14">
        <v>2880000</v>
      </c>
      <c r="M24" s="625"/>
      <c r="N24" s="554"/>
      <c r="O24" s="625"/>
      <c r="P24" s="554"/>
      <c r="Q24" s="625"/>
      <c r="R24" s="554"/>
    </row>
    <row r="25" spans="2:18">
      <c r="B25" s="571">
        <f>IF(F25="","",(SUMIF(INTGRATE!$Y:$Y,data!D25,INTGRATE!$L:$L)+SUMIF(BRAN!$V:$V,data!D25,BRAN!$J:$J)))</f>
        <v>1750</v>
      </c>
      <c r="C25" s="572">
        <f t="shared" si="0"/>
        <v>0</v>
      </c>
      <c r="D25" s="573" t="str">
        <f>IFERROR(VLOOKUP(E25,Map!$B:$F,4,0),"")&amp;IFERROR(VLOOKUP(E25,Map!$B:$F,5,0),"")</f>
        <v>HG1625</v>
      </c>
      <c r="E25" s="574" t="str">
        <f t="shared" si="1"/>
        <v>21135660000125</v>
      </c>
      <c r="F25" s="428">
        <v>21135660000125</v>
      </c>
      <c r="G25" t="s">
        <v>2086</v>
      </c>
      <c r="H25" t="s">
        <v>17</v>
      </c>
      <c r="I25">
        <v>25</v>
      </c>
      <c r="J25" s="442">
        <v>70</v>
      </c>
      <c r="K25" s="442">
        <v>1750</v>
      </c>
      <c r="L25" s="14">
        <v>18357500</v>
      </c>
      <c r="M25" s="625"/>
      <c r="N25" s="554"/>
      <c r="O25" s="625"/>
      <c r="P25" s="554"/>
      <c r="Q25" s="625"/>
      <c r="R25" s="554"/>
    </row>
    <row r="26" spans="2:18">
      <c r="B26" s="571">
        <f>IF(F26="","",(SUMIF(INTGRATE!$Y:$Y,data!D26,INTGRATE!$L:$L)+SUMIF(BRAN!$V:$V,data!D26,BRAN!$J:$J)))</f>
        <v>1000</v>
      </c>
      <c r="C26" s="572">
        <f t="shared" si="0"/>
        <v>0</v>
      </c>
      <c r="D26" s="573" t="str">
        <f>IFERROR(VLOOKUP(E26,Map!$B:$F,4,0),"")&amp;IFERROR(VLOOKUP(E26,Map!$B:$F,5,0),"")</f>
        <v>695325</v>
      </c>
      <c r="E26" s="574" t="str">
        <f t="shared" si="1"/>
        <v>21165530000125</v>
      </c>
      <c r="F26" s="428">
        <v>21165530000125</v>
      </c>
      <c r="G26" t="s">
        <v>1786</v>
      </c>
      <c r="H26" t="s">
        <v>17</v>
      </c>
      <c r="I26">
        <v>25</v>
      </c>
      <c r="J26" s="442">
        <v>40</v>
      </c>
      <c r="K26" s="442">
        <v>1000</v>
      </c>
      <c r="L26" s="14">
        <v>9600000</v>
      </c>
      <c r="M26" s="625"/>
      <c r="N26" s="554"/>
      <c r="O26" s="625"/>
      <c r="P26" s="554"/>
      <c r="Q26" s="625"/>
      <c r="R26" s="554"/>
    </row>
    <row r="27" spans="2:18">
      <c r="B27" s="571">
        <f>IF(F27="","",(SUMIF(INTGRATE!$Y:$Y,data!D27,INTGRATE!$L:$L)+SUMIF(BRAN!$V:$V,data!D27,BRAN!$J:$J)))</f>
        <v>500</v>
      </c>
      <c r="C27" s="572">
        <f t="shared" si="0"/>
        <v>0</v>
      </c>
      <c r="D27" s="573" t="str">
        <f>IFERROR(VLOOKUP(E27,Map!$B:$F,4,0),"")&amp;IFERROR(VLOOKUP(E27,Map!$B:$F,5,0),"")</f>
        <v>GT1125</v>
      </c>
      <c r="E27" s="574" t="str">
        <f t="shared" si="1"/>
        <v>21135100000125</v>
      </c>
      <c r="F27" s="428">
        <v>21135100000125</v>
      </c>
      <c r="G27" t="s">
        <v>1710</v>
      </c>
      <c r="H27" t="s">
        <v>17</v>
      </c>
      <c r="I27">
        <v>25</v>
      </c>
      <c r="J27" s="442">
        <v>20</v>
      </c>
      <c r="K27" s="442">
        <v>500</v>
      </c>
      <c r="L27" s="14">
        <v>6240000</v>
      </c>
      <c r="M27" s="625"/>
      <c r="N27" s="554"/>
      <c r="O27" s="625"/>
      <c r="P27" s="554"/>
      <c r="Q27" s="625"/>
      <c r="R27" s="554"/>
    </row>
    <row r="28" spans="2:18">
      <c r="B28" s="571">
        <f>IF(F28="","",(SUMIF(INTGRATE!$Y:$Y,data!D28,INTGRATE!$L:$L)+SUMIF(BRAN!$V:$V,data!D28,BRAN!$J:$J)))</f>
        <v>750</v>
      </c>
      <c r="C28" s="572">
        <f t="shared" si="0"/>
        <v>0</v>
      </c>
      <c r="D28" s="573" t="str">
        <f>IFERROR(VLOOKUP(E28,Map!$B:$F,4,0),"")&amp;IFERROR(VLOOKUP(E28,Map!$B:$F,5,0),"")</f>
        <v>GT12B25</v>
      </c>
      <c r="E28" s="574" t="str">
        <f t="shared" si="1"/>
        <v>21135110200125</v>
      </c>
      <c r="F28" s="428">
        <v>21135110200125</v>
      </c>
      <c r="G28" t="s">
        <v>1716</v>
      </c>
      <c r="H28" t="s">
        <v>17</v>
      </c>
      <c r="I28">
        <v>25</v>
      </c>
      <c r="J28" s="442">
        <v>30</v>
      </c>
      <c r="K28" s="442">
        <v>750</v>
      </c>
      <c r="L28" s="14">
        <v>8970000</v>
      </c>
      <c r="M28" s="625"/>
      <c r="N28" s="554"/>
      <c r="O28" s="625"/>
      <c r="P28" s="554"/>
      <c r="Q28" s="625"/>
      <c r="R28" s="554"/>
    </row>
    <row r="29" spans="2:18">
      <c r="B29" s="571">
        <f>IF(F29="","",(SUMIF(INTGRATE!$Y:$Y,data!D29,INTGRATE!$L:$L)+SUMIF(BRAN!$V:$V,data!D29,BRAN!$J:$J)))</f>
        <v>667500</v>
      </c>
      <c r="C29" s="572">
        <f t="shared" si="0"/>
        <v>0</v>
      </c>
      <c r="D29" s="573" t="str">
        <f>IFERROR(VLOOKUP(E29,Map!$B:$F,4,0),"")&amp;IFERROR(VLOOKUP(E29,Map!$B:$F,5,0),"")</f>
        <v>552F50</v>
      </c>
      <c r="E29" s="574" t="str">
        <f t="shared" si="1"/>
        <v>21115520000250</v>
      </c>
      <c r="F29" s="428">
        <v>21115520000250</v>
      </c>
      <c r="G29" t="s">
        <v>2087</v>
      </c>
      <c r="H29" t="s">
        <v>17</v>
      </c>
      <c r="I29">
        <v>50</v>
      </c>
      <c r="J29" s="442">
        <v>13350</v>
      </c>
      <c r="K29" s="442">
        <v>667500</v>
      </c>
      <c r="L29" s="14">
        <v>5733825000</v>
      </c>
      <c r="M29" s="625"/>
      <c r="N29" s="554"/>
      <c r="O29" s="625"/>
      <c r="P29" s="554"/>
      <c r="Q29" s="625"/>
      <c r="R29" s="554"/>
    </row>
    <row r="30" spans="2:18">
      <c r="B30" s="571">
        <f>IF(F30="","",(SUMIF(INTGRATE!$Y:$Y,data!D30,INTGRATE!$L:$L)+SUMIF(BRAN!$V:$V,data!D30,BRAN!$J:$J)))</f>
        <v>2000</v>
      </c>
      <c r="C30" s="572">
        <f t="shared" si="0"/>
        <v>0</v>
      </c>
      <c r="D30" s="573" t="str">
        <f>IFERROR(VLOOKUP(E30,Map!$B:$F,4,0),"")&amp;IFERROR(VLOOKUP(E30,Map!$B:$F,5,0),"")</f>
        <v>562PFS9050</v>
      </c>
      <c r="E30" s="574" t="str">
        <f t="shared" si="1"/>
        <v>21115621699250S90</v>
      </c>
      <c r="F30" s="428">
        <v>21115621699250</v>
      </c>
      <c r="G30" t="s">
        <v>1611</v>
      </c>
      <c r="H30" t="s">
        <v>2088</v>
      </c>
      <c r="I30">
        <v>50</v>
      </c>
      <c r="J30" s="442">
        <v>40</v>
      </c>
      <c r="K30" s="442">
        <v>2000</v>
      </c>
      <c r="L30" s="14">
        <v>17260000</v>
      </c>
      <c r="M30" s="625"/>
      <c r="N30" s="554"/>
      <c r="O30" s="625"/>
      <c r="P30" s="554"/>
      <c r="Q30" s="625"/>
      <c r="R30" s="554"/>
    </row>
    <row r="31" spans="2:18">
      <c r="B31" s="571">
        <f>IF(F31="","",(SUMIF(INTGRATE!$Y:$Y,data!D31,INTGRATE!$L:$L)+SUMIF(BRAN!$V:$V,data!D31,BRAN!$J:$J)))</f>
        <v>3450</v>
      </c>
      <c r="C31" s="572">
        <f t="shared" si="0"/>
        <v>0</v>
      </c>
      <c r="D31" s="573" t="str">
        <f>IFERROR(VLOOKUP(E31,Map!$B:$F,4,0),"")&amp;IFERROR(VLOOKUP(E31,Map!$B:$F,5,0),"")</f>
        <v>551GPFS2550</v>
      </c>
      <c r="E31" s="574" t="str">
        <f t="shared" si="1"/>
        <v>21115517599250S25</v>
      </c>
      <c r="F31" s="428">
        <v>21115517599250</v>
      </c>
      <c r="G31" t="s">
        <v>1350</v>
      </c>
      <c r="H31" t="s">
        <v>2089</v>
      </c>
      <c r="I31">
        <v>50</v>
      </c>
      <c r="J31" s="442">
        <v>69</v>
      </c>
      <c r="K31" s="442">
        <v>3450</v>
      </c>
      <c r="L31" s="14">
        <v>40572000</v>
      </c>
      <c r="M31" s="625"/>
      <c r="N31" s="554"/>
      <c r="O31" s="625"/>
      <c r="P31" s="554"/>
      <c r="Q31" s="625"/>
      <c r="R31" s="554"/>
    </row>
    <row r="32" spans="2:18">
      <c r="B32" s="571">
        <f>IF(F32="","",(SUMIF(INTGRATE!$Y:$Y,data!D32,INTGRATE!$L:$L)+SUMIF(BRAN!$V:$V,data!D32,BRAN!$J:$J)))</f>
        <v>25150</v>
      </c>
      <c r="C32" s="572">
        <f t="shared" si="0"/>
        <v>0</v>
      </c>
      <c r="D32" s="573" t="str">
        <f>IFERROR(VLOOKUP(E32,Map!$B:$F,4,0),"")&amp;IFERROR(VLOOKUP(E32,Map!$B:$F,5,0),"")</f>
        <v>551GPFS3150</v>
      </c>
      <c r="E32" s="574" t="str">
        <f t="shared" si="1"/>
        <v>21115517599250S31</v>
      </c>
      <c r="F32" s="428">
        <v>21115517599250</v>
      </c>
      <c r="G32" t="s">
        <v>1350</v>
      </c>
      <c r="H32" t="s">
        <v>2090</v>
      </c>
      <c r="I32">
        <v>50</v>
      </c>
      <c r="J32" s="442">
        <v>503</v>
      </c>
      <c r="K32" s="442">
        <v>25150</v>
      </c>
      <c r="L32" s="14">
        <v>291488500</v>
      </c>
      <c r="M32" s="625"/>
      <c r="N32" s="554"/>
      <c r="O32" s="625"/>
      <c r="P32" s="554"/>
      <c r="Q32" s="625"/>
      <c r="R32" s="554"/>
    </row>
    <row r="33" spans="2:18">
      <c r="B33" s="571">
        <f>IF(F33="","",(SUMIF(INTGRATE!$Y:$Y,data!D33,INTGRATE!$L:$L)+SUMIF(BRAN!$V:$V,data!D33,BRAN!$J:$J)))</f>
        <v>750</v>
      </c>
      <c r="C33" s="572">
        <f t="shared" ref="C33:C63" si="2">IF(F33="","",B33-K33)</f>
        <v>0</v>
      </c>
      <c r="D33" s="573" t="str">
        <f>IFERROR(VLOOKUP(E33,Map!$B:$F,4,0),"")&amp;IFERROR(VLOOKUP(E33,Map!$B:$F,5,0),"")</f>
        <v>991-1825</v>
      </c>
      <c r="E33" s="574" t="str">
        <f t="shared" ref="E33:E63" si="3">IF(MID(F33,10,2)="99",F33&amp;H33,LEFT(F33,14))</f>
        <v>21125911800125</v>
      </c>
      <c r="F33" s="428">
        <v>21125911800125</v>
      </c>
      <c r="G33" t="s">
        <v>1203</v>
      </c>
      <c r="H33" t="s">
        <v>17</v>
      </c>
      <c r="I33">
        <v>25</v>
      </c>
      <c r="J33" s="442">
        <v>30</v>
      </c>
      <c r="K33" s="442">
        <v>750</v>
      </c>
      <c r="L33" s="14">
        <v>7740000</v>
      </c>
      <c r="M33" s="625"/>
      <c r="N33" s="554"/>
      <c r="O33" s="625"/>
      <c r="P33" s="554"/>
      <c r="Q33" s="625"/>
      <c r="R33" s="554"/>
    </row>
    <row r="34" spans="2:18">
      <c r="B34" s="571">
        <f>IF(F34="","",(SUMIF(INTGRATE!$Y:$Y,data!D34,INTGRATE!$L:$L)+SUMIF(BRAN!$V:$V,data!D34,BRAN!$J:$J)))</f>
        <v>29325</v>
      </c>
      <c r="C34" s="572">
        <f t="shared" si="2"/>
        <v>0</v>
      </c>
      <c r="D34" s="573" t="str">
        <f>IFERROR(VLOOKUP(E34,Map!$B:$F,4,0),"")&amp;IFERROR(VLOOKUP(E34,Map!$B:$F,5,0),"")</f>
        <v>52425</v>
      </c>
      <c r="E34" s="574" t="str">
        <f t="shared" si="3"/>
        <v>21115240000125</v>
      </c>
      <c r="F34" s="428">
        <v>21115240000125</v>
      </c>
      <c r="G34" t="s">
        <v>2091</v>
      </c>
      <c r="H34" t="s">
        <v>17</v>
      </c>
      <c r="I34">
        <v>25</v>
      </c>
      <c r="J34" s="442">
        <v>1173</v>
      </c>
      <c r="K34" s="442">
        <v>29325</v>
      </c>
      <c r="L34" s="14">
        <v>278298000</v>
      </c>
      <c r="M34" s="625"/>
      <c r="N34" s="554"/>
      <c r="O34" s="625"/>
      <c r="P34" s="554"/>
      <c r="Q34" s="625"/>
      <c r="R34" s="554"/>
    </row>
    <row r="35" spans="2:18">
      <c r="B35" s="571">
        <f>IF(F35="","",(SUMIF(INTGRATE!$Y:$Y,data!D35,INTGRATE!$L:$L)+SUMIF(BRAN!$V:$V,data!D35,BRAN!$J:$J)))</f>
        <v>9875</v>
      </c>
      <c r="C35" s="572">
        <f t="shared" si="2"/>
        <v>0</v>
      </c>
      <c r="D35" s="573" t="str">
        <f>IFERROR(VLOOKUP(E35,Map!$B:$F,4,0),"")&amp;IFERROR(VLOOKUP(E35,Map!$B:$F,5,0),"")</f>
        <v>551Pro25</v>
      </c>
      <c r="E35" s="574" t="str">
        <f t="shared" si="3"/>
        <v>21115511600125</v>
      </c>
      <c r="F35" s="428">
        <v>21115511600125</v>
      </c>
      <c r="G35" t="s">
        <v>1730</v>
      </c>
      <c r="H35" t="s">
        <v>17</v>
      </c>
      <c r="I35">
        <v>25</v>
      </c>
      <c r="J35" s="442">
        <v>395</v>
      </c>
      <c r="K35" s="442">
        <v>9875</v>
      </c>
      <c r="L35" s="14">
        <v>167358750</v>
      </c>
      <c r="M35" s="625"/>
      <c r="N35" s="554"/>
      <c r="O35" s="625"/>
      <c r="P35" s="554"/>
      <c r="Q35" s="625"/>
      <c r="R35" s="554"/>
    </row>
    <row r="36" spans="2:18">
      <c r="B36" s="571">
        <f>IF(F36="","",(SUMIF(INTGRATE!$Y:$Y,data!D36,INTGRATE!$L:$L)+SUMIF(BRAN!$V:$V,data!D36,BRAN!$J:$J)))</f>
        <v>12750</v>
      </c>
      <c r="C36" s="572">
        <f t="shared" si="2"/>
        <v>0</v>
      </c>
      <c r="D36" s="573" t="str">
        <f>IFERROR(VLOOKUP(E36,Map!$B:$F,4,0),"")&amp;IFERROR(VLOOKUP(E36,Map!$B:$F,5,0),"")</f>
        <v>552SX25</v>
      </c>
      <c r="E36" s="574" t="str">
        <f t="shared" si="3"/>
        <v>21115527800125</v>
      </c>
      <c r="F36" s="428">
        <v>21115527800125</v>
      </c>
      <c r="G36" t="s">
        <v>1526</v>
      </c>
      <c r="H36" t="s">
        <v>17</v>
      </c>
      <c r="I36">
        <v>25</v>
      </c>
      <c r="J36" s="442">
        <v>510</v>
      </c>
      <c r="K36" s="442">
        <v>12750</v>
      </c>
      <c r="L36" s="14">
        <v>127411250</v>
      </c>
      <c r="M36" s="625"/>
      <c r="N36" s="554"/>
      <c r="O36" s="625"/>
      <c r="P36" s="554"/>
      <c r="Q36" s="625"/>
      <c r="R36" s="554"/>
    </row>
    <row r="37" spans="2:18">
      <c r="B37" s="571">
        <f>IF(F37="","",(SUMIF(INTGRATE!$Y:$Y,data!D37,INTGRATE!$L:$L)+SUMIF(BRAN!$V:$V,data!D37,BRAN!$J:$J)))</f>
        <v>800</v>
      </c>
      <c r="C37" s="572">
        <f t="shared" si="2"/>
        <v>0</v>
      </c>
      <c r="D37" s="573" t="str">
        <f>IFERROR(VLOOKUP(E37,Map!$B:$F,4,0),"")&amp;IFERROR(VLOOKUP(E37,Map!$B:$F,5,0),"")</f>
        <v>58425</v>
      </c>
      <c r="E37" s="574" t="str">
        <f t="shared" si="3"/>
        <v>21115840000125</v>
      </c>
      <c r="F37" s="428">
        <v>21115840000125</v>
      </c>
      <c r="G37" t="s">
        <v>2092</v>
      </c>
      <c r="H37" t="s">
        <v>17</v>
      </c>
      <c r="I37">
        <v>25</v>
      </c>
      <c r="J37" s="442">
        <v>32</v>
      </c>
      <c r="K37" s="442">
        <v>800</v>
      </c>
      <c r="L37" s="14">
        <v>7456000</v>
      </c>
      <c r="M37" s="625"/>
      <c r="N37" s="554"/>
      <c r="O37" s="625"/>
      <c r="P37" s="554"/>
      <c r="Q37" s="625"/>
      <c r="R37" s="554"/>
    </row>
    <row r="38" spans="2:18">
      <c r="B38" s="571">
        <f>IF(F38="","",(SUMIF(INTGRATE!$Y:$Y,data!D38,INTGRATE!$L:$L)+SUMIF(BRAN!$V:$V,data!D38,BRAN!$J:$J)))</f>
        <v>10000</v>
      </c>
      <c r="C38" s="572">
        <f t="shared" si="2"/>
        <v>0</v>
      </c>
      <c r="D38" s="573" t="str">
        <f>IFERROR(VLOOKUP(E38,Map!$B:$F,4,0),"")&amp;IFERROR(VLOOKUP(E38,Map!$B:$F,5,0),"")</f>
        <v>HT12S25</v>
      </c>
      <c r="E38" s="574" t="str">
        <f t="shared" si="3"/>
        <v>21135521900125</v>
      </c>
      <c r="F38" s="428">
        <v>21135521900125</v>
      </c>
      <c r="G38" t="s">
        <v>2093</v>
      </c>
      <c r="H38" t="s">
        <v>17</v>
      </c>
      <c r="I38">
        <v>25</v>
      </c>
      <c r="J38" s="442">
        <v>400</v>
      </c>
      <c r="K38" s="442">
        <v>10000</v>
      </c>
      <c r="L38" s="14">
        <v>122800000</v>
      </c>
      <c r="M38" s="625"/>
      <c r="N38" s="554"/>
      <c r="O38" s="625"/>
      <c r="P38" s="554"/>
      <c r="Q38" s="625"/>
      <c r="R38" s="554"/>
    </row>
    <row r="39" spans="2:18">
      <c r="B39" s="571">
        <f>IF(F39="","",(SUMIF(INTGRATE!$Y:$Y,data!D39,INTGRATE!$L:$L)+SUMIF(BRAN!$V:$V,data!D39,BRAN!$J:$J)))</f>
        <v>3250</v>
      </c>
      <c r="C39" s="572">
        <f t="shared" si="2"/>
        <v>0</v>
      </c>
      <c r="D39" s="573" t="str">
        <f>IFERROR(VLOOKUP(E39,Map!$B:$F,4,0),"")&amp;IFERROR(VLOOKUP(E39,Map!$B:$F,5,0),"")</f>
        <v>GD1425</v>
      </c>
      <c r="E39" s="574" t="str">
        <f>IF(MID(F39,10,2)="99",F39&amp;H39,LEFT(F39,14))</f>
        <v>21135240000125</v>
      </c>
      <c r="F39" s="428">
        <v>21135240000125</v>
      </c>
      <c r="G39" t="s">
        <v>1853</v>
      </c>
      <c r="H39" t="s">
        <v>17</v>
      </c>
      <c r="I39">
        <v>25</v>
      </c>
      <c r="J39" s="442">
        <v>130</v>
      </c>
      <c r="K39" s="442">
        <v>3250</v>
      </c>
      <c r="L39" s="14">
        <v>32142500</v>
      </c>
      <c r="M39" s="625"/>
      <c r="N39" s="554"/>
      <c r="O39" s="625"/>
      <c r="P39" s="554"/>
      <c r="Q39" s="625"/>
      <c r="R39" s="554"/>
    </row>
    <row r="40" spans="2:18">
      <c r="B40" s="571">
        <f>IF(F40="","",(SUMIF(INTGRATE!$Y:$Y,data!D40,INTGRATE!$L:$L)+SUMIF(BRAN!$V:$V,data!D40,BRAN!$J:$J)))</f>
        <v>10925</v>
      </c>
      <c r="C40" s="572">
        <f t="shared" si="2"/>
        <v>0</v>
      </c>
      <c r="D40" s="573" t="str">
        <f>IFERROR(VLOOKUP(E40,Map!$B:$F,4,0),"")&amp;IFERROR(VLOOKUP(E40,Map!$B:$F,5,0),"")</f>
        <v>553S25</v>
      </c>
      <c r="E40" s="574" t="str">
        <f t="shared" si="3"/>
        <v>21115531900125</v>
      </c>
      <c r="F40" s="428">
        <v>21115531900125</v>
      </c>
      <c r="G40" t="s">
        <v>2094</v>
      </c>
      <c r="H40" t="s">
        <v>17</v>
      </c>
      <c r="I40">
        <v>25</v>
      </c>
      <c r="J40" s="442">
        <v>437</v>
      </c>
      <c r="K40" s="442">
        <v>10925</v>
      </c>
      <c r="L40" s="14">
        <v>104643500</v>
      </c>
      <c r="M40" s="625"/>
      <c r="N40" s="554"/>
      <c r="O40" s="625"/>
      <c r="P40" s="554"/>
      <c r="Q40" s="625"/>
      <c r="R40" s="554"/>
    </row>
    <row r="41" spans="2:18">
      <c r="B41" s="571">
        <f>IF(F41="","",(SUMIF(INTGRATE!$Y:$Y,data!D41,INTGRATE!$L:$L)+SUMIF(BRAN!$V:$V,data!D41,BRAN!$J:$J)))</f>
        <v>300</v>
      </c>
      <c r="C41" s="572">
        <f t="shared" si="2"/>
        <v>0</v>
      </c>
      <c r="D41" s="573" t="str">
        <f>IFERROR(VLOOKUP(E41,Map!$B:$F,4,0),"")&amp;IFERROR(VLOOKUP(E41,Map!$B:$F,5,0),"")</f>
        <v>54925</v>
      </c>
      <c r="E41" s="574" t="str">
        <f t="shared" si="3"/>
        <v>21115490000125</v>
      </c>
      <c r="F41" s="428">
        <v>21115490000125</v>
      </c>
      <c r="G41" t="s">
        <v>2095</v>
      </c>
      <c r="H41" t="s">
        <v>17</v>
      </c>
      <c r="I41">
        <v>25</v>
      </c>
      <c r="J41" s="442">
        <v>12</v>
      </c>
      <c r="K41" s="442">
        <v>300</v>
      </c>
      <c r="L41" s="14">
        <v>3348000</v>
      </c>
      <c r="M41" s="625"/>
      <c r="N41" s="554"/>
      <c r="O41" s="625"/>
      <c r="P41" s="554"/>
      <c r="Q41" s="625"/>
      <c r="R41" s="554"/>
    </row>
    <row r="42" spans="2:18">
      <c r="B42" s="571">
        <f>IF(F42="","",(SUMIF(INTGRATE!$Y:$Y,data!D42,INTGRATE!$L:$L)+SUMIF(BRAN!$V:$V,data!D42,BRAN!$J:$J)))</f>
        <v>3000</v>
      </c>
      <c r="C42" s="572">
        <f t="shared" si="2"/>
        <v>0</v>
      </c>
      <c r="D42" s="573" t="str">
        <f>IFERROR(VLOOKUP(E42,Map!$B:$F,4,0),"")&amp;IFERROR(VLOOKUP(E42,Map!$B:$F,5,0),"")</f>
        <v>38425</v>
      </c>
      <c r="E42" s="574" t="str">
        <f t="shared" si="3"/>
        <v>21113840000125</v>
      </c>
      <c r="F42" s="428">
        <v>21113840000125</v>
      </c>
      <c r="G42" t="s">
        <v>2096</v>
      </c>
      <c r="H42" t="s">
        <v>17</v>
      </c>
      <c r="I42">
        <v>25</v>
      </c>
      <c r="J42" s="442">
        <v>120</v>
      </c>
      <c r="K42" s="442">
        <v>3000</v>
      </c>
      <c r="L42" s="14">
        <v>27660000</v>
      </c>
      <c r="M42" s="625"/>
      <c r="N42" s="554"/>
      <c r="O42" s="625"/>
      <c r="P42" s="554"/>
      <c r="Q42" s="625"/>
      <c r="R42" s="554"/>
    </row>
    <row r="43" spans="2:18">
      <c r="B43" s="571">
        <f>IF(F43="","",(SUMIF(INTGRATE!$Y:$Y,data!D43,INTGRATE!$L:$L)+SUMIF(BRAN!$V:$V,data!D43,BRAN!$J:$J)))</f>
        <v>1100</v>
      </c>
      <c r="C43" s="572">
        <f t="shared" si="2"/>
        <v>0</v>
      </c>
      <c r="D43" s="573" t="str">
        <f>IFERROR(VLOOKUP(E43,Map!$B:$F,4,0),"")&amp;IFERROR(VLOOKUP(E43,Map!$B:$F,5,0),"")</f>
        <v>952S25</v>
      </c>
      <c r="E43" s="574" t="str">
        <f t="shared" si="3"/>
        <v>21125521900125</v>
      </c>
      <c r="F43" s="428">
        <v>21125521900125</v>
      </c>
      <c r="G43" t="s">
        <v>2097</v>
      </c>
      <c r="H43" t="s">
        <v>17</v>
      </c>
      <c r="I43">
        <v>25</v>
      </c>
      <c r="J43" s="442">
        <v>44</v>
      </c>
      <c r="K43" s="442">
        <v>1100</v>
      </c>
      <c r="L43" s="14">
        <v>13750000</v>
      </c>
      <c r="M43" s="796"/>
      <c r="N43" s="554"/>
      <c r="O43" s="369"/>
      <c r="P43" s="369"/>
      <c r="Q43" s="369"/>
      <c r="R43" s="369"/>
    </row>
    <row r="44" spans="2:18">
      <c r="B44" s="571">
        <f>IF(F44="","",(SUMIF(INTGRATE!$Y:$Y,data!D44,INTGRATE!$L:$L)+SUMIF(BRAN!$V:$V,data!D44,BRAN!$J:$J)))</f>
        <v>4920</v>
      </c>
      <c r="C44" s="572">
        <f t="shared" si="2"/>
        <v>0</v>
      </c>
      <c r="D44" s="573" t="str">
        <f>IFERROR(VLOOKUP(E44,Map!$B:$F,4,0),"")&amp;IFERROR(VLOOKUP(E44,Map!$B:$F,5,0),"")</f>
        <v>551Silo</v>
      </c>
      <c r="E44" s="574" t="str">
        <f t="shared" si="3"/>
        <v>21115510000100</v>
      </c>
      <c r="F44" s="428">
        <v>21115510000100</v>
      </c>
      <c r="G44" t="s">
        <v>1458</v>
      </c>
      <c r="H44" t="s">
        <v>17</v>
      </c>
      <c r="I44">
        <v>0</v>
      </c>
      <c r="J44" s="442">
        <v>0</v>
      </c>
      <c r="K44" s="442">
        <v>4920</v>
      </c>
      <c r="L44" s="14">
        <v>81770400</v>
      </c>
      <c r="M44" s="564"/>
      <c r="N44" s="563"/>
      <c r="O44" s="562"/>
      <c r="P44" s="563"/>
      <c r="Q44" s="562"/>
      <c r="R44" s="563"/>
    </row>
    <row r="45" spans="2:18">
      <c r="B45" s="571">
        <f>IF(F45="","",(SUMIF(INTGRATE!$Y:$Y,data!D45,INTGRATE!$L:$L)+SUMIF(BRAN!$V:$V,data!D45,BRAN!$J:$J)))</f>
        <v>30400</v>
      </c>
      <c r="C45" s="572">
        <f t="shared" si="2"/>
        <v>0</v>
      </c>
      <c r="D45" s="573" t="str">
        <f>IFERROR(VLOOKUP(E45,Map!$B:$F,4,0),"")&amp;IFERROR(VLOOKUP(E45,Map!$B:$F,5,0),"")</f>
        <v>551FS3150</v>
      </c>
      <c r="E45" s="574" t="str">
        <f t="shared" si="3"/>
        <v>21115510099250S31</v>
      </c>
      <c r="F45" s="428">
        <v>21115510099250</v>
      </c>
      <c r="G45" t="s">
        <v>1591</v>
      </c>
      <c r="H45" t="s">
        <v>2090</v>
      </c>
      <c r="I45">
        <v>50</v>
      </c>
      <c r="J45" s="442">
        <v>608</v>
      </c>
      <c r="K45" s="442">
        <v>30400</v>
      </c>
      <c r="L45" s="14">
        <v>394288000</v>
      </c>
      <c r="M45" s="564"/>
      <c r="N45" s="563"/>
      <c r="O45" s="562"/>
      <c r="P45" s="563"/>
      <c r="Q45" s="562"/>
      <c r="R45" s="563"/>
    </row>
    <row r="46" spans="2:18">
      <c r="B46" s="571">
        <f>IF(F46="","",(SUMIF(INTGRATE!$Y:$Y,data!D46,INTGRATE!$L:$L)+SUMIF(BRAN!$V:$V,data!D46,BRAN!$J:$J)))</f>
        <v>17475</v>
      </c>
      <c r="C46" s="572">
        <f t="shared" si="2"/>
        <v>0</v>
      </c>
      <c r="D46" s="573" t="str">
        <f>IFERROR(VLOOKUP(E46,Map!$B:$F,4,0),"")&amp;IFERROR(VLOOKUP(E46,Map!$B:$F,5,0),"")</f>
        <v>51025</v>
      </c>
      <c r="E46" s="574" t="str">
        <f t="shared" si="3"/>
        <v>21115100000125</v>
      </c>
      <c r="F46" s="428">
        <v>21115100000125</v>
      </c>
      <c r="G46" t="s">
        <v>2098</v>
      </c>
      <c r="H46" t="s">
        <v>17</v>
      </c>
      <c r="I46">
        <v>25</v>
      </c>
      <c r="J46" s="14">
        <v>699</v>
      </c>
      <c r="K46" s="442">
        <v>17475</v>
      </c>
      <c r="L46" s="442">
        <v>217913250</v>
      </c>
      <c r="M46" s="564"/>
      <c r="N46" s="563"/>
      <c r="O46" s="562"/>
      <c r="P46" s="563"/>
      <c r="Q46" s="562"/>
      <c r="R46" s="563"/>
    </row>
    <row r="47" spans="2:18">
      <c r="B47" s="571">
        <f>IF(F47="","",(SUMIF(INTGRATE!$Y:$Y,data!D47,INTGRATE!$L:$L)+SUMIF(BRAN!$V:$V,data!D47,BRAN!$J:$J)))</f>
        <v>2500</v>
      </c>
      <c r="C47" s="572">
        <f t="shared" si="2"/>
        <v>0</v>
      </c>
      <c r="D47" s="573" t="str">
        <f>IFERROR(VLOOKUP(E47,Map!$B:$F,4,0),"")&amp;IFERROR(VLOOKUP(E47,Map!$B:$F,5,0),"")</f>
        <v>VT1125</v>
      </c>
      <c r="E47" s="574" t="str">
        <f t="shared" si="3"/>
        <v>21135480000125</v>
      </c>
      <c r="F47" s="428">
        <v>21135480000125</v>
      </c>
      <c r="G47" t="s">
        <v>1013</v>
      </c>
      <c r="H47" t="s">
        <v>17</v>
      </c>
      <c r="I47">
        <v>25</v>
      </c>
      <c r="J47" s="14">
        <v>100</v>
      </c>
      <c r="K47" s="442">
        <v>2500</v>
      </c>
      <c r="L47" s="14">
        <v>28875000</v>
      </c>
      <c r="M47" s="564"/>
      <c r="N47" s="563"/>
      <c r="O47" s="562"/>
      <c r="P47" s="563"/>
      <c r="Q47" s="562"/>
      <c r="R47" s="563"/>
    </row>
    <row r="48" spans="2:18">
      <c r="B48" s="571">
        <f>IF(F48="","",(SUMIF(INTGRATE!$Y:$Y,data!D48,INTGRATE!$L:$L)+SUMIF(BRAN!$V:$V,data!D48,BRAN!$J:$J)))</f>
        <v>525</v>
      </c>
      <c r="C48" s="572">
        <f t="shared" si="2"/>
        <v>0</v>
      </c>
      <c r="D48" s="573" t="str">
        <f>IFERROR(VLOOKUP(E48,Map!$B:$F,4,0),"")&amp;IFERROR(VLOOKUP(E48,Map!$B:$F,5,0),"")</f>
        <v>54425</v>
      </c>
      <c r="E48" s="574" t="str">
        <f t="shared" si="3"/>
        <v>21115440000125</v>
      </c>
      <c r="F48" s="428">
        <v>21115440000125</v>
      </c>
      <c r="G48" t="s">
        <v>1199</v>
      </c>
      <c r="H48" t="s">
        <v>17</v>
      </c>
      <c r="I48">
        <v>25</v>
      </c>
      <c r="J48" s="442">
        <v>21</v>
      </c>
      <c r="K48" s="442">
        <v>525</v>
      </c>
      <c r="L48" s="14">
        <v>5223750</v>
      </c>
      <c r="M48" s="564"/>
      <c r="N48" s="563"/>
      <c r="O48" s="562"/>
      <c r="P48" s="563"/>
      <c r="Q48" s="562"/>
      <c r="R48" s="563"/>
    </row>
    <row r="49" spans="2:18">
      <c r="B49" s="571">
        <f>IF(F49="","",(SUMIF(INTGRATE!$Y:$Y,data!D49,INTGRATE!$L:$L)+SUMIF(BRAN!$V:$V,data!D49,BRAN!$J:$J)))</f>
        <v>5000</v>
      </c>
      <c r="C49" s="572">
        <f t="shared" si="2"/>
        <v>0</v>
      </c>
      <c r="D49" s="573" t="str">
        <f>IFERROR(VLOOKUP(E49,Map!$B:$F,4,0),"")&amp;IFERROR(VLOOKUP(E49,Map!$B:$F,5,0),"")</f>
        <v>50225</v>
      </c>
      <c r="E49" s="574" t="str">
        <f t="shared" si="3"/>
        <v>21115020000125</v>
      </c>
      <c r="F49" s="428">
        <v>21115020000125</v>
      </c>
      <c r="G49" t="s">
        <v>1857</v>
      </c>
      <c r="H49" t="s">
        <v>17</v>
      </c>
      <c r="I49">
        <v>25</v>
      </c>
      <c r="J49" s="442">
        <v>200</v>
      </c>
      <c r="K49" s="442">
        <v>5000</v>
      </c>
      <c r="L49" s="14">
        <v>53500000</v>
      </c>
      <c r="M49" s="564"/>
      <c r="N49" s="563"/>
      <c r="O49" s="562"/>
      <c r="P49" s="563"/>
      <c r="Q49" s="562"/>
      <c r="R49" s="563"/>
    </row>
    <row r="50" spans="2:18">
      <c r="B50" s="571">
        <f>IF(F50="","",(SUMIF(INTGRATE!$Y:$Y,data!D50,INTGRATE!$L:$L)+SUMIF(BRAN!$V:$V,data!D50,BRAN!$J:$J)))</f>
        <v>3300</v>
      </c>
      <c r="C50" s="572">
        <f t="shared" si="2"/>
        <v>0</v>
      </c>
      <c r="D50" s="573" t="str">
        <f>IFERROR(VLOOKUP(E50,Map!$B:$F,4,0),"")&amp;IFERROR(VLOOKUP(E50,Map!$B:$F,5,0),"")</f>
        <v>59525</v>
      </c>
      <c r="E50" s="574" t="str">
        <f t="shared" si="3"/>
        <v>21115950000125</v>
      </c>
      <c r="F50" s="428">
        <v>21115950000125</v>
      </c>
      <c r="G50" t="s">
        <v>2099</v>
      </c>
      <c r="H50" t="s">
        <v>17</v>
      </c>
      <c r="I50">
        <v>25</v>
      </c>
      <c r="J50" s="442">
        <v>132</v>
      </c>
      <c r="K50" s="442">
        <v>3300</v>
      </c>
      <c r="L50" s="14">
        <v>27918000</v>
      </c>
      <c r="M50" s="564"/>
      <c r="N50" s="563"/>
      <c r="O50" s="562"/>
      <c r="P50" s="563"/>
      <c r="Q50" s="562"/>
      <c r="R50" s="563"/>
    </row>
    <row r="51" spans="2:18">
      <c r="B51" s="571">
        <f>IF(F51="","",(SUMIF(INTGRATE!$Y:$Y,data!D51,INTGRATE!$L:$L)+SUMIF(BRAN!$V:$V,data!D51,BRAN!$J:$J)))</f>
        <v>14925</v>
      </c>
      <c r="C51" s="572">
        <f t="shared" si="2"/>
        <v>0</v>
      </c>
      <c r="D51" s="573" t="str">
        <f>IFERROR(VLOOKUP(E51,Map!$B:$F,4,0),"")&amp;IFERROR(VLOOKUP(E51,Map!$B:$F,5,0),"")</f>
        <v>550SX25</v>
      </c>
      <c r="E51" s="574" t="str">
        <f t="shared" si="3"/>
        <v>21115507800125</v>
      </c>
      <c r="F51" s="428">
        <v>21115507800125</v>
      </c>
      <c r="G51" t="s">
        <v>1870</v>
      </c>
      <c r="H51" t="s">
        <v>17</v>
      </c>
      <c r="I51">
        <v>25</v>
      </c>
      <c r="J51" s="442">
        <v>597</v>
      </c>
      <c r="K51" s="442">
        <v>14925</v>
      </c>
      <c r="L51" s="14">
        <v>338200500</v>
      </c>
      <c r="M51" s="564"/>
      <c r="N51" s="563"/>
      <c r="O51" s="562"/>
      <c r="P51" s="563"/>
      <c r="Q51" s="562"/>
      <c r="R51" s="563"/>
    </row>
    <row r="52" spans="2:18">
      <c r="B52" s="571">
        <f>IF(F52="","",(SUMIF(INTGRATE!$Y:$Y,data!D52,INTGRATE!$L:$L)+SUMIF(BRAN!$V:$V,data!D52,BRAN!$J:$J)))</f>
        <v>7875</v>
      </c>
      <c r="C52" s="572">
        <f t="shared" si="2"/>
        <v>0</v>
      </c>
      <c r="D52" s="573" t="str">
        <f>IFERROR(VLOOKUP(E52,Map!$B:$F,4,0),"")&amp;IFERROR(VLOOKUP(E52,Map!$B:$F,5,0),"")</f>
        <v>HT11GP25</v>
      </c>
      <c r="E52" s="574" t="str">
        <f t="shared" si="3"/>
        <v>21135517500125</v>
      </c>
      <c r="F52" s="428">
        <v>21135517500125</v>
      </c>
      <c r="G52" t="s">
        <v>1656</v>
      </c>
      <c r="H52" t="s">
        <v>17</v>
      </c>
      <c r="I52">
        <v>25</v>
      </c>
      <c r="J52" s="442">
        <v>315</v>
      </c>
      <c r="K52" s="442">
        <v>7875</v>
      </c>
      <c r="L52" s="14">
        <v>119857500</v>
      </c>
      <c r="M52" s="564"/>
      <c r="N52" s="563"/>
      <c r="O52" s="562"/>
      <c r="P52" s="563"/>
      <c r="Q52" s="562"/>
      <c r="R52" s="563"/>
    </row>
    <row r="53" spans="2:18">
      <c r="B53" s="571">
        <f>IF(F53="","",(SUMIF(INTGRATE!$Y:$Y,data!D53,INTGRATE!$L:$L)+SUMIF(BRAN!$V:$V,data!D53,BRAN!$J:$J)))</f>
        <v>1000</v>
      </c>
      <c r="C53" s="572">
        <f t="shared" si="2"/>
        <v>0</v>
      </c>
      <c r="D53" s="573" t="str">
        <f>IFERROR(VLOOKUP(E53,Map!$B:$F,4,0),"")&amp;IFERROR(VLOOKUP(E53,Map!$B:$F,5,0),"")</f>
        <v>59425</v>
      </c>
      <c r="E53" s="574" t="str">
        <f t="shared" si="3"/>
        <v>21115940000125</v>
      </c>
      <c r="F53" s="428">
        <v>21115940000125</v>
      </c>
      <c r="G53" t="s">
        <v>1484</v>
      </c>
      <c r="H53" t="s">
        <v>17</v>
      </c>
      <c r="I53">
        <v>25</v>
      </c>
      <c r="J53" s="442">
        <v>40</v>
      </c>
      <c r="K53" s="442">
        <v>1000</v>
      </c>
      <c r="L53" s="14">
        <v>8960000</v>
      </c>
      <c r="M53" s="564"/>
      <c r="N53" s="563"/>
      <c r="O53" s="562"/>
      <c r="P53" s="563"/>
      <c r="Q53" s="562"/>
      <c r="R53" s="563"/>
    </row>
    <row r="54" spans="2:18">
      <c r="B54" s="571">
        <f>IF(F54="","",(SUMIF(INTGRATE!$Y:$Y,data!D54,INTGRATE!$L:$L)+SUMIF(BRAN!$V:$V,data!D54,BRAN!$J:$J)))</f>
        <v>2775</v>
      </c>
      <c r="C54" s="572">
        <f t="shared" si="2"/>
        <v>0</v>
      </c>
      <c r="D54" s="573" t="str">
        <f>IFERROR(VLOOKUP(E54,Map!$B:$F,4,0),"")&amp;IFERROR(VLOOKUP(E54,Map!$B:$F,5,0),"")</f>
        <v>52125</v>
      </c>
      <c r="E54" s="574" t="str">
        <f t="shared" si="3"/>
        <v>21115210000125</v>
      </c>
      <c r="F54" s="428">
        <v>21115210000125</v>
      </c>
      <c r="G54" t="s">
        <v>2100</v>
      </c>
      <c r="H54" t="s">
        <v>17</v>
      </c>
      <c r="I54">
        <v>25</v>
      </c>
      <c r="J54" s="14">
        <v>111</v>
      </c>
      <c r="K54" s="442">
        <v>2775</v>
      </c>
      <c r="L54" s="14">
        <v>32939250</v>
      </c>
      <c r="M54" s="564"/>
      <c r="N54" s="563"/>
      <c r="O54" s="562"/>
      <c r="P54" s="563"/>
      <c r="Q54" s="562"/>
      <c r="R54" s="563"/>
    </row>
    <row r="55" spans="2:18">
      <c r="B55" s="571">
        <f>IF(F55="","",(SUMIF(INTGRATE!$Y:$Y,data!D55,INTGRATE!$L:$L)+SUMIF(BRAN!$V:$V,data!D55,BRAN!$J:$J)))</f>
        <v>750</v>
      </c>
      <c r="C55" s="572">
        <f t="shared" si="2"/>
        <v>0</v>
      </c>
      <c r="D55" s="573" t="str">
        <f>IFERROR(VLOOKUP(E55,Map!$B:$F,4,0),"")&amp;IFERROR(VLOOKUP(E55,Map!$B:$F,5,0),"")</f>
        <v>552MX25</v>
      </c>
      <c r="E55" s="574" t="str">
        <f t="shared" si="3"/>
        <v>21115527900125</v>
      </c>
      <c r="F55" s="428">
        <v>21115527900125</v>
      </c>
      <c r="G55" t="s">
        <v>1676</v>
      </c>
      <c r="H55" t="s">
        <v>17</v>
      </c>
      <c r="I55">
        <v>25</v>
      </c>
      <c r="J55" s="14">
        <v>30</v>
      </c>
      <c r="K55" s="442">
        <v>750</v>
      </c>
      <c r="L55" s="14">
        <v>8535000</v>
      </c>
      <c r="M55" s="564"/>
      <c r="N55" s="563"/>
      <c r="O55" s="562"/>
      <c r="P55" s="563"/>
      <c r="Q55" s="562"/>
      <c r="R55" s="563"/>
    </row>
    <row r="56" spans="2:18">
      <c r="B56" s="571">
        <f>IF(F56="","",(SUMIF(INTGRATE!$Y:$Y,data!D56,INTGRATE!$L:$L)+SUMIF(BRAN!$V:$V,data!D56,BRAN!$J:$J)))</f>
        <v>2375</v>
      </c>
      <c r="C56" s="572">
        <f t="shared" si="2"/>
        <v>0</v>
      </c>
      <c r="D56" s="573" t="str">
        <f>IFERROR(VLOOKUP(E56,Map!$B:$F,4,0),"")&amp;IFERROR(VLOOKUP(E56,Map!$B:$F,5,0),"")</f>
        <v>552Pro25</v>
      </c>
      <c r="E56" s="574" t="str">
        <f t="shared" si="3"/>
        <v>21115521600125</v>
      </c>
      <c r="F56" s="428">
        <v>21115521600125</v>
      </c>
      <c r="G56" t="s">
        <v>1728</v>
      </c>
      <c r="H56" t="s">
        <v>17</v>
      </c>
      <c r="I56">
        <v>25</v>
      </c>
      <c r="J56" s="14">
        <v>95</v>
      </c>
      <c r="K56" s="442">
        <v>2375</v>
      </c>
      <c r="L56" s="14">
        <v>26980000</v>
      </c>
      <c r="M56" s="564"/>
      <c r="N56" s="563"/>
      <c r="O56" s="562"/>
      <c r="P56" s="563"/>
      <c r="Q56" s="562"/>
      <c r="R56" s="563"/>
    </row>
    <row r="57" spans="2:18">
      <c r="B57" s="571">
        <f>IF(F57="","",(SUMIF(INTGRATE!$Y:$Y,data!D57,INTGRATE!$L:$L)+SUMIF(BRAN!$V:$V,data!D57,BRAN!$J:$J)))</f>
        <v>10000</v>
      </c>
      <c r="C57" s="572">
        <f t="shared" si="2"/>
        <v>0</v>
      </c>
      <c r="D57" s="573" t="str">
        <f>IFERROR(VLOOKUP(E57,Map!$B:$F,4,0),"")&amp;IFERROR(VLOOKUP(E57,Map!$B:$F,5,0),"")</f>
        <v>566F50</v>
      </c>
      <c r="E57" s="574" t="str">
        <f t="shared" si="3"/>
        <v>21115660000250</v>
      </c>
      <c r="F57" s="428">
        <v>21115660000250</v>
      </c>
      <c r="G57" t="s">
        <v>2101</v>
      </c>
      <c r="H57" t="s">
        <v>17</v>
      </c>
      <c r="I57">
        <v>50</v>
      </c>
      <c r="J57" s="14">
        <v>200</v>
      </c>
      <c r="K57" s="442">
        <v>10000</v>
      </c>
      <c r="L57" s="14">
        <v>86000000</v>
      </c>
      <c r="M57" s="564"/>
      <c r="N57" s="563"/>
      <c r="O57" s="562"/>
      <c r="P57" s="563"/>
      <c r="Q57" s="562"/>
      <c r="R57" s="563"/>
    </row>
    <row r="58" spans="2:18">
      <c r="B58" s="571">
        <f>IF(F58="","",(SUMIF(INTGRATE!$Y:$Y,data!D58,INTGRATE!$L:$L)+SUMIF(BRAN!$V:$V,data!D58,BRAN!$J:$J)))</f>
        <v>128900</v>
      </c>
      <c r="C58" s="572">
        <f t="shared" si="2"/>
        <v>0</v>
      </c>
      <c r="D58" s="573" t="str">
        <f>IFERROR(VLOOKUP(E58,Map!$B:$F,4,0),"")&amp;IFERROR(VLOOKUP(E58,Map!$B:$F,5,0),"")</f>
        <v>553MF50</v>
      </c>
      <c r="E58" s="574" t="str">
        <f t="shared" si="3"/>
        <v>21115531300250</v>
      </c>
      <c r="F58" s="428">
        <v>21115531300250</v>
      </c>
      <c r="G58" t="s">
        <v>2102</v>
      </c>
      <c r="H58" t="s">
        <v>17</v>
      </c>
      <c r="I58">
        <v>50</v>
      </c>
      <c r="J58" s="14">
        <v>2578</v>
      </c>
      <c r="K58" s="442">
        <v>128900</v>
      </c>
      <c r="L58" s="14">
        <v>1126586000</v>
      </c>
      <c r="M58" s="564"/>
      <c r="N58" s="563"/>
      <c r="O58" s="562"/>
      <c r="P58" s="563"/>
      <c r="Q58" s="562"/>
      <c r="R58" s="563"/>
    </row>
    <row r="59" spans="2:18">
      <c r="B59" s="571">
        <f>IF(F59="","",(SUMIF(INTGRATE!$Y:$Y,data!D59,INTGRATE!$L:$L)+SUMIF(BRAN!$V:$V,data!D59,BRAN!$J:$J)))</f>
        <v>83400</v>
      </c>
      <c r="C59" s="572">
        <f t="shared" si="2"/>
        <v>0</v>
      </c>
      <c r="D59" s="573" t="str">
        <f>IFERROR(VLOOKUP(E59,Map!$B:$F,4,0),"")&amp;IFERROR(VLOOKUP(E59,Map!$B:$F,5,0),"")</f>
        <v>562PF50</v>
      </c>
      <c r="E59" s="574" t="str">
        <f t="shared" si="3"/>
        <v>21115621600250</v>
      </c>
      <c r="F59" s="428">
        <v>21115621600250</v>
      </c>
      <c r="G59" t="s">
        <v>2103</v>
      </c>
      <c r="H59" t="s">
        <v>17</v>
      </c>
      <c r="I59">
        <v>50</v>
      </c>
      <c r="J59" s="14">
        <v>1668</v>
      </c>
      <c r="K59" s="442">
        <v>83400</v>
      </c>
      <c r="L59" s="14">
        <v>704730000</v>
      </c>
      <c r="M59" s="564"/>
      <c r="N59" s="563"/>
      <c r="O59" s="562"/>
      <c r="P59" s="563"/>
      <c r="Q59" s="562"/>
      <c r="R59" s="563"/>
    </row>
    <row r="60" spans="2:18">
      <c r="B60" s="571">
        <f>IF(F60="","",(SUMIF(INTGRATE!$Y:$Y,data!D60,INTGRATE!$L:$L)+SUMIF(BRAN!$V:$V,data!D60,BRAN!$J:$J)))</f>
        <v>5000</v>
      </c>
      <c r="C60" s="572">
        <f t="shared" si="2"/>
        <v>0</v>
      </c>
      <c r="D60" s="573" t="str">
        <f>IFERROR(VLOOKUP(E60,Map!$B:$F,4,0),"")&amp;IFERROR(VLOOKUP(E60,Map!$B:$F,5,0),"")</f>
        <v>56725</v>
      </c>
      <c r="E60" s="574" t="str">
        <f t="shared" si="3"/>
        <v>21115670000125</v>
      </c>
      <c r="F60" s="428">
        <v>21115670000125</v>
      </c>
      <c r="G60" t="s">
        <v>2104</v>
      </c>
      <c r="H60" t="s">
        <v>17</v>
      </c>
      <c r="I60">
        <v>25</v>
      </c>
      <c r="J60" s="14">
        <v>200</v>
      </c>
      <c r="K60" s="442">
        <v>5000</v>
      </c>
      <c r="L60" s="14">
        <v>59450000</v>
      </c>
      <c r="M60" s="564"/>
      <c r="N60" s="563"/>
      <c r="O60" s="562"/>
      <c r="P60" s="563"/>
      <c r="Q60" s="562"/>
      <c r="R60" s="563"/>
    </row>
    <row r="61" spans="2:18">
      <c r="B61" s="571">
        <f>IF(F61="","",(SUMIF(INTGRATE!$Y:$Y,data!D61,INTGRATE!$L:$L)+SUMIF(BRAN!$V:$V,data!D61,BRAN!$J:$J)))</f>
        <v>3625</v>
      </c>
      <c r="C61" s="572">
        <f t="shared" si="2"/>
        <v>0</v>
      </c>
      <c r="D61" s="573" t="str">
        <f>IFERROR(VLOOKUP(E61,Map!$B:$F,4,0),"")&amp;IFERROR(VLOOKUP(E61,Map!$B:$F,5,0),"")</f>
        <v>550S25</v>
      </c>
      <c r="E61" s="574" t="str">
        <f t="shared" si="3"/>
        <v>21115501900125</v>
      </c>
      <c r="F61" s="428">
        <v>21115501900125</v>
      </c>
      <c r="G61" t="s">
        <v>2105</v>
      </c>
      <c r="H61" t="s">
        <v>17</v>
      </c>
      <c r="I61">
        <v>25</v>
      </c>
      <c r="J61" s="14">
        <v>145</v>
      </c>
      <c r="K61" s="442">
        <v>3625</v>
      </c>
      <c r="L61" s="14">
        <v>79605000</v>
      </c>
      <c r="M61" s="564"/>
      <c r="N61" s="563"/>
      <c r="O61" s="562"/>
      <c r="P61" s="563"/>
      <c r="Q61" s="562"/>
      <c r="R61" s="563"/>
    </row>
    <row r="62" spans="2:18">
      <c r="B62" s="571">
        <f>IF(F62="","",(SUMIF(INTGRATE!$Y:$Y,data!D62,INTGRATE!$L:$L)+SUMIF(BRAN!$V:$V,data!D62,BRAN!$J:$J)))</f>
        <v>1400</v>
      </c>
      <c r="C62" s="572">
        <f t="shared" si="2"/>
        <v>0</v>
      </c>
      <c r="D62" s="573" t="str">
        <f>IFERROR(VLOOKUP(E62,Map!$B:$F,4,0),"")&amp;IFERROR(VLOOKUP(E62,Map!$B:$F,5,0),"")</f>
        <v>96725</v>
      </c>
      <c r="E62" s="574" t="str">
        <f t="shared" si="3"/>
        <v>21125670000125</v>
      </c>
      <c r="F62" s="428">
        <v>21125670000125</v>
      </c>
      <c r="G62" t="s">
        <v>2106</v>
      </c>
      <c r="H62" t="s">
        <v>17</v>
      </c>
      <c r="I62">
        <v>25</v>
      </c>
      <c r="J62" s="14">
        <v>56</v>
      </c>
      <c r="K62" s="442">
        <v>1400</v>
      </c>
      <c r="L62" s="14">
        <v>16646000</v>
      </c>
      <c r="M62" s="564"/>
    </row>
    <row r="63" spans="2:18">
      <c r="B63" s="571">
        <f>IF(F63="","",(SUMIF(INTGRATE!$Y:$Y,data!D63,INTGRATE!$L:$L)+SUMIF(BRAN!$V:$V,data!D63,BRAN!$J:$J)))</f>
        <v>5325</v>
      </c>
      <c r="C63" s="572">
        <f t="shared" si="2"/>
        <v>0</v>
      </c>
      <c r="D63" s="573" t="str">
        <f>IFERROR(VLOOKUP(E63,Map!$B:$F,4,0),"")&amp;IFERROR(VLOOKUP(E63,Map!$B:$F,5,0),"")</f>
        <v>95325</v>
      </c>
      <c r="E63" s="574" t="str">
        <f t="shared" si="3"/>
        <v>21125530000125</v>
      </c>
      <c r="F63" s="428">
        <v>21125530000125</v>
      </c>
      <c r="G63" t="s">
        <v>2107</v>
      </c>
      <c r="H63" t="s">
        <v>17</v>
      </c>
      <c r="I63">
        <v>25</v>
      </c>
      <c r="J63" s="14">
        <v>213</v>
      </c>
      <c r="K63" s="442">
        <v>5325</v>
      </c>
      <c r="L63" s="14">
        <v>56125500</v>
      </c>
      <c r="M63" s="564"/>
    </row>
    <row r="64" spans="2:18">
      <c r="B64" s="571">
        <f>IF(F64="","",(SUMIF(INTGRATE!$Y:$Y,data!D64,INTGRATE!$L:$L)+SUMIF(BRAN!$V:$V,data!D64,BRAN!$J:$J)))</f>
        <v>6940</v>
      </c>
      <c r="C64" s="572">
        <f t="shared" ref="C64:C79" si="4">IF(F64="","",B64-K64)</f>
        <v>0</v>
      </c>
      <c r="D64" s="573" t="str">
        <f>IFERROR(VLOOKUP(E64,Map!$B:$F,4,0),"")&amp;IFERROR(VLOOKUP(E64,Map!$B:$F,5,0),"")</f>
        <v>550SXsilo</v>
      </c>
      <c r="E64" s="574" t="str">
        <f t="shared" ref="E64:E83" si="5">IF(MID(F64,10,2)="99",F64&amp;H64,LEFT(F64,14))</f>
        <v>21115507800100</v>
      </c>
      <c r="F64" s="428">
        <v>21115507800100</v>
      </c>
      <c r="G64" t="s">
        <v>2049</v>
      </c>
      <c r="H64" t="s">
        <v>17</v>
      </c>
      <c r="I64">
        <v>0</v>
      </c>
      <c r="J64" s="14">
        <v>0</v>
      </c>
      <c r="K64" s="442">
        <v>6940</v>
      </c>
      <c r="L64" s="14">
        <v>155872400</v>
      </c>
      <c r="M64" s="564"/>
    </row>
    <row r="65" spans="2:13">
      <c r="B65" s="571">
        <f>IF(F65="","",(SUMIF(INTGRATE!$Y:$Y,data!D65,INTGRATE!$L:$L)+SUMIF(BRAN!$V:$V,data!D65,BRAN!$J:$J)))</f>
        <v>750</v>
      </c>
      <c r="C65" s="572">
        <f t="shared" si="4"/>
        <v>0</v>
      </c>
      <c r="D65" s="573" t="str">
        <f>IFERROR(VLOOKUP(E65,Map!$B:$F,4,0),"")&amp;IFERROR(VLOOKUP(E65,Map!$B:$F,5,0),"")</f>
        <v>HG17S25</v>
      </c>
      <c r="E65" s="574" t="str">
        <f t="shared" si="5"/>
        <v>21135671900125</v>
      </c>
      <c r="F65" s="428">
        <v>21135671900125</v>
      </c>
      <c r="G65" t="s">
        <v>1654</v>
      </c>
      <c r="H65" t="s">
        <v>17</v>
      </c>
      <c r="I65">
        <v>25</v>
      </c>
      <c r="J65" s="14">
        <v>30</v>
      </c>
      <c r="K65" s="442">
        <v>750</v>
      </c>
      <c r="L65" s="14">
        <v>9262500</v>
      </c>
      <c r="M65" s="564"/>
    </row>
    <row r="66" spans="2:13">
      <c r="B66" s="571">
        <f>IF(F66="","",(SUMIF(INTGRATE!$Y:$Y,data!D66,INTGRATE!$L:$L)+SUMIF(BRAN!$V:$V,data!D66,BRAN!$J:$J)))</f>
        <v>2500</v>
      </c>
      <c r="C66" s="572">
        <f t="shared" si="4"/>
        <v>0</v>
      </c>
      <c r="D66" s="573" t="str">
        <f>IFERROR(VLOOKUP(E66,Map!$B:$F,4,0),"")&amp;IFERROR(VLOOKUP(E66,Map!$B:$F,5,0),"")</f>
        <v>HT1125</v>
      </c>
      <c r="E66" s="574" t="str">
        <f t="shared" si="5"/>
        <v>21135510000125</v>
      </c>
      <c r="F66" s="428">
        <v>21135510000125</v>
      </c>
      <c r="G66" t="s">
        <v>2108</v>
      </c>
      <c r="H66" t="s">
        <v>17</v>
      </c>
      <c r="I66">
        <v>25</v>
      </c>
      <c r="J66" s="14">
        <v>100</v>
      </c>
      <c r="K66" s="442">
        <v>2500</v>
      </c>
      <c r="L66" s="14">
        <v>41000000</v>
      </c>
      <c r="M66" s="564"/>
    </row>
    <row r="67" spans="2:13">
      <c r="B67" s="571">
        <f>IF(F67="","",(SUMIF(INTGRATE!$Y:$Y,data!D67,INTGRATE!$L:$L)+SUMIF(BRAN!$V:$V,data!D67,BRAN!$J:$J)))</f>
        <v>250</v>
      </c>
      <c r="C67" s="572">
        <f t="shared" si="4"/>
        <v>0</v>
      </c>
      <c r="D67" s="573" t="str">
        <f>IFERROR(VLOOKUP(E67,Map!$B:$F,4,0),"")&amp;IFERROR(VLOOKUP(E67,Map!$B:$F,5,0),"")</f>
        <v>689525</v>
      </c>
      <c r="E67" s="574" t="str">
        <f t="shared" si="5"/>
        <v>21163950000125</v>
      </c>
      <c r="F67" s="428">
        <v>21163950000125</v>
      </c>
      <c r="G67" t="s">
        <v>1797</v>
      </c>
      <c r="H67" t="s">
        <v>17</v>
      </c>
      <c r="I67">
        <v>25</v>
      </c>
      <c r="J67" s="14">
        <v>10</v>
      </c>
      <c r="K67" s="442">
        <v>250</v>
      </c>
      <c r="L67" s="14">
        <v>1965000</v>
      </c>
      <c r="M67" s="564"/>
    </row>
    <row r="68" spans="2:13">
      <c r="B68" s="571">
        <f>IF(F68="","",(SUMIF(INTGRATE!$Y:$Y,data!D68,INTGRATE!$L:$L)+SUMIF(BRAN!$V:$V,data!D68,BRAN!$J:$J)))</f>
        <v>8500</v>
      </c>
      <c r="C68" s="572">
        <f t="shared" si="4"/>
        <v>0</v>
      </c>
      <c r="D68" s="573" t="str">
        <f>IFERROR(VLOOKUP(E68,Map!$B:$F,4,0),"")&amp;IFERROR(VLOOKUP(E68,Map!$B:$F,5,0),"")</f>
        <v>510S25</v>
      </c>
      <c r="E68" s="574" t="str">
        <f t="shared" si="5"/>
        <v>21115101900125</v>
      </c>
      <c r="F68" s="428">
        <v>21115101900125</v>
      </c>
      <c r="G68" t="s">
        <v>1398</v>
      </c>
      <c r="H68" t="s">
        <v>17</v>
      </c>
      <c r="I68">
        <v>25</v>
      </c>
      <c r="J68" s="14">
        <v>340</v>
      </c>
      <c r="K68" s="442">
        <v>8500</v>
      </c>
      <c r="L68" s="14">
        <v>108715000</v>
      </c>
      <c r="M68" s="564"/>
    </row>
    <row r="69" spans="2:13">
      <c r="B69" s="571">
        <f>IF(F69="","",(SUMIF(INTGRATE!$Y:$Y,data!D69,INTGRATE!$L:$L)+SUMIF(BRAN!$V:$V,data!D69,BRAN!$J:$J)))</f>
        <v>14250</v>
      </c>
      <c r="C69" s="572">
        <f t="shared" si="4"/>
        <v>0</v>
      </c>
      <c r="D69" s="573" t="str">
        <f>IFERROR(VLOOKUP(E69,Map!$B:$F,4,0),"")&amp;IFERROR(VLOOKUP(E69,Map!$B:$F,5,0),"")</f>
        <v>550SF50</v>
      </c>
      <c r="E69" s="574" t="str">
        <f t="shared" si="5"/>
        <v>21115501900250</v>
      </c>
      <c r="F69" s="428">
        <v>21115501900250</v>
      </c>
      <c r="G69" t="s">
        <v>1921</v>
      </c>
      <c r="H69" t="s">
        <v>17</v>
      </c>
      <c r="I69">
        <v>50</v>
      </c>
      <c r="J69" s="14">
        <v>285</v>
      </c>
      <c r="K69" s="442">
        <v>14250</v>
      </c>
      <c r="L69" s="14">
        <v>212752500</v>
      </c>
      <c r="M69" s="564"/>
    </row>
    <row r="70" spans="2:13">
      <c r="B70" s="571">
        <f>IF(F70="","",(SUMIF(INTGRATE!$Y:$Y,data!D70,INTGRATE!$L:$L)+SUMIF(BRAN!$V:$V,data!D70,BRAN!$J:$J)))</f>
        <v>29000</v>
      </c>
      <c r="C70" s="572">
        <f t="shared" si="4"/>
        <v>0</v>
      </c>
      <c r="D70" s="573" t="str">
        <f>IFERROR(VLOOKUP(E70,Map!$B:$F,4,0),"")&amp;IFERROR(VLOOKUP(E70,Map!$B:$F,5,0),"")</f>
        <v>551FS5450</v>
      </c>
      <c r="E70" s="574" t="str">
        <f t="shared" si="5"/>
        <v>21115510099250S54</v>
      </c>
      <c r="F70" s="428">
        <v>21115510099250</v>
      </c>
      <c r="G70" t="s">
        <v>1591</v>
      </c>
      <c r="H70" t="s">
        <v>2079</v>
      </c>
      <c r="I70">
        <v>50</v>
      </c>
      <c r="J70" s="14">
        <v>580</v>
      </c>
      <c r="K70" s="442">
        <v>29000</v>
      </c>
      <c r="L70" s="14">
        <v>375550000</v>
      </c>
      <c r="M70" s="564"/>
    </row>
    <row r="71" spans="2:13">
      <c r="B71" s="571">
        <f>IF(F71="","",(SUMIF(INTGRATE!$Y:$Y,data!D71,INTGRATE!$L:$L)+SUMIF(BRAN!$V:$V,data!D71,BRAN!$J:$J)))</f>
        <v>85810</v>
      </c>
      <c r="C71" s="572">
        <f t="shared" si="4"/>
        <v>0</v>
      </c>
      <c r="D71" s="573" t="str">
        <f>IFERROR(VLOOKUP(E71,Map!$B:$F,4,0),"")&amp;IFERROR(VLOOKUP(E71,Map!$B:$F,5,0),"")</f>
        <v>566FSilo</v>
      </c>
      <c r="E71" s="574" t="str">
        <f t="shared" si="5"/>
        <v>21115660000300</v>
      </c>
      <c r="F71" s="428">
        <v>21115660000300</v>
      </c>
      <c r="G71" t="s">
        <v>2109</v>
      </c>
      <c r="H71" t="s">
        <v>17</v>
      </c>
      <c r="I71">
        <v>0</v>
      </c>
      <c r="J71" s="14">
        <v>0</v>
      </c>
      <c r="K71" s="442">
        <v>85810</v>
      </c>
      <c r="L71" s="14">
        <v>727668800</v>
      </c>
      <c r="M71" s="564"/>
    </row>
    <row r="72" spans="2:13">
      <c r="B72" s="571">
        <f>IF(F72="","",(SUMIF(INTGRATE!$Y:$Y,data!D72,INTGRATE!$L:$L)+SUMIF(BRAN!$V:$V,data!D72,BRAN!$J:$J)))</f>
        <v>3900</v>
      </c>
      <c r="C72" s="572">
        <f t="shared" si="4"/>
        <v>0</v>
      </c>
      <c r="D72" s="573" t="str">
        <f>IFERROR(VLOOKUP(E72,Map!$B:$F,4,0),"")&amp;IFERROR(VLOOKUP(E72,Map!$B:$F,5,0),"")</f>
        <v>BS04A5A25</v>
      </c>
      <c r="E72" s="574" t="str">
        <f t="shared" si="5"/>
        <v>2113384015A125</v>
      </c>
      <c r="F72" s="428" t="s">
        <v>1892</v>
      </c>
      <c r="G72" t="s">
        <v>1893</v>
      </c>
      <c r="H72" t="s">
        <v>17</v>
      </c>
      <c r="I72">
        <v>25</v>
      </c>
      <c r="J72" s="14">
        <v>156</v>
      </c>
      <c r="K72" s="442">
        <v>3900</v>
      </c>
      <c r="L72" s="14">
        <v>28353000</v>
      </c>
      <c r="M72" s="564"/>
    </row>
    <row r="73" spans="2:13">
      <c r="B73" s="571">
        <f>IF(F73="","",(SUMIF(INTGRATE!$Y:$Y,data!D73,INTGRATE!$L:$L)+SUMIF(BRAN!$V:$V,data!D73,BRAN!$J:$J)))</f>
        <v>27000</v>
      </c>
      <c r="C73" s="572">
        <f t="shared" si="4"/>
        <v>0</v>
      </c>
      <c r="D73" s="573" t="str">
        <f>IFERROR(VLOOKUP(E73,Map!$B:$F,4,0),"")&amp;IFERROR(VLOOKUP(E73,Map!$B:$F,5,0),"")</f>
        <v>55225</v>
      </c>
      <c r="E73" s="574" t="str">
        <f t="shared" si="5"/>
        <v>21115520000125</v>
      </c>
      <c r="F73" s="428">
        <v>21115520000125</v>
      </c>
      <c r="G73" t="s">
        <v>2110</v>
      </c>
      <c r="H73" t="s">
        <v>17</v>
      </c>
      <c r="I73">
        <v>25</v>
      </c>
      <c r="J73" s="14">
        <v>1080</v>
      </c>
      <c r="K73" s="442">
        <v>27000</v>
      </c>
      <c r="L73" s="14">
        <v>304020000</v>
      </c>
      <c r="M73" s="564"/>
    </row>
    <row r="74" spans="2:13">
      <c r="B74" s="571">
        <f>IF(F74="","",(SUMIF(INTGRATE!$Y:$Y,data!D74,INTGRATE!$L:$L)+SUMIF(BRAN!$V:$V,data!D74,BRAN!$J:$J)))</f>
        <v>15700</v>
      </c>
      <c r="C74" s="572">
        <f t="shared" si="4"/>
        <v>0</v>
      </c>
      <c r="D74" s="573" t="str">
        <f>IFERROR(VLOOKUP(E74,Map!$B:$F,4,0),"")&amp;IFERROR(VLOOKUP(E74,Map!$B:$F,5,0),"")</f>
        <v>56625</v>
      </c>
      <c r="E74" s="574" t="str">
        <f t="shared" si="5"/>
        <v>21115660000125</v>
      </c>
      <c r="F74" s="428">
        <v>21115660000125</v>
      </c>
      <c r="G74" t="s">
        <v>2111</v>
      </c>
      <c r="H74" t="s">
        <v>17</v>
      </c>
      <c r="I74">
        <v>25</v>
      </c>
      <c r="J74" s="14">
        <v>628</v>
      </c>
      <c r="K74" s="442">
        <v>15700</v>
      </c>
      <c r="L74" s="14">
        <v>154891000</v>
      </c>
      <c r="M74" s="564"/>
    </row>
    <row r="75" spans="2:13">
      <c r="B75" s="571">
        <f>IF(F75="","",(SUMIF(INTGRATE!$Y:$Y,data!D75,INTGRATE!$L:$L)+SUMIF(BRAN!$V:$V,data!D75,BRAN!$J:$J)))</f>
        <v>1175</v>
      </c>
      <c r="C75" s="572">
        <f t="shared" si="4"/>
        <v>0</v>
      </c>
      <c r="D75" s="573" t="str">
        <f>IFERROR(VLOOKUP(E75,Map!$B:$F,4,0),"")&amp;IFERROR(VLOOKUP(E75,Map!$B:$F,5,0),"")</f>
        <v>35225</v>
      </c>
      <c r="E75" s="574" t="str">
        <f t="shared" si="5"/>
        <v>21113520000125</v>
      </c>
      <c r="F75" s="428">
        <v>21113520000125</v>
      </c>
      <c r="G75" t="s">
        <v>2112</v>
      </c>
      <c r="H75" t="s">
        <v>17</v>
      </c>
      <c r="I75">
        <v>25</v>
      </c>
      <c r="J75" s="14">
        <v>47</v>
      </c>
      <c r="K75" s="442">
        <v>1175</v>
      </c>
      <c r="L75" s="14">
        <v>13113000</v>
      </c>
      <c r="M75" s="564"/>
    </row>
    <row r="76" spans="2:13">
      <c r="B76" s="571">
        <f>IF(F76="","",(SUMIF(INTGRATE!$Y:$Y,data!D76,INTGRATE!$L:$L)+SUMIF(BRAN!$V:$V,data!D76,BRAN!$J:$J)))</f>
        <v>15750</v>
      </c>
      <c r="C76" s="572">
        <f t="shared" si="4"/>
        <v>0</v>
      </c>
      <c r="D76" s="573" t="str">
        <f>IFERROR(VLOOKUP(E76,Map!$B:$F,4,0),"")&amp;IFERROR(VLOOKUP(E76,Map!$B:$F,5,0),"")</f>
        <v>51125</v>
      </c>
      <c r="E76" s="574" t="str">
        <f t="shared" si="5"/>
        <v>21115110000125</v>
      </c>
      <c r="F76" s="428">
        <v>21115110000125</v>
      </c>
      <c r="G76" t="s">
        <v>2113</v>
      </c>
      <c r="H76" t="s">
        <v>17</v>
      </c>
      <c r="I76">
        <v>25</v>
      </c>
      <c r="J76" s="14">
        <v>630</v>
      </c>
      <c r="K76" s="442">
        <v>15750</v>
      </c>
      <c r="L76" s="14">
        <v>189472500</v>
      </c>
      <c r="M76" s="564"/>
    </row>
    <row r="77" spans="2:13">
      <c r="B77" s="571">
        <f>IF(F77="","",(SUMIF(INTGRATE!$Y:$Y,data!D77,INTGRATE!$L:$L)+SUMIF(BRAN!$V:$V,data!D77,BRAN!$J:$J)))</f>
        <v>10000</v>
      </c>
      <c r="C77" s="572">
        <f t="shared" si="4"/>
        <v>0</v>
      </c>
      <c r="D77" s="573" t="str">
        <f>IFERROR(VLOOKUP(E77,Map!$B:$F,4,0),"")&amp;IFERROR(VLOOKUP(E77,Map!$B:$F,5,0),"")</f>
        <v>HT1225</v>
      </c>
      <c r="E77" s="574" t="str">
        <f t="shared" si="5"/>
        <v>21135520000125</v>
      </c>
      <c r="F77" s="428">
        <v>21135520000125</v>
      </c>
      <c r="G77" t="s">
        <v>2114</v>
      </c>
      <c r="H77" t="s">
        <v>17</v>
      </c>
      <c r="I77">
        <v>25</v>
      </c>
      <c r="J77" s="14">
        <v>400</v>
      </c>
      <c r="K77" s="442">
        <v>10000</v>
      </c>
      <c r="L77" s="14">
        <v>110900000</v>
      </c>
      <c r="M77" s="564"/>
    </row>
    <row r="78" spans="2:13">
      <c r="B78" s="571">
        <f>IF(F78="","",(SUMIF(INTGRATE!$Y:$Y,data!D78,INTGRATE!$L:$L)+SUMIF(BRAN!$V:$V,data!D78,BRAN!$J:$J)))</f>
        <v>5450</v>
      </c>
      <c r="C78" s="572">
        <f t="shared" si="4"/>
        <v>0</v>
      </c>
      <c r="D78" s="573" t="str">
        <f>IFERROR(VLOOKUP(E78,Map!$B:$F,4,0),"")&amp;IFERROR(VLOOKUP(E78,Map!$B:$F,5,0),"")</f>
        <v>HT12Ssilo</v>
      </c>
      <c r="E78" s="574" t="str">
        <f t="shared" si="5"/>
        <v>21135521900100</v>
      </c>
      <c r="F78" s="428">
        <v>21135521900100</v>
      </c>
      <c r="G78" t="s">
        <v>1851</v>
      </c>
      <c r="H78" t="s">
        <v>17</v>
      </c>
      <c r="I78">
        <v>0</v>
      </c>
      <c r="J78" s="14">
        <v>0</v>
      </c>
      <c r="K78" s="442">
        <v>5450</v>
      </c>
      <c r="L78" s="14">
        <v>65836000</v>
      </c>
      <c r="M78" s="564"/>
    </row>
    <row r="79" spans="2:13">
      <c r="B79" s="571">
        <f>IF(F79="","",(SUMIF(INTGRATE!$Y:$Y,data!D79,INTGRATE!$L:$L)+SUMIF(BRAN!$V:$V,data!D79,BRAN!$J:$J)))</f>
        <v>24800</v>
      </c>
      <c r="C79" s="572">
        <f t="shared" si="4"/>
        <v>0</v>
      </c>
      <c r="D79" s="573" t="str">
        <f>IFERROR(VLOOKUP(E79,Map!$B:$F,4,0),"")&amp;IFERROR(VLOOKUP(E79,Map!$B:$F,5,0),"")</f>
        <v>540F50</v>
      </c>
      <c r="E79" s="574" t="str">
        <f t="shared" si="5"/>
        <v>21115400000250</v>
      </c>
      <c r="F79" s="428">
        <v>21115400000250</v>
      </c>
      <c r="G79" t="s">
        <v>2115</v>
      </c>
      <c r="H79" t="s">
        <v>17</v>
      </c>
      <c r="I79">
        <v>50</v>
      </c>
      <c r="J79" s="14">
        <v>496</v>
      </c>
      <c r="K79" s="442">
        <v>24800</v>
      </c>
      <c r="L79" s="14">
        <v>221712000</v>
      </c>
      <c r="M79" s="564"/>
    </row>
    <row r="80" spans="2:13">
      <c r="B80" s="571"/>
      <c r="C80" s="572"/>
      <c r="D80" s="573" t="str">
        <f>IFERROR(VLOOKUP(E80,Map!$B:$F,4,0),"")&amp;IFERROR(VLOOKUP(E80,Map!$B:$F,5,0),"")</f>
        <v>567SF50</v>
      </c>
      <c r="E80" s="574" t="str">
        <f t="shared" si="5"/>
        <v>21115671900250</v>
      </c>
      <c r="F80" s="428">
        <v>21115671900250</v>
      </c>
      <c r="G80" t="s">
        <v>2116</v>
      </c>
      <c r="H80" t="s">
        <v>17</v>
      </c>
      <c r="I80">
        <v>50</v>
      </c>
      <c r="J80" s="14">
        <v>727</v>
      </c>
      <c r="K80" s="442">
        <v>36350</v>
      </c>
      <c r="L80" s="14">
        <v>366771500</v>
      </c>
      <c r="M80" s="564"/>
    </row>
    <row r="81" spans="2:13">
      <c r="B81" s="571">
        <f>IF(F81="","",(SUMIF(INTGRATE!$Y:$Y,data!D81,INTGRATE!$L:$L)+SUMIF(BRAN!$V:$V,data!D81,BRAN!$J:$J)))</f>
        <v>88220</v>
      </c>
      <c r="C81" s="572">
        <f>IF(F81="","",B81-K81)</f>
        <v>0</v>
      </c>
      <c r="D81" s="573" t="str">
        <f>IFERROR(VLOOKUP(E81,Map!$B:$F,4,0),"")&amp;IFERROR(VLOOKUP(E81,Map!$B:$F,5,0),"")</f>
        <v>567SFSilo</v>
      </c>
      <c r="E81" s="574" t="str">
        <f t="shared" si="5"/>
        <v>21115671900300</v>
      </c>
      <c r="F81" s="640">
        <v>21115671900300</v>
      </c>
      <c r="G81" s="576" t="s">
        <v>2117</v>
      </c>
      <c r="H81" s="576" t="s">
        <v>17</v>
      </c>
      <c r="I81" s="576">
        <v>0</v>
      </c>
      <c r="J81" s="580">
        <v>0</v>
      </c>
      <c r="K81" s="580">
        <v>88220</v>
      </c>
      <c r="L81" s="580">
        <v>879553400</v>
      </c>
      <c r="M81" s="564"/>
    </row>
    <row r="82" spans="2:13">
      <c r="B82" s="571">
        <f>IF(F82="","",(SUMIF(INTGRATE!$Y:$Y,data!D82,INTGRATE!$L:$L)+SUMIF(BRAN!$V:$V,data!D82,BRAN!$J:$J)))</f>
        <v>2250</v>
      </c>
      <c r="C82" s="572">
        <f>IF(F82="","",B82-K82)</f>
        <v>0</v>
      </c>
      <c r="D82" s="573" t="str">
        <f>IFERROR(VLOOKUP(E82,Map!$B:$F,4,0),"")&amp;IFERROR(VLOOKUP(E82,Map!$B:$F,5,0),"")</f>
        <v>551FS2550</v>
      </c>
      <c r="E82" s="574" t="str">
        <f t="shared" si="5"/>
        <v>21115510099250S25</v>
      </c>
      <c r="F82" s="640">
        <v>21115510099250</v>
      </c>
      <c r="G82" s="576" t="s">
        <v>1591</v>
      </c>
      <c r="H82" s="576" t="s">
        <v>2089</v>
      </c>
      <c r="I82" s="576">
        <v>50</v>
      </c>
      <c r="J82" s="580">
        <v>45</v>
      </c>
      <c r="K82" s="580">
        <v>2250</v>
      </c>
      <c r="L82" s="580">
        <v>29565000</v>
      </c>
      <c r="M82" s="564"/>
    </row>
    <row r="83" spans="2:13">
      <c r="B83" s="571">
        <f>IF(F83="","",(SUMIF(INTGRATE!$Y:$Y,data!D83,INTGRATE!$L:$L)+SUMIF(BRAN!$V:$V,data!D83,BRAN!$J:$J)))</f>
        <v>4000</v>
      </c>
      <c r="C83" s="572">
        <f>IF(F83="","",B83-K83)</f>
        <v>0</v>
      </c>
      <c r="D83" s="573" t="str">
        <f>IFERROR(VLOOKUP(E83,Map!$B:$F,4,0),"")&amp;IFERROR(VLOOKUP(E83,Map!$B:$F,5,0),"")</f>
        <v>695225</v>
      </c>
      <c r="E83" s="574" t="str">
        <f t="shared" si="5"/>
        <v>21165520000125</v>
      </c>
      <c r="F83" s="774">
        <v>21165520000125</v>
      </c>
      <c r="G83" s="575" t="s">
        <v>1734</v>
      </c>
      <c r="H83" s="575" t="s">
        <v>17</v>
      </c>
      <c r="I83" s="575">
        <v>25</v>
      </c>
      <c r="J83" s="578">
        <v>160</v>
      </c>
      <c r="K83" s="578">
        <v>4000</v>
      </c>
      <c r="L83" s="578">
        <v>40000000</v>
      </c>
      <c r="M83" s="564"/>
    </row>
    <row r="84" spans="2:13">
      <c r="B84" s="571">
        <f>IF(F84="","",(SUMIF(INTGRATE!$Y:$Y,data!D84,INTGRATE!$L:$L)+SUMIF(BRAN!$V:$V,data!D84,BRAN!$J:$J)))</f>
        <v>20100</v>
      </c>
      <c r="C84" s="572">
        <f t="shared" ref="C84:C94" si="6">IF(F84="","",B84-K84)</f>
        <v>0</v>
      </c>
      <c r="D84" s="573" t="str">
        <f>IFERROR(VLOOKUP(E84,Map!$B:$F,4,0),"")&amp;IFERROR(VLOOKUP(E84,Map!$B:$F,5,0),"")</f>
        <v>511B25</v>
      </c>
      <c r="E84" s="574" t="str">
        <f t="shared" ref="E84:E95" si="7">IF(MID(F84,10,2)="99",F84&amp;H84,LEFT(F84,14))</f>
        <v>21115110200125</v>
      </c>
      <c r="F84" s="773">
        <v>21115110200125</v>
      </c>
      <c r="G84" s="554" t="s">
        <v>2118</v>
      </c>
      <c r="H84" s="369" t="s">
        <v>17</v>
      </c>
      <c r="I84" s="369">
        <v>25</v>
      </c>
      <c r="J84" s="612">
        <v>804</v>
      </c>
      <c r="K84" s="625">
        <v>20100</v>
      </c>
      <c r="L84" s="554">
        <v>239793000</v>
      </c>
      <c r="M84" s="564"/>
    </row>
    <row r="85" spans="2:13">
      <c r="B85" s="571">
        <f>IF(F85="","",(SUMIF(INTGRATE!$Y:$Y,data!D85,INTGRATE!$L:$L)+SUMIF(BRAN!$V:$V,data!D85,BRAN!$J:$J)))</f>
        <v>5950</v>
      </c>
      <c r="C85" s="572">
        <f t="shared" si="6"/>
        <v>0</v>
      </c>
      <c r="D85" s="573" t="str">
        <f>IFERROR(VLOOKUP(E85,Map!$B:$F,4,0),"")&amp;IFERROR(VLOOKUP(E85,Map!$B:$F,5,0),"")</f>
        <v>511M25</v>
      </c>
      <c r="E85" s="574" t="str">
        <f t="shared" si="7"/>
        <v>21115111300125</v>
      </c>
      <c r="F85" s="640">
        <v>21115111300125</v>
      </c>
      <c r="G85" s="576" t="s">
        <v>2119</v>
      </c>
      <c r="H85" s="576" t="s">
        <v>17</v>
      </c>
      <c r="I85" s="576">
        <v>25</v>
      </c>
      <c r="J85" s="580">
        <v>238</v>
      </c>
      <c r="K85" s="580">
        <v>5950</v>
      </c>
      <c r="L85" s="580">
        <v>68127500</v>
      </c>
      <c r="M85" s="564"/>
    </row>
    <row r="86" spans="2:13">
      <c r="B86" s="571">
        <f>IF(F86="","",(SUMIF(INTGRATE!$Y:$Y,data!D86,INTGRATE!$L:$L)+SUMIF(BRAN!$V:$V,data!D86,BRAN!$J:$J)))</f>
        <v>625</v>
      </c>
      <c r="C86" s="572">
        <f t="shared" si="6"/>
        <v>0</v>
      </c>
      <c r="D86" s="573" t="str">
        <f>IFERROR(VLOOKUP(E86,Map!$B:$F,4,0),"")&amp;IFERROR(VLOOKUP(E86,Map!$B:$F,5,0),"")</f>
        <v>551 (5*5)25</v>
      </c>
      <c r="E86" s="574" t="str">
        <f t="shared" si="7"/>
        <v>21115510000425</v>
      </c>
      <c r="F86" s="774">
        <v>21115510000425</v>
      </c>
      <c r="G86" s="563" t="s">
        <v>2120</v>
      </c>
      <c r="H86" s="575" t="s">
        <v>17</v>
      </c>
      <c r="I86" s="575">
        <v>25</v>
      </c>
      <c r="J86" s="578">
        <v>25</v>
      </c>
      <c r="K86" s="578">
        <v>625</v>
      </c>
      <c r="L86" s="578">
        <v>10637500</v>
      </c>
      <c r="M86" s="564"/>
    </row>
    <row r="87" spans="2:13">
      <c r="B87" s="571">
        <f>IF(F87="","",(SUMIF(INTGRATE!$Y:$Y,data!D87,INTGRATE!$L:$L)+SUMIF(BRAN!$V:$V,data!D87,BRAN!$J:$J)))</f>
        <v>9225</v>
      </c>
      <c r="C87" s="572">
        <f t="shared" si="6"/>
        <v>0</v>
      </c>
      <c r="D87" s="573" t="str">
        <f>IFERROR(VLOOKUP(E87,Map!$B:$F,4,0),"")&amp;IFERROR(VLOOKUP(E87,Map!$B:$F,5,0),"")</f>
        <v>552M25</v>
      </c>
      <c r="E87" s="574" t="str">
        <f t="shared" si="7"/>
        <v>21115521300125</v>
      </c>
      <c r="F87" s="640">
        <v>21115521300125</v>
      </c>
      <c r="G87" s="576" t="s">
        <v>2121</v>
      </c>
      <c r="H87" s="576" t="s">
        <v>17</v>
      </c>
      <c r="I87" s="576">
        <v>25</v>
      </c>
      <c r="J87" s="580">
        <v>369</v>
      </c>
      <c r="K87" s="580">
        <v>9225</v>
      </c>
      <c r="L87" s="580">
        <v>99205500</v>
      </c>
      <c r="M87" s="564"/>
    </row>
    <row r="88" spans="2:13">
      <c r="B88" s="571">
        <f>IF(F88="","",(SUMIF(INTGRATE!$Y:$Y,data!D88,INTGRATE!$L:$L)+SUMIF(BRAN!$V:$V,data!D88,BRAN!$J:$J)))</f>
        <v>11725</v>
      </c>
      <c r="C88" s="572">
        <f t="shared" si="6"/>
        <v>0</v>
      </c>
      <c r="D88" s="573" t="str">
        <f>IFERROR(VLOOKUP(E88,Map!$B:$F,4,0),"")&amp;IFERROR(VLOOKUP(E88,Map!$B:$F,5,0),"")</f>
        <v>VT1225</v>
      </c>
      <c r="E88" s="574" t="str">
        <f t="shared" si="7"/>
        <v>21135400000125</v>
      </c>
      <c r="F88" s="774">
        <v>21135400000125</v>
      </c>
      <c r="G88" s="563" t="s">
        <v>2122</v>
      </c>
      <c r="H88" s="575" t="s">
        <v>17</v>
      </c>
      <c r="I88" s="575">
        <v>25</v>
      </c>
      <c r="J88" s="578">
        <v>469</v>
      </c>
      <c r="K88" s="578">
        <v>11725</v>
      </c>
      <c r="L88" s="578">
        <v>130382000</v>
      </c>
      <c r="M88" s="564"/>
    </row>
    <row r="89" spans="2:13">
      <c r="B89" s="571">
        <f>IF(F89="","",(SUMIF(INTGRATE!$Y:$Y,data!D89,INTGRATE!$L:$L)+SUMIF(BRAN!$V:$V,data!D89,BRAN!$J:$J)))</f>
        <v>3450</v>
      </c>
      <c r="C89" s="572">
        <f t="shared" si="6"/>
        <v>0</v>
      </c>
      <c r="D89" s="573" t="str">
        <f>IFERROR(VLOOKUP(E89,Map!$B:$F,4,0),"")&amp;IFERROR(VLOOKUP(E89,Map!$B:$F,5,0),"")</f>
        <v>96625</v>
      </c>
      <c r="E89" s="574" t="str">
        <f t="shared" si="7"/>
        <v>21125660000125</v>
      </c>
      <c r="F89" s="640">
        <v>21125660000125</v>
      </c>
      <c r="G89" s="576" t="s">
        <v>2123</v>
      </c>
      <c r="H89" s="576" t="s">
        <v>17</v>
      </c>
      <c r="I89" s="576">
        <v>25</v>
      </c>
      <c r="J89" s="580">
        <v>138</v>
      </c>
      <c r="K89" s="580">
        <v>3450</v>
      </c>
      <c r="L89" s="580">
        <v>36673500</v>
      </c>
      <c r="M89" s="564"/>
    </row>
    <row r="90" spans="2:13">
      <c r="B90" s="571">
        <f>IF(F90="","",(SUMIF(INTGRATE!$Y:$Y,data!D90,INTGRATE!$L:$L)+SUMIF(BRAN!$V:$V,data!D90,BRAN!$J:$J)))</f>
        <v>750</v>
      </c>
      <c r="C90" s="572">
        <f t="shared" si="6"/>
        <v>0</v>
      </c>
      <c r="D90" s="573" t="str">
        <f>IFERROR(VLOOKUP(E90,Map!$B:$F,4,0),"")&amp;IFERROR(VLOOKUP(E90,Map!$B:$F,5,0),"")</f>
        <v>95125</v>
      </c>
      <c r="E90" s="574" t="str">
        <f t="shared" si="7"/>
        <v>21125510000125</v>
      </c>
      <c r="F90" s="640">
        <v>21125510000125</v>
      </c>
      <c r="G90" s="576" t="s">
        <v>2124</v>
      </c>
      <c r="H90" s="576" t="s">
        <v>17</v>
      </c>
      <c r="I90" s="576">
        <v>25</v>
      </c>
      <c r="J90" s="580">
        <v>30</v>
      </c>
      <c r="K90" s="580">
        <v>750</v>
      </c>
      <c r="L90" s="580">
        <v>12615000</v>
      </c>
      <c r="M90" s="564"/>
    </row>
    <row r="91" spans="2:13">
      <c r="B91" s="571">
        <f>IF(F91="","",(SUMIF(INTGRATE!$Y:$Y,data!D91,INTGRATE!$L:$L)+SUMIF(BRAN!$V:$V,data!D91,BRAN!$J:$J)))</f>
        <v>2825</v>
      </c>
      <c r="C91" s="572">
        <f t="shared" si="6"/>
        <v>0</v>
      </c>
      <c r="D91" s="573" t="str">
        <f>IFERROR(VLOOKUP(E91,Map!$B:$F,4,0),"")&amp;IFERROR(VLOOKUP(E91,Map!$B:$F,5,0),"")</f>
        <v>552SPro25</v>
      </c>
      <c r="E91" s="574" t="str">
        <f t="shared" si="7"/>
        <v>21115521916125</v>
      </c>
      <c r="F91" s="640">
        <v>21115521916125</v>
      </c>
      <c r="G91" s="576" t="s">
        <v>1726</v>
      </c>
      <c r="H91" s="576" t="s">
        <v>17</v>
      </c>
      <c r="I91" s="576">
        <v>25</v>
      </c>
      <c r="J91" s="580">
        <v>113</v>
      </c>
      <c r="K91" s="580">
        <v>2825</v>
      </c>
      <c r="L91" s="580">
        <v>35595000</v>
      </c>
      <c r="M91" s="564"/>
    </row>
    <row r="92" spans="2:13">
      <c r="B92" s="571">
        <f>IF(F92="","",(SUMIF(INTGRATE!$Y:$Y,data!D92,INTGRATE!$L:$L)+SUMIF(BRAN!$V:$V,data!D92,BRAN!$J:$J)))</f>
        <v>200</v>
      </c>
      <c r="C92" s="572">
        <f t="shared" si="6"/>
        <v>0</v>
      </c>
      <c r="D92" s="573" t="str">
        <f>IFERROR(VLOOKUP(E92,Map!$B:$F,4,0),"")&amp;IFERROR(VLOOKUP(E92,Map!$B:$F,5,0),"")</f>
        <v>30225</v>
      </c>
      <c r="E92" s="574" t="str">
        <f t="shared" si="7"/>
        <v>21113020000125</v>
      </c>
      <c r="F92" s="774">
        <v>21113020000125</v>
      </c>
      <c r="G92" s="563" t="s">
        <v>2125</v>
      </c>
      <c r="H92" s="575" t="s">
        <v>17</v>
      </c>
      <c r="I92" s="575">
        <v>25</v>
      </c>
      <c r="J92" s="579">
        <v>8</v>
      </c>
      <c r="K92" s="578">
        <v>200</v>
      </c>
      <c r="L92" s="578">
        <v>2120000</v>
      </c>
      <c r="M92" s="564"/>
    </row>
    <row r="93" spans="2:13">
      <c r="B93" s="571">
        <f>IF(F93="","",(SUMIF(INTGRATE!$Y:$Y,data!D93,INTGRATE!$L:$L)+SUMIF(BRAN!$V:$V,data!D93,BRAN!$J:$J)))</f>
        <v>1750</v>
      </c>
      <c r="C93" s="572">
        <f t="shared" si="6"/>
        <v>0</v>
      </c>
      <c r="D93" s="573" t="str">
        <f>IFERROR(VLOOKUP(E93,Map!$B:$F,4,0),"")&amp;IFERROR(VLOOKUP(E93,Map!$B:$F,5,0),"")</f>
        <v>699525</v>
      </c>
      <c r="E93" s="574" t="str">
        <f t="shared" si="7"/>
        <v>21165950000125</v>
      </c>
      <c r="F93" s="774">
        <v>21165950000125</v>
      </c>
      <c r="G93" s="576" t="s">
        <v>1790</v>
      </c>
      <c r="H93" s="576" t="s">
        <v>17</v>
      </c>
      <c r="I93" s="576">
        <v>25</v>
      </c>
      <c r="J93" s="581">
        <v>70</v>
      </c>
      <c r="K93" s="580">
        <v>1750</v>
      </c>
      <c r="L93" s="580">
        <v>13930000</v>
      </c>
      <c r="M93" s="564"/>
    </row>
    <row r="94" spans="2:13">
      <c r="B94" s="571">
        <f>IF(F94="","",(SUMIF(INTGRATE!$Y:$Y,data!D94,INTGRATE!$L:$L)+SUMIF(BRAN!$V:$V,data!D94,BRAN!$J:$J)))</f>
        <v>6750</v>
      </c>
      <c r="C94" s="572">
        <f t="shared" si="6"/>
        <v>0</v>
      </c>
      <c r="D94" s="573" t="str">
        <f>IFERROR(VLOOKUP(E94,Map!$B:$F,4,0),"")&amp;IFERROR(VLOOKUP(E94,Map!$B:$F,5,0),"")</f>
        <v>94925</v>
      </c>
      <c r="E94" s="574" t="str">
        <f t="shared" si="7"/>
        <v>21125490000125</v>
      </c>
      <c r="F94" s="640">
        <v>21125490000125</v>
      </c>
      <c r="G94" s="576" t="s">
        <v>1659</v>
      </c>
      <c r="H94" s="576" t="s">
        <v>17</v>
      </c>
      <c r="I94" s="576">
        <v>25</v>
      </c>
      <c r="J94" s="581">
        <v>270</v>
      </c>
      <c r="K94" s="580">
        <v>6750</v>
      </c>
      <c r="L94" s="580">
        <v>75330000</v>
      </c>
      <c r="M94" s="564"/>
    </row>
    <row r="95" spans="2:13">
      <c r="B95" s="571">
        <f>IF(F95="","",(SUMIF(INTGRATE!$Y:$Y,data!D95,INTGRATE!$L:$L)+SUMIF(BRAN!$V:$V,data!D95,BRAN!$J:$J)))</f>
        <v>3750</v>
      </c>
      <c r="C95" s="572">
        <f t="shared" ref="C95:C104" si="8">IF(F95="","",B95-K95)</f>
        <v>0</v>
      </c>
      <c r="D95" s="573" t="str">
        <f>IFERROR(VLOOKUP(E95,Map!$B:$F,4,0),"")&amp;IFERROR(VLOOKUP(E95,Map!$B:$F,5,0),"")</f>
        <v>521SPro25</v>
      </c>
      <c r="E95" s="574" t="str">
        <f t="shared" si="7"/>
        <v>21115211916125</v>
      </c>
      <c r="F95" s="774">
        <v>21115211916125</v>
      </c>
      <c r="G95" s="563" t="s">
        <v>1907</v>
      </c>
      <c r="H95" s="575" t="s">
        <v>17</v>
      </c>
      <c r="I95" s="575">
        <v>25</v>
      </c>
      <c r="J95" s="578">
        <v>150</v>
      </c>
      <c r="K95" s="578">
        <v>3750</v>
      </c>
      <c r="L95" s="578">
        <v>44700000</v>
      </c>
      <c r="M95" s="564"/>
    </row>
    <row r="96" spans="2:13">
      <c r="B96" s="571">
        <f>IF(F96="","",(SUMIF(INTGRATE!$Y:$Y,data!D96,INTGRATE!$L:$L)+SUMIF(BRAN!$V:$V,data!D96,BRAN!$J:$J)))</f>
        <v>3475</v>
      </c>
      <c r="C96" s="572">
        <f t="shared" si="8"/>
        <v>0</v>
      </c>
      <c r="D96" s="573" t="str">
        <f>IFERROR(VLOOKUP(E96,Map!$B:$F,4,0),"")&amp;IFERROR(VLOOKUP(E96,Map!$B:$F,5,0),"")</f>
        <v>692425</v>
      </c>
      <c r="E96" s="574" t="str">
        <f t="shared" ref="E96:E104" si="9">IF(MID(F96,10,2)="99",F96&amp;H96,LEFT(F96,14))</f>
        <v>21165240000125</v>
      </c>
      <c r="F96" s="640">
        <v>21165240000125</v>
      </c>
      <c r="G96" s="576" t="s">
        <v>1800</v>
      </c>
      <c r="H96" s="576" t="s">
        <v>17</v>
      </c>
      <c r="I96" s="576">
        <v>25</v>
      </c>
      <c r="J96" s="580">
        <v>139</v>
      </c>
      <c r="K96" s="580">
        <v>3475</v>
      </c>
      <c r="L96" s="580">
        <v>34715250</v>
      </c>
      <c r="M96" s="564"/>
    </row>
    <row r="97" spans="2:13">
      <c r="B97" s="571">
        <f>IF(F97="","",(SUMIF(INTGRATE!$Y:$Y,data!D97,INTGRATE!$L:$L)+SUMIF(BRAN!$V:$V,data!D97,BRAN!$J:$J)))</f>
        <v>625</v>
      </c>
      <c r="C97" s="572">
        <f t="shared" si="8"/>
        <v>0</v>
      </c>
      <c r="D97" s="573" t="str">
        <f>IFERROR(VLOOKUP(E97,Map!$B:$F,4,0),"")&amp;IFERROR(VLOOKUP(E97,Map!$B:$F,5,0),"")</f>
        <v>699125</v>
      </c>
      <c r="E97" s="574" t="str">
        <f t="shared" si="9"/>
        <v>21165910000125</v>
      </c>
      <c r="F97" s="640">
        <v>21165910000125</v>
      </c>
      <c r="G97" s="576" t="s">
        <v>1732</v>
      </c>
      <c r="H97" s="576" t="s">
        <v>17</v>
      </c>
      <c r="I97" s="576">
        <v>25</v>
      </c>
      <c r="J97" s="580">
        <v>25</v>
      </c>
      <c r="K97" s="580">
        <v>625</v>
      </c>
      <c r="L97" s="580">
        <v>6175000</v>
      </c>
      <c r="M97" s="564"/>
    </row>
    <row r="98" spans="2:13">
      <c r="B98" s="571">
        <f>IF(F98="","",(SUMIF(INTGRATE!$Y:$Y,data!D98,INTGRATE!$L:$L)+SUMIF(BRAN!$V:$V,data!D98,BRAN!$J:$J)))</f>
        <v>7430</v>
      </c>
      <c r="C98" s="572">
        <f t="shared" si="8"/>
        <v>0</v>
      </c>
      <c r="D98" s="573" t="str">
        <f>IFERROR(VLOOKUP(E98,Map!$B:$F,4,0),"")&amp;IFERROR(VLOOKUP(E98,Map!$B:$F,5,0),"")</f>
        <v>HT11SILO</v>
      </c>
      <c r="E98" s="574" t="str">
        <f t="shared" si="9"/>
        <v>21135510000100</v>
      </c>
      <c r="F98" s="640">
        <v>21135510000100</v>
      </c>
      <c r="G98" s="576" t="s">
        <v>1761</v>
      </c>
      <c r="H98" s="576" t="s">
        <v>17</v>
      </c>
      <c r="I98" s="576">
        <v>0</v>
      </c>
      <c r="J98" s="580">
        <v>0</v>
      </c>
      <c r="K98" s="580">
        <v>7430</v>
      </c>
      <c r="L98" s="580">
        <v>120366000</v>
      </c>
      <c r="M98" s="564"/>
    </row>
    <row r="99" spans="2:13">
      <c r="B99" s="571">
        <f>IF(F99="","",(SUMIF(INTGRATE!$Y:$Y,data!D99,INTGRATE!$L:$L)+SUMIF(BRAN!$V:$V,data!D99,BRAN!$J:$J)))</f>
        <v>85060</v>
      </c>
      <c r="C99" s="572">
        <f t="shared" si="8"/>
        <v>0</v>
      </c>
      <c r="D99" s="573" t="str">
        <f>IFERROR(VLOOKUP(E99,Map!$B:$F,4,0),"")&amp;IFERROR(VLOOKUP(E99,Map!$B:$F,5,0),"")</f>
        <v>552FSilo</v>
      </c>
      <c r="E99" s="574" t="str">
        <f t="shared" si="9"/>
        <v>21115520000300</v>
      </c>
      <c r="F99" s="640">
        <v>21115520000300</v>
      </c>
      <c r="G99" s="576" t="s">
        <v>1051</v>
      </c>
      <c r="H99" s="576" t="s">
        <v>17</v>
      </c>
      <c r="I99" s="576">
        <v>0</v>
      </c>
      <c r="J99" s="580">
        <v>0</v>
      </c>
      <c r="K99" s="580">
        <v>85060</v>
      </c>
      <c r="L99" s="580">
        <v>719607600</v>
      </c>
      <c r="M99" s="564"/>
    </row>
    <row r="100" spans="2:13">
      <c r="B100" s="571">
        <f>IF(F100="","",(SUMIF(INTGRATE!$Y:$Y,data!D100,INTGRATE!$L:$L)+SUMIF(BRAN!$V:$V,data!D100,BRAN!$J:$J)))</f>
        <v>204320</v>
      </c>
      <c r="C100" s="572">
        <f t="shared" si="8"/>
        <v>0</v>
      </c>
      <c r="D100" s="573" t="str">
        <f>IFERROR(VLOOKUP(E100,Map!$B:$F,4,0),"")&amp;IFERROR(VLOOKUP(E100,Map!$B:$F,5,0),"")</f>
        <v>552SFSilo</v>
      </c>
      <c r="E100" s="574" t="str">
        <f t="shared" si="9"/>
        <v>21115521900300</v>
      </c>
      <c r="F100" s="640">
        <v>21115521900300</v>
      </c>
      <c r="G100" s="576" t="s">
        <v>2126</v>
      </c>
      <c r="H100" s="576" t="s">
        <v>17</v>
      </c>
      <c r="I100" s="576">
        <v>0</v>
      </c>
      <c r="J100" s="580">
        <v>0</v>
      </c>
      <c r="K100" s="580">
        <v>204320</v>
      </c>
      <c r="L100" s="580">
        <v>1889960000</v>
      </c>
      <c r="M100" s="564"/>
    </row>
    <row r="101" spans="2:13">
      <c r="B101" s="571">
        <f>IF(F101="","",(SUMIF(INTGRATE!$Y:$Y,data!D101,INTGRATE!$L:$L)+SUMIF(BRAN!$V:$V,data!D101,BRAN!$J:$J)))</f>
        <v>3500</v>
      </c>
      <c r="C101" s="572">
        <f t="shared" si="8"/>
        <v>0</v>
      </c>
      <c r="D101" s="573" t="str">
        <f>IFERROR(VLOOKUP(E101,Map!$B:$F,4,0),"")&amp;IFERROR(VLOOKUP(E101,Map!$B:$F,5,0),"")</f>
        <v>550SFS2550</v>
      </c>
      <c r="E101" s="574" t="str">
        <f t="shared" si="9"/>
        <v>21115501999250S25</v>
      </c>
      <c r="F101" s="640">
        <v>21115501999250</v>
      </c>
      <c r="G101" s="576" t="s">
        <v>1979</v>
      </c>
      <c r="H101" s="576" t="s">
        <v>2089</v>
      </c>
      <c r="I101" s="576">
        <v>50</v>
      </c>
      <c r="J101" s="580">
        <v>70</v>
      </c>
      <c r="K101" s="580">
        <v>3500</v>
      </c>
      <c r="L101" s="580">
        <v>54985000</v>
      </c>
      <c r="M101" s="564"/>
    </row>
    <row r="102" spans="2:13">
      <c r="B102" s="571">
        <f>IF(F102="","",(SUMIF(INTGRATE!$Y:$Y,data!D102,INTGRATE!$L:$L)+SUMIF(BRAN!$V:$V,data!D102,BRAN!$J:$J)))</f>
        <v>85750</v>
      </c>
      <c r="C102" s="572">
        <f t="shared" si="8"/>
        <v>0</v>
      </c>
      <c r="D102" s="573" t="str">
        <f>IFERROR(VLOOKUP(E102,Map!$B:$F,4,0),"")&amp;IFERROR(VLOOKUP(E102,Map!$B:$F,5,0),"")</f>
        <v>550SFS3150</v>
      </c>
      <c r="E102" s="574" t="str">
        <f t="shared" si="9"/>
        <v>21115501999250S31</v>
      </c>
      <c r="F102" s="640">
        <v>21115501999250</v>
      </c>
      <c r="G102" s="576" t="s">
        <v>1979</v>
      </c>
      <c r="H102" s="576" t="s">
        <v>2090</v>
      </c>
      <c r="I102" s="576">
        <v>50</v>
      </c>
      <c r="J102" s="580">
        <v>1715</v>
      </c>
      <c r="K102" s="580">
        <v>85750</v>
      </c>
      <c r="L102" s="580">
        <v>1332555000</v>
      </c>
      <c r="M102" s="564"/>
    </row>
    <row r="103" spans="2:13">
      <c r="B103" s="571" t="str">
        <f>IF(F103="","",(SUMIF(INTGRATE!$Y:$Y,data!D103,INTGRATE!$L:$L)+SUMIF(BRAN!$V:$V,data!D103,BRAN!$J:$J)))</f>
        <v/>
      </c>
      <c r="C103" s="572" t="str">
        <f t="shared" si="8"/>
        <v/>
      </c>
      <c r="D103" s="573" t="str">
        <f>IFERROR(VLOOKUP(E103,Map!$B:$F,4,0),"")&amp;IFERROR(VLOOKUP(E103,Map!$B:$F,5,0),"")</f>
        <v/>
      </c>
      <c r="E103" s="574" t="str">
        <f>IF(MID(F103,10,2)="99",F103&amp;H103,LEFT(F103,14))</f>
        <v/>
      </c>
      <c r="I103" s="576"/>
      <c r="M103" s="564"/>
    </row>
    <row r="104" spans="2:13">
      <c r="B104" s="571" t="str">
        <f>IF(F104="","",(SUMIF(INTGRATE!$Y:$Y,data!D104,INTGRATE!$L:$L)+SUMIF(BRAN!$V:$V,data!D104,BRAN!$J:$J)))</f>
        <v/>
      </c>
      <c r="C104" s="572" t="str">
        <f t="shared" si="8"/>
        <v/>
      </c>
      <c r="D104" s="573" t="str">
        <f>IFERROR(VLOOKUP(E104,Map!$B:$F,4,0),"")&amp;IFERROR(VLOOKUP(E104,Map!$B:$F,5,0),"")</f>
        <v/>
      </c>
      <c r="E104" s="574" t="str">
        <f t="shared" si="9"/>
        <v/>
      </c>
      <c r="I104" s="576"/>
    </row>
    <row r="105" spans="2:13">
      <c r="B105" s="571" t="str">
        <f>IF(F105="","",(SUMIF(INTGRATE!$Y:$Y,data!D105,INTGRATE!$L:$L)+SUMIF(BRAN!$V:$V,data!D105,BRAN!$J:$J)))</f>
        <v/>
      </c>
      <c r="C105" s="572" t="str">
        <f t="shared" ref="C105:C126" si="10">IF(F105="","",B105-K105)</f>
        <v/>
      </c>
      <c r="D105" s="573" t="str">
        <f>IFERROR(VLOOKUP(E105,Map!$B:$F,4,0),"")&amp;IFERROR(VLOOKUP(E105,Map!$B:$F,5,0),"")</f>
        <v/>
      </c>
      <c r="E105" s="574" t="str">
        <f t="shared" ref="E105:E159" si="11">IF(MID(F105,10,2)="99",F105&amp;H105,LEFT(F105,14))</f>
        <v/>
      </c>
      <c r="I105" s="576"/>
    </row>
    <row r="106" spans="2:13">
      <c r="B106" s="571" t="str">
        <f>IF(F106="","",(SUMIF(INTGRATE!$Y:$Y,data!D106,INTGRATE!$L:$L)+SUMIF(BRAN!$V:$V,data!D106,BRAN!$J:$J)))</f>
        <v/>
      </c>
      <c r="C106" s="572" t="str">
        <f t="shared" si="10"/>
        <v/>
      </c>
      <c r="D106" s="573" t="str">
        <f>IFERROR(VLOOKUP(E106,Map!$B:$F,4,0),"")&amp;IFERROR(VLOOKUP(E106,Map!$B:$F,5,0),"")</f>
        <v/>
      </c>
      <c r="E106" s="574" t="str">
        <f t="shared" si="11"/>
        <v/>
      </c>
      <c r="I106" s="576"/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F39" sqref="F39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2127</v>
      </c>
      <c r="D1" s="369" t="s">
        <v>2128</v>
      </c>
      <c r="E1" s="369" t="s">
        <v>2129</v>
      </c>
      <c r="F1" s="369" t="s">
        <v>2130</v>
      </c>
      <c r="G1" s="369" t="s">
        <v>2131</v>
      </c>
      <c r="H1" s="369" t="s">
        <v>2132</v>
      </c>
      <c r="I1" s="369" t="s">
        <v>2133</v>
      </c>
      <c r="J1" s="369" t="s">
        <v>2132</v>
      </c>
      <c r="K1" s="369" t="s">
        <v>2133</v>
      </c>
      <c r="L1" s="369" t="s">
        <v>2132</v>
      </c>
      <c r="M1" s="369" t="s">
        <v>2133</v>
      </c>
      <c r="N1" s="369" t="s">
        <v>2132</v>
      </c>
      <c r="O1" s="369" t="s">
        <v>2133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385S25</v>
      </c>
      <c r="B2" s="412">
        <f t="shared" si="1"/>
        <v>25</v>
      </c>
      <c r="C2" s="369" t="s">
        <v>131</v>
      </c>
      <c r="D2" s="554">
        <v>25</v>
      </c>
      <c r="E2" s="369" t="s">
        <v>2134</v>
      </c>
      <c r="H2" s="625">
        <v>0</v>
      </c>
      <c r="I2" s="554">
        <v>0</v>
      </c>
      <c r="J2" s="625">
        <v>160</v>
      </c>
      <c r="K2" s="554">
        <v>4000</v>
      </c>
      <c r="L2" s="625">
        <v>0</v>
      </c>
      <c r="M2" s="554">
        <v>0</v>
      </c>
      <c r="N2" s="625">
        <v>160</v>
      </c>
      <c r="O2" s="554">
        <v>4000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51025</v>
      </c>
      <c r="B3" s="412">
        <f t="shared" si="1"/>
        <v>25</v>
      </c>
      <c r="C3" s="369" t="s">
        <v>2135</v>
      </c>
      <c r="D3" s="554">
        <v>25</v>
      </c>
      <c r="E3" s="369" t="s">
        <v>2136</v>
      </c>
      <c r="H3" s="625">
        <v>123</v>
      </c>
      <c r="I3" s="554">
        <v>3075</v>
      </c>
      <c r="J3" s="625">
        <v>0</v>
      </c>
      <c r="K3" s="554">
        <v>0</v>
      </c>
      <c r="L3" s="625">
        <v>0</v>
      </c>
      <c r="M3" s="554">
        <v>0</v>
      </c>
      <c r="N3" s="625">
        <v>123</v>
      </c>
      <c r="O3" s="554">
        <v>3075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510M25</v>
      </c>
      <c r="B4" s="412">
        <f t="shared" si="1"/>
        <v>25</v>
      </c>
      <c r="C4" s="369" t="s">
        <v>134</v>
      </c>
      <c r="D4" s="554">
        <v>25</v>
      </c>
      <c r="E4" s="369" t="s">
        <v>2137</v>
      </c>
      <c r="H4" s="625">
        <v>0</v>
      </c>
      <c r="I4" s="554">
        <v>0</v>
      </c>
      <c r="J4" s="625">
        <v>617</v>
      </c>
      <c r="K4" s="554">
        <v>15425</v>
      </c>
      <c r="L4" s="625">
        <v>0</v>
      </c>
      <c r="M4" s="554">
        <v>0</v>
      </c>
      <c r="N4" s="625">
        <v>617</v>
      </c>
      <c r="O4" s="554">
        <v>15425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511B25</v>
      </c>
      <c r="B5" s="412">
        <f t="shared" si="1"/>
        <v>25</v>
      </c>
      <c r="C5" s="369" t="s">
        <v>139</v>
      </c>
      <c r="D5" s="554">
        <v>25</v>
      </c>
      <c r="E5" s="369" t="s">
        <v>2138</v>
      </c>
      <c r="H5" s="625">
        <v>1210</v>
      </c>
      <c r="I5" s="554">
        <v>30250</v>
      </c>
      <c r="J5" s="625">
        <v>1923</v>
      </c>
      <c r="K5" s="554">
        <v>48075</v>
      </c>
      <c r="L5" s="625">
        <v>0</v>
      </c>
      <c r="M5" s="554">
        <v>0</v>
      </c>
      <c r="N5" s="625">
        <v>3133</v>
      </c>
      <c r="O5" s="554">
        <v>78325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511ANFP9250</v>
      </c>
      <c r="B6" s="412">
        <f t="shared" si="1"/>
        <v>50</v>
      </c>
      <c r="C6" s="369" t="s">
        <v>282</v>
      </c>
      <c r="D6" s="554">
        <v>50</v>
      </c>
      <c r="E6" s="369" t="s">
        <v>2139</v>
      </c>
      <c r="F6" s="369" t="s">
        <v>2076</v>
      </c>
      <c r="H6" s="625">
        <v>622</v>
      </c>
      <c r="I6" s="554">
        <v>31100</v>
      </c>
      <c r="J6" s="625">
        <v>0</v>
      </c>
      <c r="K6" s="554">
        <v>0</v>
      </c>
      <c r="L6" s="625">
        <v>0</v>
      </c>
      <c r="M6" s="554">
        <v>0</v>
      </c>
      <c r="N6" s="625">
        <v>622</v>
      </c>
      <c r="O6" s="554">
        <v>31100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521SPro25</v>
      </c>
      <c r="B7" s="412">
        <f t="shared" si="1"/>
        <v>25</v>
      </c>
      <c r="C7" s="369" t="s">
        <v>52</v>
      </c>
      <c r="D7" s="554">
        <v>25</v>
      </c>
      <c r="E7" s="369" t="s">
        <v>2140</v>
      </c>
      <c r="H7" s="625">
        <v>220</v>
      </c>
      <c r="I7" s="554">
        <v>5500</v>
      </c>
      <c r="J7" s="625">
        <v>42</v>
      </c>
      <c r="K7" s="554">
        <v>1050</v>
      </c>
      <c r="L7" s="625">
        <v>0</v>
      </c>
      <c r="M7" s="554">
        <v>0</v>
      </c>
      <c r="N7" s="625">
        <v>262</v>
      </c>
      <c r="O7" s="554">
        <v>6550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54825</v>
      </c>
      <c r="B8" s="412">
        <f t="shared" si="1"/>
        <v>25</v>
      </c>
      <c r="C8" s="369" t="s">
        <v>2141</v>
      </c>
      <c r="D8" s="554">
        <v>25</v>
      </c>
      <c r="E8" s="369" t="s">
        <v>2142</v>
      </c>
      <c r="H8" s="625">
        <v>0</v>
      </c>
      <c r="I8" s="554">
        <v>0</v>
      </c>
      <c r="J8" s="625">
        <v>285</v>
      </c>
      <c r="K8" s="554">
        <v>7125</v>
      </c>
      <c r="L8" s="625">
        <v>0</v>
      </c>
      <c r="M8" s="554">
        <v>0</v>
      </c>
      <c r="N8" s="625">
        <v>285</v>
      </c>
      <c r="O8" s="554">
        <v>7125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550Pro25</v>
      </c>
      <c r="B9" s="412">
        <f t="shared" si="1"/>
        <v>25</v>
      </c>
      <c r="C9" s="369" t="s">
        <v>54</v>
      </c>
      <c r="D9" s="554">
        <v>25</v>
      </c>
      <c r="E9" s="369" t="s">
        <v>2143</v>
      </c>
      <c r="H9" s="625">
        <v>450</v>
      </c>
      <c r="I9" s="554">
        <v>11250</v>
      </c>
      <c r="J9" s="625">
        <v>0</v>
      </c>
      <c r="K9" s="554">
        <v>0</v>
      </c>
      <c r="L9" s="625">
        <v>605</v>
      </c>
      <c r="M9" s="554">
        <v>15125</v>
      </c>
      <c r="N9" s="625">
        <v>1055</v>
      </c>
      <c r="O9" s="554">
        <v>26375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550SFS2550</v>
      </c>
      <c r="B10" s="412">
        <f t="shared" si="1"/>
        <v>50</v>
      </c>
      <c r="C10" s="369" t="s">
        <v>344</v>
      </c>
      <c r="D10" s="554">
        <v>50</v>
      </c>
      <c r="E10" s="369" t="s">
        <v>1917</v>
      </c>
      <c r="F10" s="369" t="s">
        <v>2089</v>
      </c>
      <c r="H10" s="625">
        <v>0</v>
      </c>
      <c r="I10" s="554">
        <v>0</v>
      </c>
      <c r="J10" s="625">
        <v>0</v>
      </c>
      <c r="K10" s="554">
        <v>0</v>
      </c>
      <c r="L10" s="625">
        <v>1526</v>
      </c>
      <c r="M10" s="554">
        <v>76300</v>
      </c>
      <c r="N10" s="625">
        <v>1526</v>
      </c>
      <c r="O10" s="554">
        <v>76300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55125</v>
      </c>
      <c r="B11" s="412">
        <f t="shared" si="1"/>
        <v>25</v>
      </c>
      <c r="C11" s="369" t="s">
        <v>2144</v>
      </c>
      <c r="D11" s="554">
        <v>25</v>
      </c>
      <c r="E11" s="369" t="s">
        <v>2145</v>
      </c>
      <c r="H11" s="625">
        <v>133</v>
      </c>
      <c r="I11" s="554">
        <v>3325</v>
      </c>
      <c r="J11" s="625">
        <v>0</v>
      </c>
      <c r="K11" s="554">
        <v>0</v>
      </c>
      <c r="L11" s="625">
        <v>0</v>
      </c>
      <c r="M11" s="554">
        <v>0</v>
      </c>
      <c r="N11" s="625">
        <v>133</v>
      </c>
      <c r="O11" s="554">
        <v>3325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551GPFS1350</v>
      </c>
      <c r="B12" s="412">
        <f t="shared" si="1"/>
        <v>50</v>
      </c>
      <c r="C12" s="369" t="s">
        <v>368</v>
      </c>
      <c r="D12" s="554">
        <v>50</v>
      </c>
      <c r="E12" s="369" t="s">
        <v>1887</v>
      </c>
      <c r="F12" s="369" t="s">
        <v>2078</v>
      </c>
      <c r="H12" s="625">
        <v>0</v>
      </c>
      <c r="I12" s="554">
        <v>0</v>
      </c>
      <c r="J12" s="625">
        <v>0</v>
      </c>
      <c r="K12" s="554">
        <v>0</v>
      </c>
      <c r="L12" s="625">
        <v>1960</v>
      </c>
      <c r="M12" s="554">
        <v>98000</v>
      </c>
      <c r="N12" s="625">
        <v>1960</v>
      </c>
      <c r="O12" s="554">
        <v>98000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551GPFS3150</v>
      </c>
      <c r="B13" s="412">
        <f t="shared" si="1"/>
        <v>50</v>
      </c>
      <c r="C13" s="369" t="s">
        <v>368</v>
      </c>
      <c r="D13" s="554">
        <v>50</v>
      </c>
      <c r="E13" s="369" t="s">
        <v>1887</v>
      </c>
      <c r="F13" s="369" t="s">
        <v>2090</v>
      </c>
      <c r="H13" s="625">
        <v>0</v>
      </c>
      <c r="I13" s="554">
        <v>0</v>
      </c>
      <c r="J13" s="625">
        <v>0</v>
      </c>
      <c r="K13" s="554">
        <v>0</v>
      </c>
      <c r="L13" s="625">
        <v>540</v>
      </c>
      <c r="M13" s="554">
        <v>27000</v>
      </c>
      <c r="N13" s="625">
        <v>540</v>
      </c>
      <c r="O13" s="554">
        <v>27000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551GPFS5450</v>
      </c>
      <c r="B14" s="412">
        <f t="shared" si="1"/>
        <v>50</v>
      </c>
      <c r="C14" s="369" t="s">
        <v>368</v>
      </c>
      <c r="D14" s="554">
        <v>50</v>
      </c>
      <c r="E14" s="369" t="s">
        <v>1887</v>
      </c>
      <c r="F14" s="369" t="s">
        <v>2079</v>
      </c>
      <c r="H14" s="625">
        <v>0</v>
      </c>
      <c r="I14" s="554">
        <v>0</v>
      </c>
      <c r="J14" s="625">
        <v>0</v>
      </c>
      <c r="K14" s="554">
        <v>0</v>
      </c>
      <c r="L14" s="625">
        <v>98</v>
      </c>
      <c r="M14" s="554">
        <v>4900</v>
      </c>
      <c r="N14" s="625">
        <v>98</v>
      </c>
      <c r="O14" s="554">
        <v>4900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55225</v>
      </c>
      <c r="B15" s="412">
        <f t="shared" si="1"/>
        <v>25</v>
      </c>
      <c r="C15" s="369" t="s">
        <v>2146</v>
      </c>
      <c r="D15" s="554">
        <v>25</v>
      </c>
      <c r="E15" s="369" t="s">
        <v>2147</v>
      </c>
      <c r="H15" s="625">
        <v>1127</v>
      </c>
      <c r="I15" s="554">
        <v>28175</v>
      </c>
      <c r="J15" s="625">
        <v>0</v>
      </c>
      <c r="K15" s="554">
        <v>0</v>
      </c>
      <c r="L15" s="625">
        <v>1528</v>
      </c>
      <c r="M15" s="554">
        <v>38200</v>
      </c>
      <c r="N15" s="625">
        <v>2655</v>
      </c>
      <c r="O15" s="554">
        <v>66375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552F50</v>
      </c>
      <c r="B16" s="412">
        <f t="shared" si="1"/>
        <v>50</v>
      </c>
      <c r="C16" s="369" t="s">
        <v>382</v>
      </c>
      <c r="D16" s="554">
        <v>50</v>
      </c>
      <c r="E16" s="369" t="s">
        <v>2148</v>
      </c>
      <c r="H16" s="625">
        <v>2496</v>
      </c>
      <c r="I16" s="554">
        <v>124800</v>
      </c>
      <c r="J16" s="625">
        <v>2194</v>
      </c>
      <c r="K16" s="554">
        <v>109700</v>
      </c>
      <c r="L16" s="625">
        <v>2117</v>
      </c>
      <c r="M16" s="554">
        <v>105850</v>
      </c>
      <c r="N16" s="625">
        <v>6807</v>
      </c>
      <c r="O16" s="554">
        <v>340350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552S25</v>
      </c>
      <c r="B17" s="412">
        <f t="shared" si="1"/>
        <v>25</v>
      </c>
      <c r="C17" s="369" t="s">
        <v>164</v>
      </c>
      <c r="D17" s="554">
        <v>25</v>
      </c>
      <c r="E17" s="369" t="s">
        <v>2149</v>
      </c>
      <c r="H17" s="625">
        <v>236</v>
      </c>
      <c r="I17" s="554">
        <v>5900</v>
      </c>
      <c r="J17" s="625">
        <v>555</v>
      </c>
      <c r="K17" s="554">
        <v>13875</v>
      </c>
      <c r="L17" s="625">
        <v>0</v>
      </c>
      <c r="M17" s="554">
        <v>0</v>
      </c>
      <c r="N17" s="625">
        <v>791</v>
      </c>
      <c r="O17" s="554">
        <v>19775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552SF50</v>
      </c>
      <c r="B18" s="412">
        <f t="shared" si="1"/>
        <v>50</v>
      </c>
      <c r="C18" s="369" t="s">
        <v>393</v>
      </c>
      <c r="D18" s="554">
        <v>50</v>
      </c>
      <c r="E18" s="369" t="s">
        <v>2150</v>
      </c>
      <c r="H18" s="625">
        <v>0</v>
      </c>
      <c r="I18" s="554">
        <v>0</v>
      </c>
      <c r="J18" s="625">
        <v>2538</v>
      </c>
      <c r="K18" s="554">
        <v>126900</v>
      </c>
      <c r="L18" s="625">
        <v>4123</v>
      </c>
      <c r="M18" s="554">
        <v>206150</v>
      </c>
      <c r="N18" s="625">
        <v>6661</v>
      </c>
      <c r="O18" s="554">
        <v>333050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553MF50</v>
      </c>
      <c r="B19" s="412">
        <f t="shared" si="1"/>
        <v>50</v>
      </c>
      <c r="C19" s="369" t="s">
        <v>403</v>
      </c>
      <c r="D19" s="554">
        <v>50</v>
      </c>
      <c r="E19" s="369" t="s">
        <v>2151</v>
      </c>
      <c r="H19" s="625">
        <v>0</v>
      </c>
      <c r="I19" s="554">
        <v>0</v>
      </c>
      <c r="J19" s="625">
        <v>2461</v>
      </c>
      <c r="K19" s="554">
        <v>123050</v>
      </c>
      <c r="L19" s="625">
        <v>1919</v>
      </c>
      <c r="M19" s="554">
        <v>95950</v>
      </c>
      <c r="N19" s="625">
        <v>4380</v>
      </c>
      <c r="O19" s="554">
        <v>219000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553S25</v>
      </c>
      <c r="B20" s="412">
        <f t="shared" si="1"/>
        <v>25</v>
      </c>
      <c r="C20" s="369" t="s">
        <v>166</v>
      </c>
      <c r="D20" s="554">
        <v>25</v>
      </c>
      <c r="E20" s="369" t="s">
        <v>2152</v>
      </c>
      <c r="H20" s="625">
        <v>343</v>
      </c>
      <c r="I20" s="554">
        <v>8575</v>
      </c>
      <c r="J20" s="625">
        <v>0</v>
      </c>
      <c r="K20" s="554">
        <v>0</v>
      </c>
      <c r="L20" s="625">
        <v>0</v>
      </c>
      <c r="M20" s="554">
        <v>0</v>
      </c>
      <c r="N20" s="625">
        <v>343</v>
      </c>
      <c r="O20" s="554">
        <v>8575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562PF50</v>
      </c>
      <c r="B21" s="412">
        <f t="shared" si="1"/>
        <v>50</v>
      </c>
      <c r="C21" s="369" t="s">
        <v>413</v>
      </c>
      <c r="D21" s="554">
        <v>50</v>
      </c>
      <c r="E21" s="369" t="s">
        <v>2153</v>
      </c>
      <c r="H21" s="625">
        <v>1445</v>
      </c>
      <c r="I21" s="554">
        <v>72250</v>
      </c>
      <c r="J21" s="625">
        <v>228</v>
      </c>
      <c r="K21" s="554">
        <v>11400</v>
      </c>
      <c r="L21" s="625">
        <v>0</v>
      </c>
      <c r="M21" s="554">
        <v>0</v>
      </c>
      <c r="N21" s="625">
        <v>1673</v>
      </c>
      <c r="O21" s="554">
        <v>83650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566F50</v>
      </c>
      <c r="B22" s="412">
        <f t="shared" si="1"/>
        <v>50</v>
      </c>
      <c r="C22" s="369" t="s">
        <v>419</v>
      </c>
      <c r="D22" s="554">
        <v>50</v>
      </c>
      <c r="E22" s="369" t="s">
        <v>2154</v>
      </c>
      <c r="H22" s="625">
        <v>92</v>
      </c>
      <c r="I22" s="554">
        <v>4600</v>
      </c>
      <c r="J22" s="625">
        <v>6</v>
      </c>
      <c r="K22" s="554">
        <v>300</v>
      </c>
      <c r="L22" s="625">
        <v>0</v>
      </c>
      <c r="M22" s="554">
        <v>0</v>
      </c>
      <c r="N22" s="625">
        <v>98</v>
      </c>
      <c r="O22" s="554">
        <v>4900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567S25</v>
      </c>
      <c r="B23" s="412">
        <f t="shared" si="1"/>
        <v>25</v>
      </c>
      <c r="C23" s="369" t="s">
        <v>170</v>
      </c>
      <c r="D23" s="554">
        <v>25</v>
      </c>
      <c r="E23" s="369" t="s">
        <v>2155</v>
      </c>
      <c r="H23" s="625">
        <v>1003</v>
      </c>
      <c r="I23" s="554">
        <v>25075</v>
      </c>
      <c r="J23" s="625">
        <v>0</v>
      </c>
      <c r="K23" s="554">
        <v>0</v>
      </c>
      <c r="L23" s="625">
        <v>0</v>
      </c>
      <c r="M23" s="554">
        <v>0</v>
      </c>
      <c r="N23" s="625">
        <v>1003</v>
      </c>
      <c r="O23" s="554">
        <v>25075</v>
      </c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567SF50</v>
      </c>
      <c r="B24" s="412">
        <f t="shared" si="1"/>
        <v>50</v>
      </c>
      <c r="C24" s="369" t="s">
        <v>426</v>
      </c>
      <c r="D24" s="554">
        <v>50</v>
      </c>
      <c r="E24" s="369" t="s">
        <v>2156</v>
      </c>
      <c r="H24" s="625">
        <v>409</v>
      </c>
      <c r="I24" s="554">
        <v>20450</v>
      </c>
      <c r="J24" s="625">
        <v>0</v>
      </c>
      <c r="K24" s="554">
        <v>0</v>
      </c>
      <c r="L24" s="625">
        <v>0</v>
      </c>
      <c r="M24" s="554">
        <v>0</v>
      </c>
      <c r="N24" s="625">
        <v>409</v>
      </c>
      <c r="O24" s="554">
        <v>20450</v>
      </c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885S25</v>
      </c>
      <c r="B25" s="412">
        <f t="shared" si="1"/>
        <v>25</v>
      </c>
      <c r="C25" s="369" t="s">
        <v>179</v>
      </c>
      <c r="D25" s="554">
        <v>25</v>
      </c>
      <c r="E25" s="369" t="s">
        <v>2157</v>
      </c>
      <c r="H25" s="625">
        <v>0</v>
      </c>
      <c r="I25" s="554">
        <v>0</v>
      </c>
      <c r="J25" s="625">
        <v>193</v>
      </c>
      <c r="K25" s="554">
        <v>4825</v>
      </c>
      <c r="L25" s="625">
        <v>0</v>
      </c>
      <c r="M25" s="554">
        <v>0</v>
      </c>
      <c r="N25" s="625">
        <v>193</v>
      </c>
      <c r="O25" s="554">
        <v>4825</v>
      </c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952S25</v>
      </c>
      <c r="B26" s="412">
        <f t="shared" si="1"/>
        <v>25</v>
      </c>
      <c r="C26" s="369" t="s">
        <v>184</v>
      </c>
      <c r="D26" s="554">
        <v>25</v>
      </c>
      <c r="E26" s="369" t="s">
        <v>2158</v>
      </c>
      <c r="H26" s="625">
        <v>380</v>
      </c>
      <c r="I26" s="554">
        <v>9500</v>
      </c>
      <c r="J26" s="625">
        <v>0</v>
      </c>
      <c r="K26" s="554">
        <v>0</v>
      </c>
      <c r="L26" s="625">
        <v>0</v>
      </c>
      <c r="M26" s="554">
        <v>0</v>
      </c>
      <c r="N26" s="625">
        <v>380</v>
      </c>
      <c r="O26" s="554">
        <v>9500</v>
      </c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GT11S25</v>
      </c>
      <c r="B27" s="412">
        <f t="shared" si="1"/>
        <v>25</v>
      </c>
      <c r="C27" s="369" t="s">
        <v>204</v>
      </c>
      <c r="D27" s="554">
        <v>25</v>
      </c>
      <c r="E27" s="369" t="s">
        <v>2159</v>
      </c>
      <c r="H27" s="625">
        <v>0</v>
      </c>
      <c r="I27" s="554">
        <v>0</v>
      </c>
      <c r="J27" s="625">
        <v>110</v>
      </c>
      <c r="K27" s="554">
        <v>2750</v>
      </c>
      <c r="L27" s="625">
        <v>171</v>
      </c>
      <c r="M27" s="554">
        <v>4275</v>
      </c>
      <c r="N27" s="625">
        <v>281</v>
      </c>
      <c r="O27" s="554">
        <v>7025</v>
      </c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GT12AS25</v>
      </c>
      <c r="B28" s="412">
        <f t="shared" si="1"/>
        <v>25</v>
      </c>
      <c r="C28" s="369" t="s">
        <v>213</v>
      </c>
      <c r="D28" s="554">
        <v>25</v>
      </c>
      <c r="E28" s="369" t="s">
        <v>2160</v>
      </c>
      <c r="H28" s="625">
        <v>0</v>
      </c>
      <c r="I28" s="554">
        <v>0</v>
      </c>
      <c r="J28" s="625">
        <v>0</v>
      </c>
      <c r="K28" s="554">
        <v>0</v>
      </c>
      <c r="L28" s="625">
        <v>237</v>
      </c>
      <c r="M28" s="554">
        <v>5925</v>
      </c>
      <c r="N28" s="625">
        <v>237</v>
      </c>
      <c r="O28" s="554">
        <v>5925</v>
      </c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HT12S25</v>
      </c>
      <c r="B29" s="412">
        <f t="shared" si="1"/>
        <v>25</v>
      </c>
      <c r="C29" s="369" t="s">
        <v>236</v>
      </c>
      <c r="D29" s="554">
        <v>25</v>
      </c>
      <c r="E29" s="369" t="s">
        <v>2161</v>
      </c>
      <c r="H29" s="625">
        <v>357</v>
      </c>
      <c r="I29" s="554">
        <v>8925</v>
      </c>
      <c r="J29" s="625">
        <v>0</v>
      </c>
      <c r="K29" s="554">
        <v>0</v>
      </c>
      <c r="L29" s="625">
        <v>0</v>
      </c>
      <c r="M29" s="554">
        <v>0</v>
      </c>
      <c r="N29" s="625">
        <v>357</v>
      </c>
      <c r="O29" s="554">
        <v>8925</v>
      </c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695325</v>
      </c>
      <c r="B30" s="412">
        <f t="shared" si="1"/>
        <v>25</v>
      </c>
      <c r="C30" s="369" t="s">
        <v>2162</v>
      </c>
      <c r="D30" s="554">
        <v>25</v>
      </c>
      <c r="E30" s="369" t="s">
        <v>2163</v>
      </c>
      <c r="H30" s="625">
        <v>0</v>
      </c>
      <c r="I30" s="554">
        <v>0</v>
      </c>
      <c r="J30" s="625">
        <v>651</v>
      </c>
      <c r="K30" s="554">
        <v>16275</v>
      </c>
      <c r="L30" s="625">
        <v>0</v>
      </c>
      <c r="M30" s="554">
        <v>0</v>
      </c>
      <c r="N30" s="625">
        <v>651</v>
      </c>
      <c r="O30" s="554">
        <v>16275</v>
      </c>
    </row>
    <row r="31" spans="1:28">
      <c r="A31" s="411" t="str">
        <f t="shared" si="0"/>
        <v>Grand Total1196310646</v>
      </c>
      <c r="B31" s="412">
        <f t="shared" si="1"/>
        <v>10646</v>
      </c>
      <c r="C31" s="369" t="s">
        <v>2164</v>
      </c>
      <c r="D31" s="796">
        <v>10646</v>
      </c>
      <c r="E31" s="554">
        <v>392750</v>
      </c>
      <c r="F31" s="796">
        <v>11963</v>
      </c>
      <c r="G31" s="554">
        <v>484750</v>
      </c>
      <c r="H31" s="796">
        <v>14824</v>
      </c>
      <c r="I31" s="554">
        <v>677675</v>
      </c>
      <c r="J31" s="796">
        <v>37433</v>
      </c>
      <c r="K31" s="554">
        <v>1555175</v>
      </c>
    </row>
    <row r="32" spans="1:28">
      <c r="A32" s="411" t="str">
        <f t="shared" si="0"/>
        <v>0</v>
      </c>
      <c r="B32" s="412">
        <f t="shared" si="1"/>
        <v>0</v>
      </c>
      <c r="D32" s="554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411" t="str">
        <f t="shared" ref="A33:A49" si="2">C33&amp;F33&amp;B33</f>
        <v>0</v>
      </c>
      <c r="B33" s="412">
        <f t="shared" ref="B33:B49" si="3">D33</f>
        <v>0</v>
      </c>
      <c r="D33" s="554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411" t="str">
        <f t="shared" si="2"/>
        <v>0</v>
      </c>
      <c r="B34" s="412">
        <f t="shared" si="3"/>
        <v>0</v>
      </c>
      <c r="D34" s="554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411" t="str">
        <f t="shared" si="2"/>
        <v>0</v>
      </c>
      <c r="B35" s="412">
        <f t="shared" si="3"/>
        <v>0</v>
      </c>
      <c r="D35" s="554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411" t="str">
        <f t="shared" si="2"/>
        <v>0</v>
      </c>
      <c r="B36" s="412">
        <f t="shared" si="3"/>
        <v>0</v>
      </c>
      <c r="D36" s="554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411" t="str">
        <f t="shared" si="2"/>
        <v>0</v>
      </c>
      <c r="B37" s="412">
        <f t="shared" si="3"/>
        <v>0</v>
      </c>
      <c r="D37" s="554"/>
      <c r="H37" s="625"/>
      <c r="I37" s="554"/>
      <c r="J37" s="625"/>
      <c r="K37" s="554"/>
      <c r="L37" s="625"/>
      <c r="M37" s="554"/>
      <c r="N37" s="625"/>
      <c r="O37" s="554"/>
    </row>
    <row r="38" spans="1:15">
      <c r="A38" s="411" t="str">
        <f t="shared" si="2"/>
        <v>0</v>
      </c>
      <c r="B38" s="412">
        <f t="shared" si="3"/>
        <v>0</v>
      </c>
      <c r="D38" s="554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411" t="str">
        <f t="shared" si="2"/>
        <v>0</v>
      </c>
      <c r="B39" s="412">
        <f t="shared" si="3"/>
        <v>0</v>
      </c>
      <c r="D39" s="554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411" t="str">
        <f t="shared" si="2"/>
        <v>0</v>
      </c>
      <c r="B40" s="412">
        <f t="shared" si="3"/>
        <v>0</v>
      </c>
      <c r="D40" s="554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411" t="str">
        <f t="shared" si="2"/>
        <v>0</v>
      </c>
      <c r="B41" s="412">
        <f t="shared" si="3"/>
        <v>0</v>
      </c>
      <c r="D41" s="554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411" t="str">
        <f t="shared" si="2"/>
        <v>0</v>
      </c>
      <c r="B42" s="412">
        <f t="shared" si="3"/>
        <v>0</v>
      </c>
      <c r="D42" s="554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411" t="str">
        <f t="shared" si="2"/>
        <v>0</v>
      </c>
      <c r="B43" s="412">
        <f t="shared" si="3"/>
        <v>0</v>
      </c>
      <c r="D43" s="554"/>
      <c r="H43" s="625"/>
      <c r="I43" s="554"/>
      <c r="J43" s="625"/>
      <c r="K43" s="554"/>
      <c r="L43" s="625"/>
      <c r="M43" s="554"/>
      <c r="N43" s="625"/>
      <c r="O43" s="554"/>
    </row>
    <row r="44" spans="1:15">
      <c r="A44" s="411" t="str">
        <f t="shared" si="2"/>
        <v>0</v>
      </c>
      <c r="B44" s="412">
        <f t="shared" si="3"/>
        <v>0</v>
      </c>
      <c r="D44" s="554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411" t="str">
        <f t="shared" si="2"/>
        <v>0</v>
      </c>
      <c r="B45" s="412">
        <f t="shared" si="3"/>
        <v>0</v>
      </c>
      <c r="D45" s="796"/>
      <c r="E45" s="554"/>
      <c r="F45" s="796"/>
      <c r="G45" s="554"/>
      <c r="H45" s="796"/>
      <c r="I45" s="554"/>
      <c r="J45" s="796"/>
      <c r="K45" s="554"/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Product NameQuantityVitamin &amp; Mineral</v>
      </c>
      <c r="B1" s="541" t="str">
        <f>D1</f>
        <v>Vitamin &amp; Mineral</v>
      </c>
      <c r="C1" s="369" t="s">
        <v>2129</v>
      </c>
      <c r="D1" s="369" t="s">
        <v>2165</v>
      </c>
      <c r="E1" s="369" t="s">
        <v>2166</v>
      </c>
      <c r="F1" s="369" t="s">
        <v>2132</v>
      </c>
      <c r="G1" s="369" t="s">
        <v>2133</v>
      </c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Tranform Issued0</v>
      </c>
      <c r="B2" s="541">
        <f>D2</f>
        <v>0</v>
      </c>
      <c r="C2" s="369" t="s">
        <v>2167</v>
      </c>
      <c r="D2" s="369"/>
      <c r="E2" s="369"/>
      <c r="F2" s="369"/>
      <c r="G2" s="369"/>
      <c r="H2" s="369"/>
      <c r="I2" s="634" t="s">
        <v>2168</v>
      </c>
      <c r="J2" s="634"/>
      <c r="K2" s="1197"/>
      <c r="L2" s="1198"/>
      <c r="M2" s="1197"/>
      <c r="N2" s="1198"/>
      <c r="O2" s="1197"/>
      <c r="P2" s="634"/>
    </row>
    <row r="3" spans="1:16" ht="14.25" customHeight="1">
      <c r="A3" s="377" t="str">
        <f>IFERROR(VLOOKUP(B3,Map!$B:$F,4,0),"")&amp;IFERROR(VLOOKUP(B3,Map!$B:$F,5,0),"")</f>
        <v>95225</v>
      </c>
      <c r="B3" s="412" t="str">
        <f>C3&amp;F37</f>
        <v>21125520000125</v>
      </c>
      <c r="C3" s="369" t="s">
        <v>958</v>
      </c>
      <c r="D3" s="369" t="s">
        <v>2169</v>
      </c>
      <c r="E3" s="369"/>
      <c r="F3" s="803">
        <v>25</v>
      </c>
      <c r="G3" s="625">
        <v>1</v>
      </c>
      <c r="H3" s="554">
        <v>25</v>
      </c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>Production Cost of F/G</v>
      </c>
      <c r="C4" s="369" t="s">
        <v>2170</v>
      </c>
      <c r="D4" s="369" t="s">
        <v>2171</v>
      </c>
      <c r="E4" s="554">
        <v>25</v>
      </c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D27" sqref="D27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Tranform Receive0</v>
      </c>
      <c r="B1" s="541">
        <f>D1</f>
        <v>0</v>
      </c>
      <c r="C1" s="369" t="s">
        <v>2172</v>
      </c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>HT1225</v>
      </c>
      <c r="B2" s="540" t="str">
        <f>IF(MID(C2,10,2)="99",C2&amp;E2,LEFT(C2,14))</f>
        <v>21135520000125</v>
      </c>
      <c r="C2" s="369" t="s">
        <v>1002</v>
      </c>
      <c r="D2" s="369" t="s">
        <v>2173</v>
      </c>
      <c r="E2" s="369"/>
      <c r="F2" s="803">
        <v>25</v>
      </c>
      <c r="G2" s="625">
        <v>1</v>
      </c>
      <c r="H2" s="554">
        <v>25</v>
      </c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>Production Cos</v>
      </c>
      <c r="C3" s="369" t="s">
        <v>2170</v>
      </c>
      <c r="D3" s="369" t="s">
        <v>2171</v>
      </c>
      <c r="E3" s="554">
        <v>25</v>
      </c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 t="s">
        <v>2174</v>
      </c>
      <c r="E4" s="369" t="s">
        <v>2175</v>
      </c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D28" sqref="D28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Vitamin &amp; MineralWeightPacksize</v>
      </c>
      <c r="B1" s="541" t="str">
        <f>D1</f>
        <v>Packsize</v>
      </c>
      <c r="C1" s="369" t="s">
        <v>2165</v>
      </c>
      <c r="D1" s="369" t="s">
        <v>2166</v>
      </c>
      <c r="E1" s="369" t="s">
        <v>2132</v>
      </c>
      <c r="F1" s="369" t="s">
        <v>2133</v>
      </c>
      <c r="G1" s="369" t="s">
        <v>2176</v>
      </c>
      <c r="H1" s="369"/>
      <c r="I1" s="369"/>
      <c r="J1" s="369"/>
      <c r="K1" s="369"/>
      <c r="L1" s="593" t="e">
        <f>+H1/F1</f>
        <v>#VALUE!</v>
      </c>
      <c r="M1" s="810">
        <f>SUM(H:H)</f>
        <v>385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>30125</v>
      </c>
      <c r="B2" s="540" t="str">
        <f t="shared" ref="B2:B14" si="0">IF(MID(C2,10,2)="99",C2&amp;E2,LEFT(C2,14))</f>
        <v>21113010000125</v>
      </c>
      <c r="C2" s="369" t="s">
        <v>569</v>
      </c>
      <c r="D2" s="369" t="s">
        <v>2177</v>
      </c>
      <c r="E2" s="369"/>
      <c r="F2" s="761">
        <v>25</v>
      </c>
      <c r="G2" s="369" t="s">
        <v>2178</v>
      </c>
      <c r="H2" s="554">
        <v>25</v>
      </c>
      <c r="I2" s="369" t="s">
        <v>2179</v>
      </c>
      <c r="J2" s="369"/>
      <c r="K2" s="369"/>
      <c r="L2" s="593">
        <f>+H2/F2</f>
        <v>1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>35225</v>
      </c>
      <c r="B3" s="540" t="str">
        <f t="shared" si="0"/>
        <v>21113520000125</v>
      </c>
      <c r="C3" s="369" t="s">
        <v>587</v>
      </c>
      <c r="D3" s="369" t="s">
        <v>2180</v>
      </c>
      <c r="E3" s="369"/>
      <c r="F3" s="761">
        <v>25</v>
      </c>
      <c r="G3" s="369" t="s">
        <v>2178</v>
      </c>
      <c r="H3" s="554">
        <v>25</v>
      </c>
      <c r="I3" s="369"/>
      <c r="J3" s="369" t="s">
        <v>2181</v>
      </c>
      <c r="K3" s="369" t="s">
        <v>2182</v>
      </c>
      <c r="L3" s="593">
        <f>+H3/F3</f>
        <v>1</v>
      </c>
      <c r="M3" s="369" t="s">
        <v>2183</v>
      </c>
      <c r="N3" s="369" t="s">
        <v>2184</v>
      </c>
      <c r="O3" s="369"/>
      <c r="P3" s="369"/>
    </row>
    <row r="4" spans="1:16">
      <c r="A4" s="377" t="str">
        <f>IFERROR(VLOOKUP(B4,Map!$B:$F,4,0),"")&amp;IFERROR(VLOOKUP(B4,Map!$B:$F,5,0),"")</f>
        <v>510S25</v>
      </c>
      <c r="B4" s="540" t="str">
        <f t="shared" si="0"/>
        <v>21115101900125</v>
      </c>
      <c r="C4" s="369" t="s">
        <v>1397</v>
      </c>
      <c r="D4" s="369" t="s">
        <v>2185</v>
      </c>
      <c r="E4" s="369"/>
      <c r="F4" s="761">
        <v>25</v>
      </c>
      <c r="G4" s="369" t="s">
        <v>2178</v>
      </c>
      <c r="H4" s="554">
        <v>25</v>
      </c>
      <c r="I4" s="369"/>
      <c r="J4" s="369"/>
      <c r="K4" s="369"/>
      <c r="L4" s="593">
        <f t="shared" ref="L4:L21" si="1">+H4/F4</f>
        <v>1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>511M25</v>
      </c>
      <c r="B5" s="540" t="str">
        <f t="shared" si="0"/>
        <v>21115111300125</v>
      </c>
      <c r="C5" s="369" t="s">
        <v>659</v>
      </c>
      <c r="D5" s="369" t="s">
        <v>2186</v>
      </c>
      <c r="E5" s="369"/>
      <c r="F5" s="761">
        <v>25</v>
      </c>
      <c r="G5" s="369" t="s">
        <v>2178</v>
      </c>
      <c r="H5" s="554">
        <v>25</v>
      </c>
      <c r="I5" s="369"/>
      <c r="J5" s="369"/>
      <c r="K5" s="369"/>
      <c r="L5" s="593">
        <f t="shared" si="1"/>
        <v>1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>511S25</v>
      </c>
      <c r="B6" s="540" t="str">
        <f t="shared" si="0"/>
        <v>21115111900125</v>
      </c>
      <c r="C6" s="369" t="s">
        <v>1974</v>
      </c>
      <c r="D6" s="369" t="s">
        <v>2187</v>
      </c>
      <c r="E6" s="369"/>
      <c r="F6" s="761">
        <v>25</v>
      </c>
      <c r="G6" s="369" t="s">
        <v>2178</v>
      </c>
      <c r="H6" s="554">
        <v>25</v>
      </c>
      <c r="I6" s="369"/>
      <c r="J6" s="369"/>
      <c r="K6" s="369"/>
      <c r="L6" s="593">
        <f t="shared" si="1"/>
        <v>1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>52425</v>
      </c>
      <c r="B7" s="540" t="str">
        <f t="shared" si="0"/>
        <v>21115240000125</v>
      </c>
      <c r="C7" s="369" t="s">
        <v>711</v>
      </c>
      <c r="D7" s="369" t="s">
        <v>2188</v>
      </c>
      <c r="E7" s="369"/>
      <c r="F7" s="761">
        <v>25</v>
      </c>
      <c r="G7" s="369" t="s">
        <v>2189</v>
      </c>
      <c r="H7" s="554">
        <v>50</v>
      </c>
      <c r="I7" s="369"/>
      <c r="J7" s="369"/>
      <c r="K7" s="369"/>
      <c r="L7" s="593">
        <f t="shared" si="1"/>
        <v>2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>550Pro25</v>
      </c>
      <c r="B8" s="540" t="str">
        <f t="shared" si="0"/>
        <v>21115501600125</v>
      </c>
      <c r="C8" s="369" t="s">
        <v>1719</v>
      </c>
      <c r="D8" s="369" t="s">
        <v>2143</v>
      </c>
      <c r="E8" s="369"/>
      <c r="F8" s="761">
        <v>25</v>
      </c>
      <c r="G8" s="369" t="s">
        <v>2178</v>
      </c>
      <c r="H8" s="554">
        <v>25</v>
      </c>
      <c r="I8" s="369" t="s">
        <v>2190</v>
      </c>
      <c r="J8" s="369"/>
      <c r="K8" s="369"/>
      <c r="L8" s="593">
        <f t="shared" si="1"/>
        <v>1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>550PF10</v>
      </c>
      <c r="B9" s="540" t="str">
        <f t="shared" si="0"/>
        <v>21115501600210</v>
      </c>
      <c r="C9" s="369" t="s">
        <v>2041</v>
      </c>
      <c r="D9" s="369" t="s">
        <v>2191</v>
      </c>
      <c r="E9" s="369"/>
      <c r="F9" s="761">
        <v>10</v>
      </c>
      <c r="G9" s="369" t="s">
        <v>2178</v>
      </c>
      <c r="H9" s="554">
        <v>10</v>
      </c>
      <c r="I9" s="369"/>
      <c r="J9" s="369"/>
      <c r="K9" s="369"/>
      <c r="L9" s="593">
        <f t="shared" si="1"/>
        <v>1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>94425</v>
      </c>
      <c r="B10" s="540" t="str">
        <f t="shared" si="0"/>
        <v>21125440000125</v>
      </c>
      <c r="C10" s="369" t="s">
        <v>2005</v>
      </c>
      <c r="D10" s="369" t="s">
        <v>2192</v>
      </c>
      <c r="E10" s="369"/>
      <c r="F10" s="761">
        <v>25</v>
      </c>
      <c r="G10" s="369" t="s">
        <v>2178</v>
      </c>
      <c r="H10" s="554">
        <v>25</v>
      </c>
      <c r="I10" s="369"/>
      <c r="J10" s="369"/>
      <c r="K10" s="369"/>
      <c r="L10" s="593">
        <f t="shared" si="1"/>
        <v>1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>98425</v>
      </c>
      <c r="B11" s="540" t="str">
        <f t="shared" si="0"/>
        <v>21125840000125</v>
      </c>
      <c r="C11" s="369" t="s">
        <v>989</v>
      </c>
      <c r="D11" s="369" t="s">
        <v>2193</v>
      </c>
      <c r="E11" s="369"/>
      <c r="F11" s="761">
        <v>25</v>
      </c>
      <c r="G11" s="369" t="s">
        <v>2178</v>
      </c>
      <c r="H11" s="554">
        <v>25</v>
      </c>
      <c r="I11" s="369"/>
      <c r="J11" s="369"/>
      <c r="K11" s="369"/>
      <c r="L11" s="593">
        <f t="shared" si="1"/>
        <v>1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>991-1825</v>
      </c>
      <c r="B12" s="540" t="str">
        <f t="shared" si="0"/>
        <v>21125911800125</v>
      </c>
      <c r="C12" s="369" t="s">
        <v>1202</v>
      </c>
      <c r="D12" s="369" t="s">
        <v>2194</v>
      </c>
      <c r="E12" s="369"/>
      <c r="F12" s="761">
        <v>25</v>
      </c>
      <c r="G12" s="369" t="s">
        <v>2178</v>
      </c>
      <c r="H12" s="554">
        <v>25</v>
      </c>
      <c r="I12" s="369"/>
      <c r="J12" s="369"/>
      <c r="K12" s="369"/>
      <c r="L12" s="593">
        <f t="shared" si="1"/>
        <v>1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>GT11S25</v>
      </c>
      <c r="B13" s="540" t="str">
        <f t="shared" si="0"/>
        <v>21135101900125</v>
      </c>
      <c r="C13" s="369" t="s">
        <v>1976</v>
      </c>
      <c r="D13" s="369" t="s">
        <v>2159</v>
      </c>
      <c r="E13" s="369"/>
      <c r="F13" s="761">
        <v>25</v>
      </c>
      <c r="G13" s="369" t="s">
        <v>2178</v>
      </c>
      <c r="H13" s="554">
        <v>25</v>
      </c>
      <c r="I13" s="369"/>
      <c r="J13" s="369"/>
      <c r="K13" s="369"/>
      <c r="L13" s="593">
        <f t="shared" si="1"/>
        <v>1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>GT1225</v>
      </c>
      <c r="B14" s="540" t="str">
        <f t="shared" si="0"/>
        <v>21135110000125</v>
      </c>
      <c r="C14" s="369" t="s">
        <v>1754</v>
      </c>
      <c r="D14" s="369" t="s">
        <v>2195</v>
      </c>
      <c r="E14" s="369"/>
      <c r="F14" s="761">
        <v>25</v>
      </c>
      <c r="G14" s="369" t="s">
        <v>2178</v>
      </c>
      <c r="H14" s="554">
        <v>25</v>
      </c>
      <c r="I14" s="369"/>
      <c r="J14" s="369"/>
      <c r="K14" s="369"/>
      <c r="L14" s="593">
        <f t="shared" si="1"/>
        <v>1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>VT1125</v>
      </c>
      <c r="B15" s="540" t="str">
        <f t="shared" ref="B15:B66" si="2">IF(MID(C15,10,2)="99",C15&amp;E15,LEFT(C15,14))</f>
        <v>21135480000125</v>
      </c>
      <c r="C15" s="369" t="s">
        <v>1012</v>
      </c>
      <c r="D15" s="369" t="s">
        <v>2196</v>
      </c>
      <c r="E15" s="369"/>
      <c r="F15" s="761">
        <v>25</v>
      </c>
      <c r="G15" s="369" t="s">
        <v>2178</v>
      </c>
      <c r="H15" s="554">
        <v>25</v>
      </c>
      <c r="I15" s="369"/>
      <c r="J15" s="369"/>
      <c r="K15" s="369"/>
      <c r="L15" s="593">
        <f t="shared" si="1"/>
        <v>1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>695125</v>
      </c>
      <c r="B16" s="540" t="str">
        <f t="shared" si="2"/>
        <v>21165510000125</v>
      </c>
      <c r="C16" s="369" t="s">
        <v>2016</v>
      </c>
      <c r="D16" s="369" t="s">
        <v>2197</v>
      </c>
      <c r="E16" s="369"/>
      <c r="F16" s="761">
        <v>25</v>
      </c>
      <c r="G16" s="369" t="s">
        <v>2178</v>
      </c>
      <c r="H16" s="554">
        <v>25</v>
      </c>
      <c r="I16" s="369"/>
      <c r="J16" s="369"/>
      <c r="K16" s="369"/>
      <c r="L16" s="593">
        <f t="shared" si="1"/>
        <v>1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>Production Cos</v>
      </c>
      <c r="C17" s="369" t="s">
        <v>2170</v>
      </c>
      <c r="D17" s="369" t="s">
        <v>2198</v>
      </c>
      <c r="E17" s="761">
        <v>385</v>
      </c>
      <c r="F17" s="369"/>
      <c r="G17" s="369" t="s">
        <v>2199</v>
      </c>
      <c r="H17" s="369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2181</v>
      </c>
      <c r="K21" s="369" t="s">
        <v>2182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2200</v>
      </c>
      <c r="B1" s="801" t="s">
        <v>2201</v>
      </c>
      <c r="C1" s="800" t="s">
        <v>2202</v>
      </c>
      <c r="D1" s="800" t="s">
        <v>2203</v>
      </c>
      <c r="E1" s="800" t="s">
        <v>2204</v>
      </c>
      <c r="F1" s="800" t="s">
        <v>35</v>
      </c>
      <c r="G1" s="800" t="s">
        <v>2205</v>
      </c>
      <c r="H1" s="800" t="s">
        <v>2206</v>
      </c>
      <c r="I1" s="800" t="s">
        <v>2207</v>
      </c>
      <c r="J1" s="801" t="s">
        <v>2208</v>
      </c>
      <c r="K1" s="801" t="s">
        <v>2209</v>
      </c>
      <c r="L1" s="801" t="s">
        <v>2210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2211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2212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2213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2214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2215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2214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2213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2214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2216</v>
      </c>
      <c r="U90" t="s">
        <v>2213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2217</v>
      </c>
      <c r="U91" t="s">
        <v>2214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2218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2219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2220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2221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2222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2223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2224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2225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2226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2227</v>
      </c>
      <c r="B2" s="428" t="s">
        <v>2228</v>
      </c>
      <c r="C2" t="s">
        <v>2229</v>
      </c>
      <c r="D2" s="17" t="s">
        <v>2230</v>
      </c>
      <c r="E2" s="442" t="s">
        <v>2231</v>
      </c>
      <c r="F2" s="442"/>
      <c r="G2" s="14"/>
      <c r="M2" s="536"/>
    </row>
    <row r="3" spans="1:13">
      <c r="A3" t="s">
        <v>2232</v>
      </c>
      <c r="B3" s="428">
        <v>302</v>
      </c>
      <c r="C3" t="s">
        <v>2233</v>
      </c>
      <c r="D3" s="17" t="s">
        <v>2230</v>
      </c>
      <c r="E3" s="442" t="s">
        <v>2234</v>
      </c>
      <c r="F3" s="442"/>
      <c r="G3" s="14"/>
      <c r="M3" s="536"/>
    </row>
    <row r="4" spans="1:13">
      <c r="A4" t="s">
        <v>2235</v>
      </c>
      <c r="B4" s="428" t="s">
        <v>2236</v>
      </c>
      <c r="C4" t="s">
        <v>2237</v>
      </c>
      <c r="D4" s="17" t="s">
        <v>2230</v>
      </c>
      <c r="E4" s="442" t="s">
        <v>2238</v>
      </c>
      <c r="G4" s="14"/>
      <c r="M4" s="536"/>
    </row>
    <row r="5" spans="1:13">
      <c r="A5" t="s">
        <v>2239</v>
      </c>
      <c r="B5" s="428" t="s">
        <v>2240</v>
      </c>
      <c r="C5" t="s">
        <v>2241</v>
      </c>
      <c r="D5" s="17" t="s">
        <v>2230</v>
      </c>
      <c r="E5" s="442" t="s">
        <v>2242</v>
      </c>
      <c r="G5" s="14"/>
      <c r="M5" s="536"/>
    </row>
    <row r="6" spans="1:13">
      <c r="A6" t="s">
        <v>2243</v>
      </c>
      <c r="B6" s="428">
        <v>384</v>
      </c>
      <c r="C6" t="s">
        <v>2244</v>
      </c>
      <c r="D6" s="17" t="s">
        <v>2230</v>
      </c>
      <c r="E6" s="442" t="s">
        <v>2245</v>
      </c>
      <c r="F6" s="442"/>
      <c r="G6" s="14"/>
      <c r="M6" s="536"/>
    </row>
    <row r="7" spans="1:13">
      <c r="A7" t="s">
        <v>2246</v>
      </c>
      <c r="B7" s="428" t="s">
        <v>131</v>
      </c>
      <c r="C7" t="s">
        <v>2247</v>
      </c>
      <c r="D7" s="17" t="s">
        <v>2230</v>
      </c>
      <c r="E7" s="442" t="s">
        <v>2248</v>
      </c>
      <c r="F7" s="442"/>
      <c r="G7" s="14"/>
      <c r="M7" s="536"/>
    </row>
    <row r="8" spans="1:13">
      <c r="A8" t="s">
        <v>2249</v>
      </c>
      <c r="B8" s="428">
        <v>510</v>
      </c>
      <c r="C8" t="s">
        <v>2250</v>
      </c>
      <c r="D8" s="17" t="s">
        <v>2230</v>
      </c>
      <c r="E8" s="442" t="s">
        <v>2251</v>
      </c>
      <c r="F8" s="442"/>
      <c r="G8" s="14"/>
      <c r="M8" s="536"/>
    </row>
    <row r="9" spans="1:13">
      <c r="A9" t="s">
        <v>2252</v>
      </c>
      <c r="B9" s="428" t="s">
        <v>135</v>
      </c>
      <c r="C9" t="s">
        <v>2253</v>
      </c>
      <c r="D9" s="17">
        <v>25</v>
      </c>
      <c r="E9" s="442" t="s">
        <v>2254</v>
      </c>
      <c r="F9" s="442"/>
      <c r="G9" s="14"/>
      <c r="M9" s="536"/>
    </row>
    <row r="10" spans="1:13">
      <c r="A10" t="s">
        <v>2255</v>
      </c>
      <c r="B10" s="428" t="s">
        <v>134</v>
      </c>
      <c r="C10" t="s">
        <v>2256</v>
      </c>
      <c r="D10" s="17" t="s">
        <v>2230</v>
      </c>
      <c r="E10" s="442" t="s">
        <v>2257</v>
      </c>
      <c r="F10" s="442"/>
      <c r="G10" s="14"/>
      <c r="M10" s="536"/>
    </row>
    <row r="11" spans="1:13">
      <c r="A11" t="s">
        <v>2258</v>
      </c>
      <c r="B11" s="428" t="s">
        <v>2259</v>
      </c>
      <c r="C11" t="s">
        <v>2260</v>
      </c>
      <c r="D11" s="17" t="s">
        <v>2230</v>
      </c>
      <c r="E11" s="442" t="s">
        <v>2261</v>
      </c>
      <c r="F11" s="442"/>
      <c r="G11" s="14"/>
      <c r="M11" s="536"/>
    </row>
    <row r="12" spans="1:13">
      <c r="A12" t="s">
        <v>2262</v>
      </c>
      <c r="B12" s="428" t="s">
        <v>139</v>
      </c>
      <c r="C12" t="s">
        <v>2263</v>
      </c>
      <c r="D12" s="17" t="s">
        <v>2230</v>
      </c>
      <c r="E12" s="442" t="s">
        <v>2264</v>
      </c>
      <c r="F12" s="442"/>
      <c r="G12" s="14"/>
      <c r="M12" s="536"/>
    </row>
    <row r="13" spans="1:13">
      <c r="A13" t="s">
        <v>2265</v>
      </c>
      <c r="B13" s="428" t="s">
        <v>142</v>
      </c>
      <c r="C13" t="s">
        <v>2266</v>
      </c>
      <c r="D13" s="17" t="s">
        <v>2230</v>
      </c>
      <c r="E13" s="442" t="s">
        <v>2267</v>
      </c>
      <c r="F13" s="442"/>
      <c r="G13" s="14"/>
      <c r="M13" s="536"/>
    </row>
    <row r="14" spans="1:13">
      <c r="A14" t="s">
        <v>2268</v>
      </c>
      <c r="B14" s="428" t="s">
        <v>143</v>
      </c>
      <c r="C14" t="s">
        <v>2269</v>
      </c>
      <c r="D14" s="17" t="s">
        <v>2230</v>
      </c>
      <c r="E14" s="442" t="s">
        <v>2270</v>
      </c>
      <c r="F14" s="442"/>
      <c r="G14" s="14"/>
      <c r="M14" s="536"/>
    </row>
    <row r="15" spans="1:13">
      <c r="A15" t="s">
        <v>2271</v>
      </c>
      <c r="B15" s="428" t="s">
        <v>136</v>
      </c>
      <c r="C15" t="s">
        <v>2272</v>
      </c>
      <c r="D15" s="17" t="s">
        <v>2230</v>
      </c>
      <c r="E15" s="442" t="s">
        <v>2273</v>
      </c>
      <c r="F15" s="442"/>
      <c r="G15" s="14"/>
      <c r="M15" s="536"/>
    </row>
    <row r="16" spans="1:13">
      <c r="A16" t="s">
        <v>2274</v>
      </c>
      <c r="B16" s="428" t="s">
        <v>138</v>
      </c>
      <c r="C16" t="s">
        <v>2275</v>
      </c>
      <c r="D16" s="17" t="s">
        <v>2230</v>
      </c>
      <c r="E16" s="442" t="s">
        <v>2276</v>
      </c>
      <c r="F16" s="442"/>
      <c r="G16" s="14"/>
      <c r="M16" s="536"/>
    </row>
    <row r="17" spans="1:13">
      <c r="A17" t="s">
        <v>2277</v>
      </c>
      <c r="B17" s="428" t="s">
        <v>2278</v>
      </c>
      <c r="C17" t="s">
        <v>2279</v>
      </c>
      <c r="D17" s="17" t="s">
        <v>2230</v>
      </c>
      <c r="E17" s="442" t="s">
        <v>2280</v>
      </c>
      <c r="G17" s="14"/>
      <c r="M17" s="536"/>
    </row>
    <row r="18" spans="1:13">
      <c r="A18" t="s">
        <v>2281</v>
      </c>
      <c r="B18" s="428" t="s">
        <v>2282</v>
      </c>
      <c r="C18" t="s">
        <v>2283</v>
      </c>
      <c r="D18" s="17">
        <v>25</v>
      </c>
      <c r="E18" s="442" t="s">
        <v>2284</v>
      </c>
      <c r="F18" s="442"/>
      <c r="G18" s="14"/>
      <c r="M18" s="536"/>
    </row>
    <row r="19" spans="1:13">
      <c r="A19" t="s">
        <v>2285</v>
      </c>
      <c r="B19" s="428" t="s">
        <v>2286</v>
      </c>
      <c r="C19" t="s">
        <v>2287</v>
      </c>
      <c r="D19" s="17">
        <v>25</v>
      </c>
      <c r="E19" s="442" t="s">
        <v>2288</v>
      </c>
      <c r="F19" s="442"/>
      <c r="G19" s="14"/>
      <c r="M19" s="536"/>
    </row>
    <row r="20" spans="1:13">
      <c r="A20" t="s">
        <v>2289</v>
      </c>
      <c r="B20" s="428" t="s">
        <v>2290</v>
      </c>
      <c r="C20" t="s">
        <v>2291</v>
      </c>
      <c r="D20" s="17" t="s">
        <v>2230</v>
      </c>
      <c r="E20" s="442" t="s">
        <v>2292</v>
      </c>
      <c r="F20" s="442"/>
      <c r="G20" s="14"/>
      <c r="M20" s="536"/>
    </row>
    <row r="21" spans="1:13">
      <c r="A21" t="s">
        <v>2293</v>
      </c>
      <c r="B21" s="428" t="s">
        <v>2294</v>
      </c>
      <c r="C21" t="s">
        <v>2295</v>
      </c>
      <c r="D21" s="17">
        <v>25</v>
      </c>
      <c r="E21" s="442" t="s">
        <v>2296</v>
      </c>
      <c r="F21" s="442"/>
      <c r="G21" s="14"/>
      <c r="M21" s="536"/>
    </row>
    <row r="22" spans="1:13">
      <c r="A22" t="s">
        <v>2297</v>
      </c>
      <c r="B22" s="428" t="s">
        <v>2298</v>
      </c>
      <c r="C22" t="s">
        <v>2299</v>
      </c>
      <c r="D22" s="17" t="s">
        <v>2230</v>
      </c>
      <c r="E22" s="442" t="s">
        <v>2300</v>
      </c>
      <c r="F22" s="442"/>
      <c r="G22" s="14"/>
    </row>
    <row r="23" spans="1:13">
      <c r="A23" t="s">
        <v>2297</v>
      </c>
      <c r="B23" s="428" t="s">
        <v>2298</v>
      </c>
      <c r="C23" t="s">
        <v>2299</v>
      </c>
      <c r="D23" s="17" t="s">
        <v>2230</v>
      </c>
      <c r="E23" s="442" t="s">
        <v>2301</v>
      </c>
      <c r="G23" s="14"/>
    </row>
    <row r="24" spans="1:13">
      <c r="A24" t="s">
        <v>2302</v>
      </c>
      <c r="B24" s="428" t="s">
        <v>2303</v>
      </c>
      <c r="C24" t="s">
        <v>2304</v>
      </c>
      <c r="D24" s="17" t="s">
        <v>2230</v>
      </c>
      <c r="E24" s="442" t="s">
        <v>2305</v>
      </c>
      <c r="F24" s="442"/>
      <c r="G24" s="14"/>
    </row>
    <row r="25" spans="1:13">
      <c r="A25" t="s">
        <v>2306</v>
      </c>
      <c r="B25" s="428" t="s">
        <v>2307</v>
      </c>
      <c r="C25" t="s">
        <v>2308</v>
      </c>
      <c r="D25" s="17" t="s">
        <v>2230</v>
      </c>
      <c r="E25" s="442" t="s">
        <v>2309</v>
      </c>
      <c r="F25" s="442"/>
      <c r="G25" s="14"/>
    </row>
    <row r="26" spans="1:13">
      <c r="A26" t="s">
        <v>2310</v>
      </c>
      <c r="B26" s="428" t="s">
        <v>2311</v>
      </c>
      <c r="C26" t="s">
        <v>2312</v>
      </c>
      <c r="D26" s="17" t="s">
        <v>2230</v>
      </c>
      <c r="E26" s="442" t="s">
        <v>2313</v>
      </c>
      <c r="F26" s="442"/>
      <c r="G26" s="14"/>
    </row>
    <row r="27" spans="1:13">
      <c r="A27" t="s">
        <v>2314</v>
      </c>
      <c r="B27" s="428" t="s">
        <v>2141</v>
      </c>
      <c r="C27" t="s">
        <v>2315</v>
      </c>
      <c r="D27" s="17">
        <v>25</v>
      </c>
      <c r="E27" s="442" t="s">
        <v>2316</v>
      </c>
      <c r="F27" s="442"/>
      <c r="G27" s="14"/>
    </row>
    <row r="28" spans="1:13">
      <c r="A28" t="s">
        <v>2317</v>
      </c>
      <c r="B28" s="428" t="s">
        <v>2318</v>
      </c>
      <c r="C28" t="s">
        <v>2319</v>
      </c>
      <c r="D28" s="17" t="s">
        <v>2230</v>
      </c>
      <c r="E28" s="442" t="s">
        <v>2320</v>
      </c>
      <c r="G28" s="14"/>
    </row>
    <row r="29" spans="1:13">
      <c r="A29" t="s">
        <v>2321</v>
      </c>
      <c r="B29" s="428" t="s">
        <v>154</v>
      </c>
      <c r="C29" t="s">
        <v>2322</v>
      </c>
      <c r="D29" s="17" t="s">
        <v>2230</v>
      </c>
      <c r="E29" s="442" t="s">
        <v>2323</v>
      </c>
      <c r="F29" s="442"/>
      <c r="G29" s="14"/>
    </row>
    <row r="30" spans="1:13">
      <c r="A30" t="s">
        <v>2324</v>
      </c>
      <c r="B30" s="428" t="s">
        <v>2325</v>
      </c>
      <c r="C30" t="s">
        <v>2326</v>
      </c>
      <c r="D30" s="17" t="s">
        <v>2230</v>
      </c>
      <c r="E30" s="442" t="s">
        <v>2327</v>
      </c>
      <c r="G30" s="14"/>
    </row>
    <row r="31" spans="1:13">
      <c r="A31" t="s">
        <v>2328</v>
      </c>
      <c r="B31" s="428" t="s">
        <v>2144</v>
      </c>
      <c r="C31" t="s">
        <v>2329</v>
      </c>
      <c r="D31" s="17" t="s">
        <v>2230</v>
      </c>
      <c r="E31" s="442" t="s">
        <v>2330</v>
      </c>
      <c r="G31" s="14"/>
    </row>
    <row r="32" spans="1:13">
      <c r="A32" t="s">
        <v>2331</v>
      </c>
      <c r="B32" s="428" t="s">
        <v>157</v>
      </c>
      <c r="C32" t="s">
        <v>2332</v>
      </c>
      <c r="D32" s="17" t="s">
        <v>2230</v>
      </c>
      <c r="E32" s="442" t="s">
        <v>2333</v>
      </c>
      <c r="F32" s="442"/>
      <c r="G32" s="14"/>
    </row>
    <row r="33" spans="1:13">
      <c r="A33" t="s">
        <v>2334</v>
      </c>
      <c r="B33" s="428" t="s">
        <v>2335</v>
      </c>
      <c r="C33" t="s">
        <v>2336</v>
      </c>
      <c r="D33" s="17" t="s">
        <v>2230</v>
      </c>
      <c r="E33" s="442" t="s">
        <v>2337</v>
      </c>
      <c r="G33" s="14"/>
    </row>
    <row r="34" spans="1:13">
      <c r="A34" t="s">
        <v>2338</v>
      </c>
      <c r="B34" s="428" t="s">
        <v>159</v>
      </c>
      <c r="C34" t="s">
        <v>2339</v>
      </c>
      <c r="D34" s="17" t="s">
        <v>2230</v>
      </c>
      <c r="E34" s="442" t="s">
        <v>2340</v>
      </c>
      <c r="G34" s="14"/>
    </row>
    <row r="35" spans="1:13">
      <c r="A35" t="s">
        <v>2341</v>
      </c>
      <c r="B35" s="428" t="s">
        <v>2146</v>
      </c>
      <c r="C35" t="s">
        <v>2342</v>
      </c>
      <c r="D35" s="17" t="s">
        <v>2230</v>
      </c>
      <c r="E35" s="442" t="s">
        <v>2343</v>
      </c>
      <c r="F35" s="442"/>
      <c r="G35" s="14"/>
    </row>
    <row r="36" spans="1:13">
      <c r="A36" t="s">
        <v>2344</v>
      </c>
      <c r="B36" s="428" t="s">
        <v>160</v>
      </c>
      <c r="C36" t="s">
        <v>2345</v>
      </c>
      <c r="D36" s="17">
        <v>25</v>
      </c>
      <c r="E36" s="442" t="s">
        <v>2346</v>
      </c>
      <c r="F36" s="442"/>
      <c r="G36" s="14"/>
    </row>
    <row r="37" spans="1:13">
      <c r="A37" t="s">
        <v>2347</v>
      </c>
      <c r="B37" s="428" t="s">
        <v>2348</v>
      </c>
      <c r="C37" t="s">
        <v>2349</v>
      </c>
      <c r="D37" s="17" t="s">
        <v>2230</v>
      </c>
      <c r="E37" s="442" t="s">
        <v>2350</v>
      </c>
      <c r="F37" s="442"/>
      <c r="G37" s="14"/>
    </row>
    <row r="38" spans="1:13">
      <c r="A38" t="s">
        <v>2351</v>
      </c>
      <c r="B38" s="428" t="s">
        <v>162</v>
      </c>
      <c r="C38" t="s">
        <v>2352</v>
      </c>
      <c r="D38" s="17" t="s">
        <v>2230</v>
      </c>
      <c r="E38" s="442" t="s">
        <v>2353</v>
      </c>
      <c r="F38" s="442"/>
      <c r="G38" s="14"/>
    </row>
    <row r="39" spans="1:13">
      <c r="A39" t="s">
        <v>2354</v>
      </c>
      <c r="B39" s="428" t="s">
        <v>163</v>
      </c>
      <c r="C39" t="s">
        <v>2355</v>
      </c>
      <c r="D39" s="17" t="s">
        <v>2230</v>
      </c>
      <c r="E39" s="442" t="s">
        <v>2356</v>
      </c>
      <c r="F39" s="442"/>
      <c r="G39" s="14"/>
    </row>
    <row r="40" spans="1:13">
      <c r="A40" t="s">
        <v>2357</v>
      </c>
      <c r="B40" s="428" t="s">
        <v>164</v>
      </c>
      <c r="C40" t="s">
        <v>2358</v>
      </c>
      <c r="D40" s="17">
        <v>25</v>
      </c>
      <c r="E40" s="442" t="s">
        <v>2359</v>
      </c>
      <c r="F40" s="442"/>
      <c r="G40" s="14"/>
      <c r="M40" s="536"/>
    </row>
    <row r="41" spans="1:13">
      <c r="A41" t="s">
        <v>2360</v>
      </c>
      <c r="B41" s="428" t="s">
        <v>2361</v>
      </c>
      <c r="C41" t="s">
        <v>2362</v>
      </c>
      <c r="D41" s="17" t="s">
        <v>2230</v>
      </c>
      <c r="E41" s="442" t="s">
        <v>2363</v>
      </c>
      <c r="F41" s="442"/>
      <c r="G41" s="14"/>
      <c r="M41" s="536"/>
    </row>
    <row r="42" spans="1:13">
      <c r="A42" t="s">
        <v>2364</v>
      </c>
      <c r="B42" s="428" t="s">
        <v>165</v>
      </c>
      <c r="C42" t="s">
        <v>2365</v>
      </c>
      <c r="D42" s="17" t="s">
        <v>2230</v>
      </c>
      <c r="E42" s="442" t="s">
        <v>2366</v>
      </c>
      <c r="G42" s="14"/>
      <c r="M42" s="536"/>
    </row>
    <row r="43" spans="1:13">
      <c r="A43" t="s">
        <v>2367</v>
      </c>
      <c r="B43" s="428" t="s">
        <v>2368</v>
      </c>
      <c r="C43" t="s">
        <v>2369</v>
      </c>
      <c r="D43" s="17" t="s">
        <v>2230</v>
      </c>
      <c r="E43" s="442" t="s">
        <v>2370</v>
      </c>
      <c r="G43" s="14"/>
      <c r="M43" s="536"/>
    </row>
    <row r="44" spans="1:13">
      <c r="A44" t="s">
        <v>2371</v>
      </c>
      <c r="B44" s="428" t="s">
        <v>166</v>
      </c>
      <c r="C44" t="s">
        <v>2372</v>
      </c>
      <c r="D44" s="17" t="s">
        <v>2230</v>
      </c>
      <c r="E44" s="442" t="s">
        <v>2373</v>
      </c>
      <c r="F44" s="442"/>
      <c r="G44" s="14"/>
      <c r="M44" s="536"/>
    </row>
    <row r="45" spans="1:13">
      <c r="A45" t="s">
        <v>2374</v>
      </c>
      <c r="B45" s="428" t="s">
        <v>2375</v>
      </c>
      <c r="C45" t="s">
        <v>2376</v>
      </c>
      <c r="D45" s="17" t="s">
        <v>2230</v>
      </c>
      <c r="E45" s="442" t="s">
        <v>2377</v>
      </c>
      <c r="F45" s="442"/>
      <c r="G45" s="14"/>
      <c r="M45" s="536"/>
    </row>
    <row r="46" spans="1:13">
      <c r="A46" t="s">
        <v>2378</v>
      </c>
      <c r="B46" s="428" t="s">
        <v>2379</v>
      </c>
      <c r="C46" t="s">
        <v>2380</v>
      </c>
      <c r="D46" s="17" t="s">
        <v>2230</v>
      </c>
      <c r="E46" s="442" t="s">
        <v>2381</v>
      </c>
      <c r="F46" s="442"/>
      <c r="G46" s="14"/>
    </row>
    <row r="47" spans="1:13">
      <c r="A47" t="s">
        <v>2382</v>
      </c>
      <c r="B47" s="428" t="s">
        <v>167</v>
      </c>
      <c r="C47" t="s">
        <v>2383</v>
      </c>
      <c r="D47" s="17" t="s">
        <v>2230</v>
      </c>
      <c r="E47" s="14" t="s">
        <v>2384</v>
      </c>
      <c r="F47" s="442"/>
      <c r="G47" s="442"/>
    </row>
    <row r="48" spans="1:13">
      <c r="A48" t="s">
        <v>2385</v>
      </c>
      <c r="B48" s="428" t="s">
        <v>2386</v>
      </c>
      <c r="C48" t="s">
        <v>2387</v>
      </c>
      <c r="D48" s="17" t="s">
        <v>2230</v>
      </c>
      <c r="E48" t="s">
        <v>2388</v>
      </c>
      <c r="F48" s="442"/>
      <c r="G48" s="14"/>
    </row>
    <row r="49" spans="1:13">
      <c r="A49" t="s">
        <v>2389</v>
      </c>
      <c r="B49" s="428" t="s">
        <v>2390</v>
      </c>
      <c r="C49" t="s">
        <v>2391</v>
      </c>
      <c r="D49" s="17" t="s">
        <v>2230</v>
      </c>
      <c r="E49" s="442" t="s">
        <v>2392</v>
      </c>
      <c r="F49" s="442"/>
      <c r="G49" s="14"/>
      <c r="M49" s="536"/>
    </row>
    <row r="50" spans="1:13">
      <c r="A50" t="s">
        <v>2393</v>
      </c>
      <c r="B50" s="428" t="s">
        <v>170</v>
      </c>
      <c r="C50" t="s">
        <v>2394</v>
      </c>
      <c r="D50" s="17" t="s">
        <v>2230</v>
      </c>
      <c r="E50" s="442" t="s">
        <v>2395</v>
      </c>
      <c r="F50" s="442"/>
      <c r="G50" s="14"/>
      <c r="M50" s="536"/>
    </row>
    <row r="51" spans="1:13" ht="12" customHeight="1">
      <c r="A51" t="s">
        <v>2396</v>
      </c>
      <c r="B51" s="428" t="s">
        <v>2397</v>
      </c>
      <c r="C51" t="s">
        <v>2398</v>
      </c>
      <c r="D51" s="17" t="s">
        <v>2230</v>
      </c>
      <c r="E51" s="442" t="s">
        <v>2399</v>
      </c>
      <c r="F51" s="442"/>
      <c r="G51" s="14"/>
      <c r="M51" s="536"/>
    </row>
    <row r="52" spans="1:13">
      <c r="A52" t="s">
        <v>2400</v>
      </c>
      <c r="B52" s="428" t="s">
        <v>2401</v>
      </c>
      <c r="C52" t="s">
        <v>2402</v>
      </c>
      <c r="D52" s="17">
        <v>25</v>
      </c>
      <c r="E52" s="442" t="s">
        <v>2403</v>
      </c>
      <c r="G52" s="14"/>
      <c r="M52" s="536"/>
    </row>
    <row r="53" spans="1:13">
      <c r="A53" t="s">
        <v>2404</v>
      </c>
      <c r="B53" s="428" t="s">
        <v>2405</v>
      </c>
      <c r="C53" t="s">
        <v>2406</v>
      </c>
      <c r="D53" s="17" t="s">
        <v>2230</v>
      </c>
      <c r="E53" s="442" t="s">
        <v>2407</v>
      </c>
      <c r="G53" s="14"/>
      <c r="M53" s="536"/>
    </row>
    <row r="54" spans="1:13">
      <c r="A54" t="s">
        <v>2408</v>
      </c>
      <c r="B54" s="428" t="s">
        <v>2409</v>
      </c>
      <c r="C54" t="s">
        <v>2410</v>
      </c>
      <c r="D54" s="17" t="s">
        <v>2230</v>
      </c>
      <c r="E54" s="442" t="s">
        <v>2411</v>
      </c>
      <c r="G54" s="14"/>
      <c r="M54" s="536"/>
    </row>
    <row r="55" spans="1:13">
      <c r="A55" t="s">
        <v>2412</v>
      </c>
      <c r="B55" s="428" t="s">
        <v>152</v>
      </c>
      <c r="C55" t="s">
        <v>2413</v>
      </c>
      <c r="D55" s="17" t="s">
        <v>2230</v>
      </c>
      <c r="E55" t="s">
        <v>2414</v>
      </c>
      <c r="G55" s="14"/>
    </row>
    <row r="56" spans="1:13">
      <c r="A56" t="s">
        <v>2415</v>
      </c>
      <c r="B56" s="428" t="s">
        <v>2307</v>
      </c>
      <c r="C56" t="s">
        <v>2416</v>
      </c>
      <c r="D56" s="17">
        <v>40</v>
      </c>
      <c r="E56" t="s">
        <v>2417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2230</v>
      </c>
      <c r="D59" s="17" t="s">
        <v>2230</v>
      </c>
      <c r="F59" s="442"/>
      <c r="G59" s="14"/>
    </row>
    <row r="60" spans="1:13">
      <c r="A60" t="s">
        <v>2230</v>
      </c>
      <c r="D60" s="17" t="s">
        <v>2230</v>
      </c>
      <c r="F60" s="442"/>
      <c r="G60" s="14"/>
    </row>
    <row r="61" spans="1:13">
      <c r="A61" t="s">
        <v>2418</v>
      </c>
      <c r="B61" s="428" t="s">
        <v>2419</v>
      </c>
      <c r="C61" t="s">
        <v>2420</v>
      </c>
      <c r="D61" s="17" t="s">
        <v>2230</v>
      </c>
      <c r="E61" t="s">
        <v>2421</v>
      </c>
      <c r="F61" s="442"/>
      <c r="G61" s="14"/>
    </row>
    <row r="62" spans="1:13">
      <c r="A62" t="s">
        <v>2422</v>
      </c>
      <c r="B62" s="428" t="s">
        <v>179</v>
      </c>
      <c r="C62" t="s">
        <v>2423</v>
      </c>
      <c r="D62" s="17" t="s">
        <v>2230</v>
      </c>
      <c r="E62" t="s">
        <v>2424</v>
      </c>
      <c r="F62" s="442"/>
      <c r="G62" s="14"/>
    </row>
    <row r="63" spans="1:13">
      <c r="A63" t="s">
        <v>2425</v>
      </c>
      <c r="B63" s="428" t="s">
        <v>2426</v>
      </c>
      <c r="C63" t="s">
        <v>2427</v>
      </c>
      <c r="D63" s="17" t="s">
        <v>2230</v>
      </c>
      <c r="E63" t="s">
        <v>2428</v>
      </c>
      <c r="F63" s="442"/>
      <c r="G63" s="14"/>
    </row>
    <row r="64" spans="1:13">
      <c r="A64" t="s">
        <v>2429</v>
      </c>
      <c r="B64" s="428" t="s">
        <v>2430</v>
      </c>
      <c r="C64" t="s">
        <v>2431</v>
      </c>
      <c r="D64" s="17" t="s">
        <v>2230</v>
      </c>
      <c r="E64" t="s">
        <v>2432</v>
      </c>
      <c r="G64" s="14"/>
    </row>
    <row r="65" spans="1:7">
      <c r="A65" t="s">
        <v>2433</v>
      </c>
      <c r="B65" s="428" t="s">
        <v>2434</v>
      </c>
      <c r="C65" t="s">
        <v>2435</v>
      </c>
      <c r="D65" s="17" t="s">
        <v>2230</v>
      </c>
      <c r="E65" t="s">
        <v>2436</v>
      </c>
      <c r="F65" s="442"/>
      <c r="G65" s="14"/>
    </row>
    <row r="66" spans="1:7">
      <c r="A66" t="s">
        <v>2437</v>
      </c>
      <c r="B66" s="428" t="s">
        <v>2438</v>
      </c>
      <c r="C66" t="s">
        <v>2439</v>
      </c>
      <c r="D66" s="17" t="s">
        <v>2230</v>
      </c>
      <c r="E66" t="s">
        <v>2440</v>
      </c>
      <c r="F66" s="442"/>
      <c r="G66" s="14"/>
    </row>
    <row r="67" spans="1:7">
      <c r="A67" t="s">
        <v>2441</v>
      </c>
      <c r="B67" s="428" t="s">
        <v>2442</v>
      </c>
      <c r="C67" t="s">
        <v>2443</v>
      </c>
      <c r="D67" s="17" t="s">
        <v>2230</v>
      </c>
      <c r="E67" t="s">
        <v>2444</v>
      </c>
      <c r="G67" s="14"/>
    </row>
    <row r="68" spans="1:7">
      <c r="A68" t="s">
        <v>2445</v>
      </c>
      <c r="B68" s="428" t="s">
        <v>182</v>
      </c>
      <c r="C68" t="s">
        <v>2446</v>
      </c>
      <c r="D68" s="17" t="s">
        <v>2230</v>
      </c>
      <c r="E68" t="s">
        <v>2447</v>
      </c>
      <c r="F68" s="442"/>
      <c r="G68" s="14"/>
    </row>
    <row r="69" spans="1:7">
      <c r="A69" t="s">
        <v>2448</v>
      </c>
      <c r="B69" s="428" t="s">
        <v>184</v>
      </c>
      <c r="C69" t="s">
        <v>2449</v>
      </c>
      <c r="D69" s="17" t="s">
        <v>2230</v>
      </c>
      <c r="E69" t="s">
        <v>2450</v>
      </c>
      <c r="F69" s="442"/>
      <c r="G69" s="14"/>
    </row>
    <row r="70" spans="1:7">
      <c r="A70" t="s">
        <v>2451</v>
      </c>
      <c r="B70" s="428" t="s">
        <v>185</v>
      </c>
      <c r="C70" t="s">
        <v>2452</v>
      </c>
      <c r="D70" s="17" t="s">
        <v>2230</v>
      </c>
      <c r="E70" t="s">
        <v>2453</v>
      </c>
      <c r="F70" s="442"/>
      <c r="G70" s="14"/>
    </row>
    <row r="71" spans="1:7">
      <c r="A71" t="s">
        <v>2454</v>
      </c>
      <c r="B71" s="428" t="s">
        <v>2455</v>
      </c>
      <c r="C71" t="s">
        <v>2456</v>
      </c>
      <c r="D71" s="17" t="s">
        <v>2230</v>
      </c>
      <c r="E71" t="s">
        <v>2457</v>
      </c>
      <c r="F71" s="442"/>
      <c r="G71" s="14"/>
    </row>
    <row r="72" spans="1:7">
      <c r="A72" t="s">
        <v>2458</v>
      </c>
      <c r="B72" s="428" t="s">
        <v>186</v>
      </c>
      <c r="C72" t="s">
        <v>2459</v>
      </c>
      <c r="D72" s="17" t="s">
        <v>2230</v>
      </c>
      <c r="E72" t="s">
        <v>2460</v>
      </c>
      <c r="G72" s="14"/>
    </row>
    <row r="73" spans="1:7">
      <c r="A73" t="s">
        <v>2461</v>
      </c>
      <c r="B73" s="428" t="s">
        <v>2462</v>
      </c>
      <c r="C73" t="s">
        <v>2463</v>
      </c>
      <c r="D73" s="17" t="s">
        <v>2230</v>
      </c>
      <c r="E73" t="s">
        <v>2464</v>
      </c>
      <c r="F73" s="442"/>
      <c r="G73" s="14"/>
    </row>
    <row r="74" spans="1:7">
      <c r="A74" t="s">
        <v>2465</v>
      </c>
      <c r="B74" s="428" t="s">
        <v>2466</v>
      </c>
      <c r="C74" t="s">
        <v>2467</v>
      </c>
      <c r="D74" s="17" t="s">
        <v>2230</v>
      </c>
      <c r="E74" t="s">
        <v>2468</v>
      </c>
      <c r="F74" s="442"/>
      <c r="G74" s="14"/>
    </row>
    <row r="75" spans="1:7">
      <c r="A75" t="s">
        <v>2469</v>
      </c>
      <c r="B75" s="428" t="s">
        <v>187</v>
      </c>
      <c r="C75" t="s">
        <v>2470</v>
      </c>
      <c r="D75" s="17" t="s">
        <v>2230</v>
      </c>
      <c r="E75" t="s">
        <v>2471</v>
      </c>
      <c r="F75" s="442"/>
      <c r="G75" s="14"/>
    </row>
    <row r="76" spans="1:7">
      <c r="A76" t="s">
        <v>2472</v>
      </c>
      <c r="B76" s="428" t="s">
        <v>2473</v>
      </c>
      <c r="C76" t="s">
        <v>2474</v>
      </c>
      <c r="D76" s="17">
        <v>25</v>
      </c>
      <c r="E76" t="s">
        <v>2475</v>
      </c>
      <c r="F76" s="442"/>
      <c r="G76" s="14"/>
    </row>
    <row r="77" spans="1:7">
      <c r="A77" t="s">
        <v>2476</v>
      </c>
      <c r="B77" s="428" t="s">
        <v>189</v>
      </c>
      <c r="C77" t="s">
        <v>2477</v>
      </c>
      <c r="D77" s="17">
        <v>25</v>
      </c>
      <c r="E77" t="s">
        <v>2478</v>
      </c>
      <c r="F77" s="442"/>
      <c r="G77" s="14"/>
    </row>
    <row r="78" spans="1:7">
      <c r="A78" t="s">
        <v>2479</v>
      </c>
      <c r="B78" s="428" t="s">
        <v>190</v>
      </c>
      <c r="C78" t="s">
        <v>2480</v>
      </c>
      <c r="D78" s="17" t="s">
        <v>2230</v>
      </c>
      <c r="E78" t="s">
        <v>2481</v>
      </c>
      <c r="F78" s="442"/>
      <c r="G78" s="14"/>
    </row>
    <row r="79" spans="1:7">
      <c r="F79" s="442"/>
      <c r="G79" s="14"/>
    </row>
    <row r="80" spans="1:7">
      <c r="D80" s="17" t="s">
        <v>2230</v>
      </c>
      <c r="F80" s="442"/>
      <c r="G80" s="14"/>
    </row>
    <row r="81" spans="1:7">
      <c r="D81" s="17" t="s">
        <v>2230</v>
      </c>
      <c r="F81" s="442"/>
      <c r="G81" s="14"/>
    </row>
    <row r="82" spans="1:7">
      <c r="A82" t="s">
        <v>2482</v>
      </c>
      <c r="B82" s="428" t="s">
        <v>2224</v>
      </c>
      <c r="C82" t="s">
        <v>2483</v>
      </c>
      <c r="D82" s="17" t="s">
        <v>2230</v>
      </c>
      <c r="E82" t="s">
        <v>2484</v>
      </c>
    </row>
    <row r="83" spans="1:7">
      <c r="A83" t="s">
        <v>2485</v>
      </c>
      <c r="B83" s="428" t="s">
        <v>2225</v>
      </c>
      <c r="C83" t="s">
        <v>2486</v>
      </c>
      <c r="D83" s="17" t="s">
        <v>2230</v>
      </c>
      <c r="E83" t="s">
        <v>2487</v>
      </c>
    </row>
    <row r="84" spans="1:7">
      <c r="A84" t="s">
        <v>2488</v>
      </c>
      <c r="B84" s="428" t="s">
        <v>2489</v>
      </c>
      <c r="C84" t="s">
        <v>2490</v>
      </c>
      <c r="D84" s="17" t="s">
        <v>2230</v>
      </c>
      <c r="E84" t="s">
        <v>2491</v>
      </c>
    </row>
    <row r="85" spans="1:7">
      <c r="A85" t="s">
        <v>2492</v>
      </c>
      <c r="B85" s="428" t="s">
        <v>227</v>
      </c>
      <c r="C85" t="s">
        <v>2493</v>
      </c>
      <c r="D85" s="17" t="s">
        <v>2230</v>
      </c>
      <c r="E85" t="s">
        <v>2494</v>
      </c>
    </row>
    <row r="86" spans="1:7">
      <c r="A86" t="s">
        <v>2495</v>
      </c>
      <c r="B86" s="428" t="s">
        <v>231</v>
      </c>
      <c r="C86" t="s">
        <v>2496</v>
      </c>
      <c r="D86" s="17" t="s">
        <v>2230</v>
      </c>
      <c r="E86" t="s">
        <v>2497</v>
      </c>
    </row>
    <row r="87" spans="1:7">
      <c r="A87" t="s">
        <v>2498</v>
      </c>
      <c r="B87" s="428" t="s">
        <v>233</v>
      </c>
      <c r="C87" t="s">
        <v>2499</v>
      </c>
      <c r="D87" s="17" t="s">
        <v>2230</v>
      </c>
      <c r="E87" t="s">
        <v>2500</v>
      </c>
    </row>
    <row r="88" spans="1:7">
      <c r="A88" t="s">
        <v>2501</v>
      </c>
      <c r="B88" s="428" t="s">
        <v>234</v>
      </c>
      <c r="C88" t="s">
        <v>2502</v>
      </c>
      <c r="D88" s="17" t="s">
        <v>2230</v>
      </c>
      <c r="E88" t="s">
        <v>2503</v>
      </c>
    </row>
    <row r="89" spans="1:7">
      <c r="A89" t="s">
        <v>2504</v>
      </c>
      <c r="B89" s="428" t="s">
        <v>236</v>
      </c>
      <c r="C89" t="s">
        <v>2505</v>
      </c>
      <c r="D89" s="17" t="s">
        <v>2230</v>
      </c>
      <c r="E89" t="s">
        <v>2506</v>
      </c>
    </row>
    <row r="90" spans="1:7">
      <c r="A90" t="s">
        <v>2507</v>
      </c>
      <c r="B90" s="428" t="s">
        <v>237</v>
      </c>
      <c r="C90" t="s">
        <v>2508</v>
      </c>
      <c r="D90" s="17" t="s">
        <v>2230</v>
      </c>
      <c r="E90" t="s">
        <v>2509</v>
      </c>
    </row>
    <row r="91" spans="1:7">
      <c r="A91" t="s">
        <v>2510</v>
      </c>
      <c r="B91" s="428" t="s">
        <v>238</v>
      </c>
      <c r="C91" t="s">
        <v>2511</v>
      </c>
      <c r="D91" s="17" t="s">
        <v>2230</v>
      </c>
      <c r="E91" t="s">
        <v>2512</v>
      </c>
    </row>
    <row r="92" spans="1:7">
      <c r="A92" t="s">
        <v>2513</v>
      </c>
      <c r="B92" s="428" t="s">
        <v>239</v>
      </c>
      <c r="C92" t="s">
        <v>2514</v>
      </c>
      <c r="D92" s="17" t="s">
        <v>2230</v>
      </c>
      <c r="E92" t="s">
        <v>2515</v>
      </c>
    </row>
    <row r="93" spans="1:7">
      <c r="A93" t="s">
        <v>2516</v>
      </c>
      <c r="B93" s="428" t="s">
        <v>240</v>
      </c>
      <c r="C93" t="s">
        <v>2517</v>
      </c>
      <c r="D93" s="17" t="s">
        <v>2230</v>
      </c>
      <c r="E93" t="s">
        <v>2518</v>
      </c>
    </row>
    <row r="94" spans="1:7">
      <c r="A94" t="s">
        <v>2519</v>
      </c>
      <c r="B94" s="428" t="s">
        <v>244</v>
      </c>
      <c r="C94" t="s">
        <v>2520</v>
      </c>
      <c r="D94" s="17" t="s">
        <v>2230</v>
      </c>
      <c r="E94" t="s">
        <v>2521</v>
      </c>
    </row>
    <row r="95" spans="1:7">
      <c r="A95" t="s">
        <v>2522</v>
      </c>
      <c r="B95" s="428" t="s">
        <v>242</v>
      </c>
      <c r="C95" t="s">
        <v>2523</v>
      </c>
      <c r="D95" s="17" t="s">
        <v>2230</v>
      </c>
      <c r="E95" t="s">
        <v>2524</v>
      </c>
    </row>
    <row r="96" spans="1:7">
      <c r="A96" t="s">
        <v>2525</v>
      </c>
      <c r="B96" s="428" t="s">
        <v>228</v>
      </c>
      <c r="C96" t="s">
        <v>2526</v>
      </c>
      <c r="D96" s="17" t="s">
        <v>2230</v>
      </c>
      <c r="E96" t="s">
        <v>2527</v>
      </c>
    </row>
    <row r="97" spans="1:5">
      <c r="A97" t="s">
        <v>2528</v>
      </c>
      <c r="B97" s="428" t="s">
        <v>229</v>
      </c>
      <c r="C97" t="s">
        <v>2529</v>
      </c>
      <c r="D97" s="17" t="s">
        <v>2230</v>
      </c>
      <c r="E97" t="s">
        <v>2530</v>
      </c>
    </row>
    <row r="98" spans="1:5">
      <c r="A98" t="s">
        <v>2531</v>
      </c>
      <c r="B98" s="428" t="s">
        <v>193</v>
      </c>
      <c r="C98" t="s">
        <v>2532</v>
      </c>
      <c r="D98" s="17" t="s">
        <v>2230</v>
      </c>
      <c r="E98" t="s">
        <v>2533</v>
      </c>
    </row>
    <row r="99" spans="1:5">
      <c r="A99" t="s">
        <v>2534</v>
      </c>
      <c r="B99" s="428" t="s">
        <v>196</v>
      </c>
      <c r="C99" t="s">
        <v>2535</v>
      </c>
      <c r="D99" s="17" t="s">
        <v>2230</v>
      </c>
      <c r="E99" t="s">
        <v>2536</v>
      </c>
    </row>
    <row r="100" spans="1:5">
      <c r="A100" t="s">
        <v>2534</v>
      </c>
      <c r="B100" s="428" t="s">
        <v>196</v>
      </c>
      <c r="C100" t="s">
        <v>2535</v>
      </c>
      <c r="D100" s="17" t="s">
        <v>2230</v>
      </c>
      <c r="E100" t="s">
        <v>2537</v>
      </c>
    </row>
    <row r="101" spans="1:5">
      <c r="A101" t="s">
        <v>2538</v>
      </c>
      <c r="B101" s="428" t="s">
        <v>203</v>
      </c>
      <c r="C101" t="s">
        <v>2539</v>
      </c>
      <c r="D101" s="17" t="s">
        <v>2230</v>
      </c>
      <c r="E101" t="s">
        <v>2540</v>
      </c>
    </row>
    <row r="102" spans="1:5">
      <c r="A102" t="s">
        <v>2541</v>
      </c>
      <c r="B102" s="428" t="s">
        <v>204</v>
      </c>
      <c r="C102" t="s">
        <v>2542</v>
      </c>
      <c r="D102" s="17" t="s">
        <v>2230</v>
      </c>
      <c r="E102" t="s">
        <v>2543</v>
      </c>
    </row>
    <row r="103" spans="1:5">
      <c r="A103" t="s">
        <v>2544</v>
      </c>
      <c r="B103" s="428" t="s">
        <v>205</v>
      </c>
      <c r="C103" t="s">
        <v>2545</v>
      </c>
      <c r="D103" s="17" t="s">
        <v>2230</v>
      </c>
      <c r="E103" t="s">
        <v>2546</v>
      </c>
    </row>
    <row r="104" spans="1:5">
      <c r="A104" t="s">
        <v>2547</v>
      </c>
      <c r="B104" s="428" t="s">
        <v>211</v>
      </c>
      <c r="C104" t="s">
        <v>2548</v>
      </c>
      <c r="D104" s="17" t="s">
        <v>2230</v>
      </c>
      <c r="E104" t="s">
        <v>2549</v>
      </c>
    </row>
    <row r="105" spans="1:5">
      <c r="A105" t="s">
        <v>2547</v>
      </c>
      <c r="B105" s="428" t="s">
        <v>211</v>
      </c>
      <c r="C105" t="s">
        <v>2548</v>
      </c>
      <c r="D105" s="17" t="s">
        <v>2230</v>
      </c>
      <c r="E105" t="s">
        <v>2550</v>
      </c>
    </row>
    <row r="106" spans="1:5">
      <c r="A106" t="s">
        <v>2551</v>
      </c>
      <c r="B106" s="428" t="s">
        <v>212</v>
      </c>
      <c r="C106" t="s">
        <v>2552</v>
      </c>
      <c r="D106" s="17" t="s">
        <v>2230</v>
      </c>
      <c r="E106" t="s">
        <v>2553</v>
      </c>
    </row>
    <row r="107" spans="1:5">
      <c r="A107" t="s">
        <v>2554</v>
      </c>
      <c r="B107" s="428" t="s">
        <v>213</v>
      </c>
      <c r="C107" t="s">
        <v>2555</v>
      </c>
      <c r="D107" s="17" t="s">
        <v>2230</v>
      </c>
      <c r="E107" t="s">
        <v>2556</v>
      </c>
    </row>
    <row r="108" spans="1:5">
      <c r="A108" t="s">
        <v>2557</v>
      </c>
      <c r="B108" s="428" t="s">
        <v>207</v>
      </c>
      <c r="C108" t="s">
        <v>2558</v>
      </c>
      <c r="D108" s="17" t="s">
        <v>2230</v>
      </c>
      <c r="E108" t="s">
        <v>2559</v>
      </c>
    </row>
    <row r="109" spans="1:5">
      <c r="A109" t="s">
        <v>2560</v>
      </c>
      <c r="B109" s="428" t="s">
        <v>206</v>
      </c>
      <c r="C109" t="s">
        <v>2561</v>
      </c>
      <c r="D109" s="17" t="s">
        <v>2230</v>
      </c>
      <c r="E109" t="s">
        <v>2562</v>
      </c>
    </row>
    <row r="110" spans="1:5">
      <c r="A110" t="s">
        <v>2563</v>
      </c>
    </row>
    <row r="111" spans="1:5">
      <c r="D111" s="17" t="s">
        <v>2230</v>
      </c>
    </row>
    <row r="112" spans="1:5">
      <c r="D112" s="17" t="s">
        <v>2230</v>
      </c>
    </row>
    <row r="113" spans="1:5">
      <c r="D113" s="17" t="s">
        <v>2230</v>
      </c>
    </row>
    <row r="114" spans="1:5">
      <c r="A114" t="s">
        <v>2564</v>
      </c>
      <c r="B114" s="428" t="s">
        <v>2565</v>
      </c>
      <c r="C114" t="s">
        <v>2566</v>
      </c>
      <c r="D114" s="17" t="s">
        <v>2230</v>
      </c>
      <c r="E114" t="s">
        <v>2567</v>
      </c>
    </row>
    <row r="115" spans="1:5">
      <c r="A115" t="s">
        <v>2568</v>
      </c>
      <c r="B115" s="428" t="s">
        <v>2569</v>
      </c>
      <c r="C115" t="s">
        <v>2570</v>
      </c>
      <c r="D115" s="17" t="s">
        <v>2230</v>
      </c>
      <c r="E115" t="s">
        <v>2571</v>
      </c>
    </row>
    <row r="116" spans="1:5">
      <c r="A116" t="s">
        <v>2572</v>
      </c>
      <c r="B116" s="428" t="s">
        <v>2573</v>
      </c>
      <c r="C116" t="s">
        <v>2574</v>
      </c>
      <c r="D116" s="17" t="s">
        <v>2230</v>
      </c>
      <c r="E116" t="s">
        <v>2575</v>
      </c>
    </row>
    <row r="117" spans="1:5">
      <c r="A117" t="s">
        <v>2576</v>
      </c>
      <c r="B117" s="428" t="s">
        <v>2577</v>
      </c>
      <c r="C117" t="s">
        <v>2578</v>
      </c>
      <c r="D117" s="17" t="s">
        <v>2230</v>
      </c>
      <c r="E117" t="s">
        <v>2579</v>
      </c>
    </row>
    <row r="118" spans="1:5">
      <c r="A118" t="s">
        <v>2580</v>
      </c>
      <c r="B118" s="428" t="s">
        <v>2581</v>
      </c>
      <c r="C118" t="s">
        <v>2582</v>
      </c>
      <c r="D118" s="17" t="s">
        <v>2230</v>
      </c>
      <c r="E118" t="s">
        <v>2583</v>
      </c>
    </row>
    <row r="119" spans="1:5">
      <c r="C119" t="s">
        <v>2584</v>
      </c>
      <c r="D119" s="17">
        <v>25</v>
      </c>
      <c r="E119" t="s">
        <v>2585</v>
      </c>
    </row>
    <row r="120" spans="1:5">
      <c r="A120" t="s">
        <v>2586</v>
      </c>
      <c r="B120" s="428" t="s">
        <v>2587</v>
      </c>
      <c r="C120" t="s">
        <v>2588</v>
      </c>
      <c r="D120" s="17" t="s">
        <v>2230</v>
      </c>
      <c r="E120" t="s">
        <v>2589</v>
      </c>
    </row>
    <row r="121" spans="1:5">
      <c r="A121" t="s">
        <v>2590</v>
      </c>
      <c r="B121" s="428" t="s">
        <v>2162</v>
      </c>
      <c r="C121" t="s">
        <v>2591</v>
      </c>
      <c r="D121" s="17" t="s">
        <v>2230</v>
      </c>
      <c r="E121" t="s">
        <v>2592</v>
      </c>
    </row>
    <row r="122" spans="1:5">
      <c r="A122" t="s">
        <v>2593</v>
      </c>
      <c r="B122" s="428" t="s">
        <v>2594</v>
      </c>
      <c r="C122" t="s">
        <v>2595</v>
      </c>
      <c r="D122" s="17" t="s">
        <v>2230</v>
      </c>
      <c r="E122" t="s">
        <v>2596</v>
      </c>
    </row>
    <row r="123" spans="1:5">
      <c r="A123" t="s">
        <v>2597</v>
      </c>
      <c r="B123" s="428" t="s">
        <v>2598</v>
      </c>
      <c r="C123" t="s">
        <v>2599</v>
      </c>
      <c r="D123" s="17" t="s">
        <v>2230</v>
      </c>
      <c r="E123" t="s">
        <v>2600</v>
      </c>
    </row>
    <row r="124" spans="1:5">
      <c r="C124" t="s">
        <v>2599</v>
      </c>
      <c r="E124" t="s">
        <v>2600</v>
      </c>
    </row>
    <row r="127" spans="1:5">
      <c r="A127" t="s">
        <v>2601</v>
      </c>
      <c r="B127" s="428" t="s">
        <v>2602</v>
      </c>
      <c r="C127" t="s">
        <v>2603</v>
      </c>
      <c r="D127" s="17" t="s">
        <v>2230</v>
      </c>
      <c r="E127" t="s">
        <v>2604</v>
      </c>
    </row>
    <row r="128" spans="1:5">
      <c r="A128" t="s">
        <v>2605</v>
      </c>
      <c r="B128" s="428" t="s">
        <v>2606</v>
      </c>
      <c r="C128" t="s">
        <v>2607</v>
      </c>
      <c r="D128" s="17" t="s">
        <v>2230</v>
      </c>
      <c r="E128" t="s">
        <v>2608</v>
      </c>
    </row>
    <row r="129" spans="1:5">
      <c r="A129" t="s">
        <v>2609</v>
      </c>
      <c r="B129" s="428" t="s">
        <v>249</v>
      </c>
      <c r="C129" t="s">
        <v>2610</v>
      </c>
      <c r="D129" s="17" t="s">
        <v>2230</v>
      </c>
      <c r="E129" t="s">
        <v>2611</v>
      </c>
    </row>
    <row r="130" spans="1:5">
      <c r="A130" t="s">
        <v>2612</v>
      </c>
      <c r="B130" s="428" t="s">
        <v>2613</v>
      </c>
      <c r="C130" t="s">
        <v>2614</v>
      </c>
      <c r="D130" s="17" t="s">
        <v>2230</v>
      </c>
      <c r="E130" t="s">
        <v>2615</v>
      </c>
    </row>
    <row r="131" spans="1:5">
      <c r="A131" t="s">
        <v>2616</v>
      </c>
      <c r="B131" s="428" t="s">
        <v>2617</v>
      </c>
      <c r="C131" t="s">
        <v>2618</v>
      </c>
      <c r="D131" s="17" t="s">
        <v>2230</v>
      </c>
      <c r="E131" t="s">
        <v>2619</v>
      </c>
    </row>
    <row r="135" spans="1:5">
      <c r="A135" t="s">
        <v>2620</v>
      </c>
      <c r="B135" s="428" t="s">
        <v>263</v>
      </c>
      <c r="C135" t="s">
        <v>2621</v>
      </c>
      <c r="D135" s="17">
        <v>50</v>
      </c>
      <c r="E135" t="s">
        <v>2622</v>
      </c>
    </row>
    <row r="136" spans="1:5">
      <c r="A136" t="s">
        <v>2623</v>
      </c>
      <c r="B136" s="428" t="s">
        <v>282</v>
      </c>
      <c r="C136" t="s">
        <v>2624</v>
      </c>
      <c r="D136" s="17">
        <v>50</v>
      </c>
      <c r="E136" t="s">
        <v>2625</v>
      </c>
    </row>
    <row r="137" spans="1:5">
      <c r="A137" t="s">
        <v>2626</v>
      </c>
      <c r="B137" s="428" t="s">
        <v>299</v>
      </c>
      <c r="C137" t="s">
        <v>2627</v>
      </c>
      <c r="D137" s="17">
        <v>50</v>
      </c>
      <c r="E137" t="s">
        <v>2628</v>
      </c>
    </row>
    <row r="138" spans="1:5">
      <c r="A138" t="s">
        <v>2629</v>
      </c>
      <c r="B138" s="428" t="s">
        <v>309</v>
      </c>
      <c r="C138" t="s">
        <v>2630</v>
      </c>
      <c r="D138" s="17">
        <v>50</v>
      </c>
      <c r="E138" t="s">
        <v>2631</v>
      </c>
    </row>
    <row r="139" spans="1:5">
      <c r="A139" t="s">
        <v>2632</v>
      </c>
      <c r="B139" s="428" t="s">
        <v>322</v>
      </c>
      <c r="C139" t="s">
        <v>2633</v>
      </c>
      <c r="D139" s="17">
        <v>50</v>
      </c>
      <c r="E139" t="s">
        <v>2634</v>
      </c>
    </row>
    <row r="140" spans="1:5">
      <c r="A140" t="s">
        <v>2635</v>
      </c>
      <c r="B140" s="428" t="s">
        <v>324</v>
      </c>
      <c r="C140" t="s">
        <v>2636</v>
      </c>
      <c r="D140" s="17">
        <v>50</v>
      </c>
      <c r="E140" t="s">
        <v>2637</v>
      </c>
    </row>
    <row r="141" spans="1:5">
      <c r="A141" t="s">
        <v>2638</v>
      </c>
      <c r="B141" s="428" t="s">
        <v>329</v>
      </c>
      <c r="C141" t="s">
        <v>2639</v>
      </c>
      <c r="D141" s="17">
        <v>50</v>
      </c>
      <c r="E141" t="s">
        <v>2640</v>
      </c>
    </row>
    <row r="142" spans="1:5">
      <c r="A142" t="s">
        <v>2641</v>
      </c>
      <c r="B142" s="428" t="s">
        <v>344</v>
      </c>
      <c r="C142" t="s">
        <v>2642</v>
      </c>
      <c r="D142" s="17">
        <v>50</v>
      </c>
      <c r="E142" t="s">
        <v>2643</v>
      </c>
    </row>
    <row r="143" spans="1:5">
      <c r="A143" t="s">
        <v>2644</v>
      </c>
      <c r="B143" s="428" t="s">
        <v>356</v>
      </c>
      <c r="C143" t="s">
        <v>2645</v>
      </c>
      <c r="D143" s="17">
        <v>50</v>
      </c>
      <c r="E143" t="s">
        <v>2646</v>
      </c>
    </row>
    <row r="144" spans="1:5">
      <c r="A144" t="s">
        <v>2647</v>
      </c>
      <c r="B144" s="428" t="s">
        <v>368</v>
      </c>
      <c r="C144" t="s">
        <v>2648</v>
      </c>
      <c r="D144" s="17">
        <v>50</v>
      </c>
      <c r="E144" t="s">
        <v>2649</v>
      </c>
    </row>
    <row r="145" spans="1:5">
      <c r="A145" t="s">
        <v>2650</v>
      </c>
      <c r="B145" s="428" t="s">
        <v>382</v>
      </c>
      <c r="C145" t="s">
        <v>2651</v>
      </c>
      <c r="D145" s="17">
        <v>50</v>
      </c>
      <c r="E145" t="s">
        <v>2652</v>
      </c>
    </row>
    <row r="146" spans="1:5">
      <c r="A146" t="s">
        <v>2653</v>
      </c>
      <c r="B146" s="428" t="s">
        <v>393</v>
      </c>
      <c r="C146" t="s">
        <v>2654</v>
      </c>
      <c r="D146" s="17">
        <v>50</v>
      </c>
      <c r="E146" t="s">
        <v>2655</v>
      </c>
    </row>
    <row r="147" spans="1:5">
      <c r="A147" t="s">
        <v>2656</v>
      </c>
      <c r="B147" s="428" t="s">
        <v>403</v>
      </c>
      <c r="C147" t="s">
        <v>2657</v>
      </c>
      <c r="D147" s="17">
        <v>50</v>
      </c>
      <c r="E147" t="s">
        <v>2658</v>
      </c>
    </row>
    <row r="148" spans="1:5">
      <c r="A148" t="s">
        <v>2659</v>
      </c>
      <c r="B148" s="428" t="s">
        <v>410</v>
      </c>
      <c r="C148" t="s">
        <v>2660</v>
      </c>
      <c r="D148" s="17">
        <v>50</v>
      </c>
      <c r="E148" t="s">
        <v>2661</v>
      </c>
    </row>
    <row r="149" spans="1:5">
      <c r="A149" t="s">
        <v>2662</v>
      </c>
      <c r="B149" s="428" t="s">
        <v>413</v>
      </c>
      <c r="C149" t="s">
        <v>2663</v>
      </c>
      <c r="D149" s="17">
        <v>50</v>
      </c>
      <c r="E149" t="s">
        <v>2664</v>
      </c>
    </row>
    <row r="150" spans="1:5">
      <c r="A150" t="s">
        <v>2665</v>
      </c>
      <c r="B150" s="428" t="s">
        <v>419</v>
      </c>
      <c r="C150" t="s">
        <v>2666</v>
      </c>
      <c r="D150" s="17">
        <v>50</v>
      </c>
      <c r="E150" t="s">
        <v>2667</v>
      </c>
    </row>
    <row r="151" spans="1:5">
      <c r="A151" t="s">
        <v>2668</v>
      </c>
      <c r="B151" s="428" t="s">
        <v>426</v>
      </c>
      <c r="C151" t="s">
        <v>2669</v>
      </c>
      <c r="D151" s="17">
        <v>50</v>
      </c>
      <c r="E151" t="s">
        <v>2670</v>
      </c>
    </row>
    <row r="152" spans="1:5">
      <c r="A152" t="s">
        <v>2563</v>
      </c>
    </row>
    <row r="153" spans="1:5">
      <c r="A153" t="s">
        <v>2563</v>
      </c>
    </row>
    <row r="154" spans="1:5">
      <c r="A154" t="s">
        <v>2563</v>
      </c>
      <c r="E154" t="s">
        <v>2671</v>
      </c>
    </row>
    <row r="155" spans="1:5">
      <c r="A155" t="s">
        <v>2563</v>
      </c>
      <c r="E155" t="s">
        <v>309</v>
      </c>
    </row>
    <row r="156" spans="1:5">
      <c r="A156" t="s">
        <v>2672</v>
      </c>
      <c r="B156" s="428" t="s">
        <v>301</v>
      </c>
      <c r="C156" t="s">
        <v>2627</v>
      </c>
      <c r="D156" s="17">
        <v>50</v>
      </c>
      <c r="E156" t="s">
        <v>2628</v>
      </c>
    </row>
    <row r="157" spans="1:5">
      <c r="A157" t="s">
        <v>2673</v>
      </c>
      <c r="B157" s="428" t="s">
        <v>266</v>
      </c>
      <c r="C157" t="s">
        <v>2621</v>
      </c>
      <c r="D157" s="17">
        <v>50</v>
      </c>
      <c r="E157" t="s">
        <v>2622</v>
      </c>
    </row>
    <row r="158" spans="1:5">
      <c r="A158" t="s">
        <v>2674</v>
      </c>
      <c r="B158" s="428" t="s">
        <v>285</v>
      </c>
      <c r="C158" t="s">
        <v>2624</v>
      </c>
      <c r="D158" s="17">
        <v>50</v>
      </c>
      <c r="E158" t="s">
        <v>2625</v>
      </c>
    </row>
    <row r="159" spans="1:5">
      <c r="A159" t="s">
        <v>2675</v>
      </c>
      <c r="B159" s="428" t="s">
        <v>308</v>
      </c>
      <c r="C159" t="s">
        <v>2630</v>
      </c>
      <c r="D159" s="17">
        <v>50</v>
      </c>
      <c r="E159" t="s">
        <v>2628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2676</v>
      </c>
      <c r="H2" s="14"/>
      <c r="K2" s="442"/>
    </row>
    <row r="3" spans="1:15">
      <c r="A3" s="807" t="s">
        <v>2677</v>
      </c>
      <c r="D3" s="14"/>
      <c r="K3" s="442"/>
    </row>
    <row r="4" spans="1:15">
      <c r="A4" s="807" t="s">
        <v>2678</v>
      </c>
      <c r="D4" s="14"/>
      <c r="H4" s="535"/>
      <c r="K4" s="442"/>
      <c r="O4" s="536"/>
    </row>
    <row r="5" spans="1:15">
      <c r="A5" s="807" t="s">
        <v>2679</v>
      </c>
      <c r="D5" s="14"/>
      <c r="H5" s="535"/>
      <c r="K5" s="442"/>
      <c r="O5" s="536"/>
    </row>
    <row r="6" spans="1:15">
      <c r="A6" s="807" t="s">
        <v>2680</v>
      </c>
      <c r="D6" s="14"/>
      <c r="H6" s="535"/>
      <c r="I6" s="535"/>
      <c r="K6" s="442"/>
      <c r="O6" s="536"/>
    </row>
    <row r="7" spans="1:15">
      <c r="A7" s="807" t="s">
        <v>2680</v>
      </c>
      <c r="D7" s="14"/>
      <c r="H7" s="535"/>
      <c r="I7" s="535"/>
      <c r="K7" s="442"/>
      <c r="O7" s="536"/>
    </row>
    <row r="8" spans="1:15">
      <c r="A8" s="807" t="s">
        <v>2681</v>
      </c>
      <c r="D8" s="14"/>
      <c r="H8" s="535"/>
      <c r="I8" s="535"/>
      <c r="K8" s="442"/>
      <c r="O8" s="536"/>
    </row>
    <row r="9" spans="1:15">
      <c r="A9" s="807" t="s">
        <v>2682</v>
      </c>
      <c r="C9" s="504"/>
      <c r="D9" s="14"/>
      <c r="H9" s="535"/>
      <c r="K9" s="442"/>
      <c r="O9" s="536"/>
    </row>
    <row r="10" spans="1:15">
      <c r="A10" s="807" t="s">
        <v>2683</v>
      </c>
      <c r="D10" s="14"/>
      <c r="H10" s="535"/>
      <c r="I10" s="535"/>
      <c r="K10" s="442"/>
      <c r="O10" s="536"/>
    </row>
    <row r="11" spans="1:15">
      <c r="A11" s="807" t="s">
        <v>2684</v>
      </c>
      <c r="D11" s="14"/>
      <c r="H11" s="535"/>
      <c r="I11" s="535"/>
      <c r="K11" s="442"/>
      <c r="M11" s="535"/>
      <c r="O11" s="536"/>
    </row>
    <row r="12" spans="1:15">
      <c r="A12" s="810" t="s">
        <v>2685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2686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2687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2688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2689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2690</v>
      </c>
      <c r="E17" s="503"/>
      <c r="K17" s="442"/>
      <c r="O17" s="536"/>
    </row>
    <row r="18" spans="1:15">
      <c r="A18" s="575" t="s">
        <v>2691</v>
      </c>
      <c r="K18" s="442"/>
      <c r="O18" s="536"/>
    </row>
    <row r="19" spans="1:15">
      <c r="A19" s="575" t="s">
        <v>2692</v>
      </c>
      <c r="E19" s="503"/>
      <c r="K19" s="442"/>
      <c r="O19" s="536"/>
    </row>
    <row r="20" spans="1:15">
      <c r="A20" s="575" t="s">
        <v>2693</v>
      </c>
      <c r="B20">
        <v>10004123110732</v>
      </c>
      <c r="C20" s="17" t="s">
        <v>393</v>
      </c>
      <c r="D20" s="14" t="s">
        <v>2088</v>
      </c>
      <c r="E20" t="s">
        <v>2694</v>
      </c>
      <c r="F20">
        <v>1510504600</v>
      </c>
      <c r="G20" t="s">
        <v>2695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2088</v>
      </c>
      <c r="N20" t="s">
        <v>2696</v>
      </c>
      <c r="O20" s="536"/>
    </row>
    <row r="21" spans="1:15">
      <c r="A21" s="575" t="s">
        <v>2697</v>
      </c>
      <c r="B21">
        <v>10004123110731</v>
      </c>
      <c r="C21" s="17" t="s">
        <v>393</v>
      </c>
      <c r="D21" t="s">
        <v>2088</v>
      </c>
      <c r="E21" t="s">
        <v>2694</v>
      </c>
      <c r="F21">
        <v>1510515700</v>
      </c>
      <c r="G21" t="s">
        <v>2698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2088</v>
      </c>
      <c r="N21" t="s">
        <v>2696</v>
      </c>
      <c r="O21" s="536"/>
    </row>
    <row r="22" spans="1:15">
      <c r="A22" s="575" t="s">
        <v>2699</v>
      </c>
      <c r="B22">
        <v>10004123110732</v>
      </c>
      <c r="C22" s="17" t="s">
        <v>393</v>
      </c>
      <c r="D22" t="s">
        <v>2088</v>
      </c>
      <c r="E22" s="503" t="s">
        <v>2694</v>
      </c>
      <c r="F22">
        <v>1510515700</v>
      </c>
      <c r="G22" t="s">
        <v>2698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2088</v>
      </c>
      <c r="N22" t="s">
        <v>2696</v>
      </c>
      <c r="O22" s="536"/>
    </row>
    <row r="23" spans="1:15">
      <c r="A23" s="807" t="s">
        <v>2700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2701</v>
      </c>
      <c r="E24" s="503"/>
      <c r="I24">
        <f>SUM(I20:I23)</f>
        <v>1469</v>
      </c>
      <c r="O24" s="536"/>
    </row>
    <row r="25" spans="1:15">
      <c r="A25" s="807" t="s">
        <v>2702</v>
      </c>
      <c r="E25" s="503"/>
      <c r="O25" s="536"/>
    </row>
    <row r="26" spans="1:15">
      <c r="A26" s="807" t="s">
        <v>2703</v>
      </c>
      <c r="O26" s="536"/>
    </row>
    <row r="27" spans="1:15">
      <c r="A27" s="807" t="s">
        <v>2704</v>
      </c>
      <c r="O27" s="536"/>
    </row>
    <row r="28" spans="1:15">
      <c r="A28" s="807" t="s">
        <v>2705</v>
      </c>
      <c r="O28" s="536"/>
    </row>
    <row r="29" spans="1:15">
      <c r="A29" s="807" t="s">
        <v>2705</v>
      </c>
      <c r="I29">
        <f>1628-I24</f>
        <v>159</v>
      </c>
      <c r="O29" s="536"/>
    </row>
    <row r="30" spans="1:15">
      <c r="A30" s="807" t="s">
        <v>2706</v>
      </c>
      <c r="O30" s="536"/>
    </row>
    <row r="31" spans="1:15">
      <c r="A31" s="807" t="s">
        <v>2707</v>
      </c>
      <c r="O31" s="536"/>
    </row>
    <row r="32" spans="1:15">
      <c r="A32" s="807" t="s">
        <v>2708</v>
      </c>
      <c r="O32" s="536"/>
    </row>
    <row r="33" spans="1:15">
      <c r="A33" s="807" t="s">
        <v>2709</v>
      </c>
      <c r="O33" s="536"/>
    </row>
    <row r="34" spans="1:15">
      <c r="A34" s="807" t="s">
        <v>2710</v>
      </c>
      <c r="O34" s="536"/>
    </row>
    <row r="35" spans="1:15">
      <c r="A35" s="807" t="s">
        <v>2711</v>
      </c>
      <c r="O35" s="536"/>
    </row>
    <row r="36" spans="1:15">
      <c r="A36" s="807" t="s">
        <v>2712</v>
      </c>
    </row>
    <row r="37" spans="1:15">
      <c r="A37" s="807" t="s">
        <v>2713</v>
      </c>
    </row>
    <row r="38" spans="1:15">
      <c r="A38" s="807" t="s">
        <v>2714</v>
      </c>
    </row>
    <row r="39" spans="1:15">
      <c r="A39" s="807" t="s">
        <v>2715</v>
      </c>
    </row>
    <row r="40" spans="1:15">
      <c r="A40" s="807" t="s">
        <v>2716</v>
      </c>
    </row>
    <row r="41" spans="1:15">
      <c r="A41" s="807" t="s">
        <v>2717</v>
      </c>
    </row>
    <row r="42" spans="1:15">
      <c r="A42" s="807" t="s">
        <v>2718</v>
      </c>
    </row>
    <row r="43" spans="1:15">
      <c r="A43" s="807" t="s">
        <v>2719</v>
      </c>
    </row>
    <row r="44" spans="1:15">
      <c r="A44" s="807" t="s">
        <v>2719</v>
      </c>
    </row>
    <row r="45" spans="1:15">
      <c r="A45" s="809" t="s">
        <v>2720</v>
      </c>
    </row>
    <row r="46" spans="1:15">
      <c r="A46" s="809" t="s">
        <v>2721</v>
      </c>
    </row>
    <row r="47" spans="1:15">
      <c r="A47" s="807" t="s">
        <v>2722</v>
      </c>
    </row>
    <row r="48" spans="1:15">
      <c r="A48" s="807" t="s">
        <v>2722</v>
      </c>
    </row>
    <row r="49" spans="1:1">
      <c r="A49" s="807" t="s">
        <v>2723</v>
      </c>
    </row>
    <row r="50" spans="1:1">
      <c r="A50" s="807" t="s">
        <v>2724</v>
      </c>
    </row>
    <row r="51" spans="1:1">
      <c r="A51" s="807" t="s">
        <v>2725</v>
      </c>
    </row>
    <row r="52" spans="1:1">
      <c r="A52" s="807" t="s">
        <v>2725</v>
      </c>
    </row>
    <row r="53" spans="1:1">
      <c r="A53" s="807" t="s">
        <v>2726</v>
      </c>
    </row>
    <row r="54" spans="1:1">
      <c r="A54" s="807" t="s">
        <v>2727</v>
      </c>
    </row>
    <row r="55" spans="1:1">
      <c r="A55" s="807" t="s">
        <v>2728</v>
      </c>
    </row>
    <row r="56" spans="1:1">
      <c r="A56" s="807" t="s">
        <v>2729</v>
      </c>
    </row>
    <row r="57" spans="1:1">
      <c r="A57" s="807" t="s">
        <v>2730</v>
      </c>
    </row>
    <row r="58" spans="1:1">
      <c r="A58" s="807" t="s">
        <v>2730</v>
      </c>
    </row>
    <row r="59" spans="1:1">
      <c r="A59" s="807" t="s">
        <v>2731</v>
      </c>
    </row>
    <row r="60" spans="1:1">
      <c r="A60" s="807" t="s">
        <v>2731</v>
      </c>
    </row>
    <row r="61" spans="1:1">
      <c r="A61" s="807" t="s">
        <v>2732</v>
      </c>
    </row>
    <row r="62" spans="1:1">
      <c r="A62" s="807" t="s">
        <v>2733</v>
      </c>
    </row>
    <row r="63" spans="1:1">
      <c r="A63" s="807" t="s">
        <v>2734</v>
      </c>
    </row>
    <row r="64" spans="1:1">
      <c r="A64" s="807" t="s">
        <v>2735</v>
      </c>
    </row>
    <row r="65" spans="1:1">
      <c r="A65" s="807" t="s">
        <v>2736</v>
      </c>
    </row>
    <row r="66" spans="1:1">
      <c r="A66" s="807" t="s">
        <v>2736</v>
      </c>
    </row>
    <row r="67" spans="1:1">
      <c r="A67" s="807" t="s">
        <v>2737</v>
      </c>
    </row>
    <row r="68" spans="1:1">
      <c r="A68" s="807" t="s">
        <v>2738</v>
      </c>
    </row>
    <row r="69" spans="1:1">
      <c r="A69" s="807" t="s">
        <v>2738</v>
      </c>
    </row>
    <row r="70" spans="1:1">
      <c r="A70" s="807" t="s">
        <v>2739</v>
      </c>
    </row>
    <row r="71" spans="1:1">
      <c r="A71" s="807" t="s">
        <v>2739</v>
      </c>
    </row>
    <row r="72" spans="1:1">
      <c r="A72" s="807" t="s">
        <v>2740</v>
      </c>
    </row>
    <row r="73" spans="1:1">
      <c r="A73" s="807" t="s">
        <v>2741</v>
      </c>
    </row>
    <row r="74" spans="1:1">
      <c r="A74" s="807" t="s">
        <v>2742</v>
      </c>
    </row>
    <row r="75" spans="1:1">
      <c r="A75" s="807" t="s">
        <v>2743</v>
      </c>
    </row>
    <row r="76" spans="1:1">
      <c r="A76" s="807" t="s">
        <v>2744</v>
      </c>
    </row>
    <row r="77" spans="1:1">
      <c r="A77" s="807" t="s">
        <v>2745</v>
      </c>
    </row>
    <row r="78" spans="1:1">
      <c r="A78" s="807" t="s">
        <v>2746</v>
      </c>
    </row>
    <row r="79" spans="1:1">
      <c r="A79" s="807" t="s">
        <v>2747</v>
      </c>
    </row>
    <row r="80" spans="1:1">
      <c r="A80" s="807" t="s">
        <v>2748</v>
      </c>
    </row>
    <row r="81" spans="1:1">
      <c r="A81" s="807" t="s">
        <v>2749</v>
      </c>
    </row>
    <row r="82" spans="1:1">
      <c r="A82" s="807" t="s">
        <v>2750</v>
      </c>
    </row>
    <row r="83" spans="1:1">
      <c r="A83" s="807" t="s">
        <v>2751</v>
      </c>
    </row>
    <row r="84" spans="1:1">
      <c r="A84" s="807" t="s">
        <v>2752</v>
      </c>
    </row>
    <row r="85" spans="1:1">
      <c r="A85" s="807" t="s">
        <v>2752</v>
      </c>
    </row>
    <row r="86" spans="1:1">
      <c r="A86" s="807" t="s">
        <v>2753</v>
      </c>
    </row>
    <row r="87" spans="1:1">
      <c r="A87" s="807" t="s">
        <v>2754</v>
      </c>
    </row>
    <row r="88" spans="1:1">
      <c r="A88" s="807" t="s">
        <v>2755</v>
      </c>
    </row>
    <row r="89" spans="1:1">
      <c r="A89" s="807" t="s">
        <v>2756</v>
      </c>
    </row>
    <row r="90" spans="1:1">
      <c r="A90" s="807" t="s">
        <v>2757</v>
      </c>
    </row>
    <row r="91" spans="1:1">
      <c r="A91" s="807" t="s">
        <v>2758</v>
      </c>
    </row>
    <row r="92" spans="1:1">
      <c r="A92" s="807" t="s">
        <v>2759</v>
      </c>
    </row>
    <row r="93" spans="1:1">
      <c r="A93" s="807" t="s">
        <v>2760</v>
      </c>
    </row>
    <row r="94" spans="1:1">
      <c r="A94" s="807" t="s">
        <v>2761</v>
      </c>
    </row>
    <row r="95" spans="1:1">
      <c r="A95" s="807" t="s">
        <v>2762</v>
      </c>
    </row>
    <row r="96" spans="1:1">
      <c r="A96" s="807" t="s">
        <v>2762</v>
      </c>
    </row>
    <row r="97" spans="1:1">
      <c r="A97" s="807" t="s">
        <v>2763</v>
      </c>
    </row>
    <row r="98" spans="1:1">
      <c r="A98" s="807" t="s">
        <v>2763</v>
      </c>
    </row>
    <row r="99" spans="1:1">
      <c r="A99" s="807" t="s">
        <v>2764</v>
      </c>
    </row>
    <row r="100" spans="1:1">
      <c r="A100" s="807" t="s">
        <v>2764</v>
      </c>
    </row>
    <row r="101" spans="1:1">
      <c r="A101" s="807" t="s">
        <v>2765</v>
      </c>
    </row>
    <row r="102" spans="1:1">
      <c r="A102" s="807" t="s">
        <v>2766</v>
      </c>
    </row>
    <row r="103" spans="1:1">
      <c r="A103" s="807" t="s">
        <v>2766</v>
      </c>
    </row>
    <row r="104" spans="1:1">
      <c r="A104" s="807" t="s">
        <v>2767</v>
      </c>
    </row>
    <row r="105" spans="1:1">
      <c r="A105" s="807" t="s">
        <v>2768</v>
      </c>
    </row>
    <row r="106" spans="1:1">
      <c r="A106" s="807" t="s">
        <v>2769</v>
      </c>
    </row>
    <row r="107" spans="1:1">
      <c r="A107" s="807" t="s">
        <v>2769</v>
      </c>
    </row>
    <row r="108" spans="1:1">
      <c r="A108" s="807" t="s">
        <v>2770</v>
      </c>
    </row>
    <row r="109" spans="1:1">
      <c r="A109" s="807" t="s">
        <v>2771</v>
      </c>
    </row>
    <row r="110" spans="1:1">
      <c r="A110" s="807" t="s">
        <v>2771</v>
      </c>
    </row>
    <row r="111" spans="1:1">
      <c r="A111" s="807" t="s">
        <v>2772</v>
      </c>
    </row>
    <row r="112" spans="1:1">
      <c r="A112" s="807" t="s">
        <v>2773</v>
      </c>
    </row>
    <row r="113" spans="1:1">
      <c r="A113" s="807" t="s">
        <v>2774</v>
      </c>
    </row>
    <row r="114" spans="1:1">
      <c r="A114" s="807" t="s">
        <v>2775</v>
      </c>
    </row>
    <row r="115" spans="1:1">
      <c r="A115" s="807" t="s">
        <v>2776</v>
      </c>
    </row>
    <row r="116" spans="1:1">
      <c r="A116" s="807" t="s">
        <v>2777</v>
      </c>
    </row>
    <row r="117" spans="1:1">
      <c r="A117" s="807" t="s">
        <v>2778</v>
      </c>
    </row>
    <row r="118" spans="1:1">
      <c r="A118" s="807" t="s">
        <v>2779</v>
      </c>
    </row>
    <row r="119" spans="1:1">
      <c r="A119" s="807" t="s">
        <v>2780</v>
      </c>
    </row>
    <row r="120" spans="1:1">
      <c r="A120" s="807" t="s">
        <v>2781</v>
      </c>
    </row>
    <row r="121" spans="1:1">
      <c r="A121" s="807" t="s">
        <v>2782</v>
      </c>
    </row>
    <row r="122" spans="1:1">
      <c r="A122" s="807" t="s">
        <v>2783</v>
      </c>
    </row>
    <row r="123" spans="1:1">
      <c r="A123" s="807" t="s">
        <v>2784</v>
      </c>
    </row>
    <row r="124" spans="1:1">
      <c r="A124" s="807" t="s">
        <v>2785</v>
      </c>
    </row>
    <row r="125" spans="1:1">
      <c r="A125" s="807" t="s">
        <v>2786</v>
      </c>
    </row>
    <row r="126" spans="1:1">
      <c r="A126" s="807" t="s">
        <v>2787</v>
      </c>
    </row>
    <row r="127" spans="1:1">
      <c r="A127" s="807" t="s">
        <v>2788</v>
      </c>
    </row>
    <row r="128" spans="1:1">
      <c r="A128" s="807" t="s">
        <v>2789</v>
      </c>
    </row>
    <row r="129" spans="1:1">
      <c r="A129" s="807" t="s">
        <v>2790</v>
      </c>
    </row>
    <row r="130" spans="1:1">
      <c r="A130" s="807" t="s">
        <v>2791</v>
      </c>
    </row>
    <row r="131" spans="1:1">
      <c r="A131" s="807" t="s">
        <v>2792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453401F0-1302-410B-B72E-531641659F2A}"/>
</file>

<file path=customXml/itemProps2.xml><?xml version="1.0" encoding="utf-8"?>
<ds:datastoreItem xmlns:ds="http://schemas.openxmlformats.org/officeDocument/2006/customXml" ds:itemID="{7EA3F5D9-2302-4D5D-A7EF-15D3EB653104}"/>
</file>

<file path=customXml/itemProps3.xml><?xml version="1.0" encoding="utf-8"?>
<ds:datastoreItem xmlns:ds="http://schemas.openxmlformats.org/officeDocument/2006/customXml" ds:itemID="{167F7A21-A4A6-4A3A-8FC4-84BCD9AA430D}"/>
</file>

<file path=customXml/itemProps4.xml><?xml version="1.0" encoding="utf-8"?>
<ds:datastoreItem xmlns:ds="http://schemas.openxmlformats.org/officeDocument/2006/customXml" ds:itemID="{B0D09241-EBB5-49C6-BE7D-B88E3B4BEC81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2026-05-13T07:42:55Z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