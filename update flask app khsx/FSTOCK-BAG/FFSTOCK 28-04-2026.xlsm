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OneDrive - Cong Ty Co Phan Chan Nuoi C.P. Viet Nam\Nguyên FG\BAO CAO NGAY\FFSTOCK\FFSTOCK 2026\FFSTOCK THÁNG 04-2026\"/>
    </mc:Choice>
  </mc:AlternateContent>
  <xr:revisionPtr revIDLastSave="0" documentId="13_ncr:1_{AEE980A0-9DDE-4C9E-AD5B-273DF7BCE935}" xr6:coauthVersionLast="47" xr6:coauthVersionMax="47" xr10:uidLastSave="{00000000-0000-0000-0000-000000000000}"/>
  <bookViews>
    <workbookView xWindow="-120" yWindow="-120" windowWidth="19440" windowHeight="14880" tabRatio="835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785" l="1"/>
  <c r="H36" i="785"/>
  <c r="H37" i="785"/>
  <c r="H38" i="785"/>
  <c r="AQ331" i="785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F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40" i="785" l="1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119" i="630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M41" i="812" s="1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O179" i="630" s="1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O128" i="630" s="1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O164" i="630" s="1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O157" i="630" s="1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O189" i="630" s="1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F306" i="630" l="1"/>
  <c r="D306" i="630"/>
  <c r="O191" i="630"/>
  <c r="O153" i="630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P179" i="630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157" i="630"/>
  <c r="U157" i="630" s="1"/>
  <c r="P189" i="630"/>
  <c r="U189" i="630" s="1"/>
  <c r="P250" i="630"/>
  <c r="P191" i="630"/>
  <c r="P128" i="630"/>
  <c r="P164" i="630"/>
  <c r="U164" i="630" s="1"/>
  <c r="P153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M12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30" i="785"/>
  <c r="N330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C300" i="630" s="1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C306" i="630" s="1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  <author>quocthai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46" authorId="1" shapeId="0" xr:uid="{3C3A7328-1981-48D8-9796-64A1D32D63E2}">
      <text>
        <r>
          <rPr>
            <sz val="10"/>
            <color indexed="81"/>
            <rFont val="Tahoma"/>
            <family val="2"/>
          </rPr>
          <t xml:space="preserve">hủy hóa đơn ngày 31/01: 333b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46" authorId="1" shapeId="0" xr:uid="{AC0C81EF-B5D8-4CC8-BF0C-71C92DE40390}">
      <text>
        <r>
          <rPr>
            <sz val="10"/>
            <color indexed="81"/>
            <rFont val="Tahoma"/>
            <family val="2"/>
          </rPr>
          <t xml:space="preserve">hủy hóa đơn ngày 31/01: 333b 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<sst xmlns="http://schemas.openxmlformats.org/spreadsheetml/2006/main" count="6963" uniqueCount="2777">
  <si>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</si>
  <si>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</si>
  <si>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</si>
  <si>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</si>
  <si>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</si>
  <si>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</si>
  <si>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</si>
  <si>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</si>
  <si>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</si>
  <si>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</si>
  <si>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</si>
  <si>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</si>
  <si>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</si>
  <si>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</si>
  <si>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</si>
  <si>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</si>
  <si>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</si>
  <si>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</si>
  <si>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</si>
  <si>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</si>
  <si>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</si>
  <si>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</si>
  <si>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</si>
  <si>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</si>
  <si>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</si>
  <si>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</si>
  <si>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</si>
  <si>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</si>
  <si>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</si>
  <si>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</si>
  <si>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</si>
  <si>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</si>
  <si>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</si>
  <si>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</si>
  <si>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</si>
  <si>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</si>
  <si>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</si>
  <si>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</si>
  <si>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</si>
  <si>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</si>
  <si>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</si>
  <si>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</si>
  <si>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</si>
  <si>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</si>
  <si>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</si>
  <si>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</si>
  <si>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</si>
  <si>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</si>
  <si>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</si>
  <si>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</si>
  <si>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</si>
  <si>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</si>
  <si>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</si>
  <si>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</si>
  <si>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</si>
  <si>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</si>
  <si>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</si>
  <si>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</si>
  <si>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</si>
  <si>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</si>
  <si>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</si>
  <si>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</si>
  <si>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</si>
  <si>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</si>
  <si>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</si>
  <si>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</si>
  <si>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</si>
  <si>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</si>
  <si>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</si>
  <si>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</si>
  <si>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</si>
  <si>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</si>
  <si>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</si>
  <si>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</si>
  <si>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</si>
  <si>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</si>
  <si>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</si>
  <si>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</si>
  <si>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</si>
  <si>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</si>
  <si>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</si>
  <si>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</si>
  <si>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</si>
  <si>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</si>
  <si>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</si>
  <si>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</si>
  <si>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</si>
  <si>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</si>
  <si>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</si>
  <si>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</si>
  <si>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</si>
  <si>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</si>
  <si>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</si>
  <si>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</si>
  <si>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</si>
  <si>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</si>
  <si>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</si>
  <si>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</si>
  <si>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</si>
  <si>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</si>
  <si>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</si>
  <si>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</si>
  <si>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</si>
  <si>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</si>
  <si>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</si>
  <si>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</si>
  <si>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</si>
  <si>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</si>
  <si>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</si>
  <si>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</si>
  <si>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</si>
  <si>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</si>
  <si>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</si>
  <si>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</si>
  <si>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</si>
  <si>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</si>
  <si>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</si>
  <si>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</si>
  <si>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</si>
  <si>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</si>
  <si>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</si>
  <si>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</si>
  <si>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</si>
  <si>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</si>
  <si>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</si>
  <si>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</si>
  <si>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</si>
  <si>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</si>
  <si>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</si>
  <si>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</si>
  <si>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</si>
  <si>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</si>
  <si>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</si>
  <si>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</si>
  <si>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</si>
  <si>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</si>
  <si>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</si>
  <si>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</si>
  <si>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</si>
  <si>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</si>
  <si>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</si>
  <si>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</si>
  <si>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</si>
  <si>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</si>
  <si>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</si>
  <si>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</si>
  <si>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</si>
  <si>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</si>
  <si>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</si>
  <si>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</si>
  <si>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</si>
  <si>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</si>
  <si>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</si>
  <si>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</si>
  <si>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</si>
  <si>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</si>
  <si>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</si>
  <si>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</si>
  <si>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</si>
  <si>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</si>
  <si>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</si>
  <si>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</si>
  <si>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</si>
  <si>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</si>
  <si>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</si>
  <si>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</si>
  <si>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</si>
  <si>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</si>
  <si>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</si>
  <si>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</si>
  <si>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</si>
  <si>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</si>
  <si>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</si>
  <si>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</si>
  <si>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</si>
  <si>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</si>
  <si>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</si>
  <si>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</si>
  <si>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</si>
  <si>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</si>
  <si>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</si>
  <si>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</si>
  <si>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</si>
  <si>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</si>
  <si>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</si>
  <si>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</si>
  <si>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</si>
  <si>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</si>
  <si>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</si>
  <si>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</si>
  <si>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</si>
  <si>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</si>
  <si>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</si>
  <si>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</si>
  <si>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</si>
  <si>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</si>
  <si>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</si>
  <si>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</si>
  <si>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</si>
  <si>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</si>
  <si>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</si>
  <si>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</si>
  <si>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</si>
  <si>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</si>
  <si>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</si>
  <si>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</si>
  <si>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</si>
  <si>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</si>
  <si>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</si>
  <si>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</si>
  <si>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</si>
  <si>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</si>
  <si>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</si>
  <si>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</si>
  <si>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</si>
  <si>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</si>
  <si>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</si>
  <si>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</si>
  <si>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</si>
  <si>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</si>
  <si>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</si>
  <si>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</si>
  <si>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</si>
  <si>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</si>
  <si>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</si>
  <si>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</si>
  <si>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</si>
  <si>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</si>
  <si>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</si>
  <si>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</si>
  <si>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</si>
  <si>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</si>
  <si>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</si>
  <si>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</si>
  <si>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</si>
  <si>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</si>
  <si>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</si>
  <si>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</si>
  <si>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</si>
  <si>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</si>
  <si>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</si>
  <si>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</si>
  <si>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</si>
  <si>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</si>
  <si>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</si>
  <si>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</si>
  <si>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</si>
  <si>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</si>
  <si>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</si>
  <si>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</si>
  <si>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</si>
  <si>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</si>
  <si>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</si>
  <si>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</si>
  <si>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</si>
  <si>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</si>
  <si>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</si>
  <si>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</si>
  <si>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</si>
  <si>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</si>
  <si>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</si>
  <si>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</si>
  <si>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</si>
  <si>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</si>
  <si>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</si>
  <si>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</si>
  <si>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</si>
  <si>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</si>
  <si>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</si>
  <si>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</si>
  <si>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</si>
  <si>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</si>
  <si>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</si>
  <si>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</si>
  <si>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</si>
  <si>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</si>
  <si>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</si>
  <si>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</si>
  <si>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</si>
  <si>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</si>
  <si>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</si>
  <si>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</si>
  <si>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</si>
  <si>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</si>
  <si>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</si>
  <si>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</si>
  <si>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</si>
  <si>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</si>
  <si>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</si>
  <si>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</si>
  <si>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</si>
  <si>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</si>
  <si>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</si>
  <si>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</si>
  <si>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</si>
  <si>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</si>
  <si>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</si>
  <si>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</si>
  <si>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</si>
  <si>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</si>
  <si>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</si>
  <si>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</si>
  <si>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</si>
  <si>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</si>
  <si>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</si>
  <si>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</si>
  <si>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</si>
  <si>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</si>
  <si>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</si>
  <si>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</si>
  <si>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</si>
  <si>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</si>
  <si>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</si>
  <si>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</si>
  <si>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</si>
  <si>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</si>
  <si>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</si>
  <si>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</si>
  <si>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</si>
  <si>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</si>
  <si>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</si>
  <si>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</si>
  <si>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</si>
  <si>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</si>
  <si>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</si>
  <si>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</si>
  <si>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</si>
  <si>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</si>
  <si>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</si>
  <si>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</si>
  <si>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</si>
  <si>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</si>
  <si>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</si>
  <si>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</si>
  <si>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</si>
  <si>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</si>
  <si>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</si>
  <si>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</si>
  <si>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</si>
  <si>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</si>
  <si>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</si>
  <si>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</si>
  <si>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</si>
  <si>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</si>
  <si>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</si>
  <si>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</si>
  <si>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</si>
  <si>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</si>
  <si>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</si>
  <si>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</si>
  <si>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</si>
  <si>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</si>
  <si>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</si>
  <si>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</si>
  <si>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</si>
  <si>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</si>
  <si>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</si>
  <si>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</si>
  <si>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</si>
  <si>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</si>
  <si>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</si>
  <si>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</si>
  <si>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</si>
  <si>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</si>
  <si>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</si>
  <si>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</si>
  <si>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</si>
  <si>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</si>
  <si>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</si>
  <si>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</si>
  <si>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</si>
  <si>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</si>
  <si>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</si>
  <si>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</si>
  <si>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</si>
  <si>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</si>
  <si>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</si>
  <si>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</si>
  <si>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</si>
  <si>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</si>
  <si>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</si>
  <si>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</si>
  <si>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</si>
  <si>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</si>
  <si>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</si>
  <si>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</si>
  <si>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</si>
  <si>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</si>
  <si>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</si>
  <si>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</si>
  <si>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</si>
  <si>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</si>
  <si>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</si>
  <si>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</si>
  <si>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</si>
  <si>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</si>
  <si>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</si>
  <si>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</si>
  <si>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</si>
  <si>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</si>
  <si>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</si>
  <si>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</si>
  <si>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</si>
  <si>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</si>
  <si>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</si>
  <si>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</si>
  <si>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</si>
  <si>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</si>
  <si>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</si>
  <si>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</si>
  <si>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</si>
  <si>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</si>
  <si>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</si>
  <si>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</si>
  <si>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</si>
  <si>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</si>
  <si>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</si>
  <si>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</si>
  <si>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</si>
  <si>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</si>
  <si>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</si>
  <si>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</si>
  <si>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</si>
  <si>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</si>
  <si>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</si>
  <si>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</si>
  <si>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</si>
  <si>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</si>
  <si>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</si>
  <si>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</si>
  <si>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</si>
  <si>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</si>
  <si>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</si>
  <si>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</si>
  <si>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</si>
  <si>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</si>
  <si>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</si>
  <si>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</si>
  <si>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</si>
  <si>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</si>
  <si>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</si>
  <si>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</si>
  <si>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</si>
  <si>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</si>
  <si>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</si>
  <si>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</si>
  <si>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</si>
  <si>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</si>
  <si>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</si>
  <si>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</si>
  <si>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</si>
  <si>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</si>
  <si>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</si>
  <si>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</si>
  <si>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</si>
  <si>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</si>
  <si>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</si>
  <si>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</si>
  <si>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</si>
  <si>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</si>
  <si>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</si>
  <si>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</si>
  <si>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</si>
  <si>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</si>
  <si>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</si>
  <si>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</si>
  <si>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</si>
  <si>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</si>
  <si>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</si>
  <si>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</si>
  <si>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</si>
  <si>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</si>
  <si>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</si>
  <si>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</si>
  <si>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</si>
  <si>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</si>
  <si>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</si>
  <si>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</si>
  <si>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</si>
  <si>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</si>
  <si>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</si>
  <si>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</si>
  <si>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</si>
  <si>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</si>
  <si>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</si>
  <si>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</si>
  <si>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</si>
  <si>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</si>
  <si>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</si>
  <si>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</si>
  <si>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</si>
  <si>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</si>
  <si>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</si>
  <si>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</si>
  <si>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</si>
  <si>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</si>
  <si>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</si>
  <si>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</si>
  <si>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</si>
  <si>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</si>
  <si>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</si>
  <si>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</si>
  <si>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</si>
  <si>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</si>
  <si>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</si>
  <si>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</si>
  <si>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</si>
  <si>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</si>
  <si>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</si>
  <si>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</si>
  <si>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</si>
  <si>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</si>
  <si>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</si>
  <si>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</si>
  <si>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</si>
  <si>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</si>
  <si>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</si>
  <si>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</si>
  <si>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</si>
  <si>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</si>
  <si>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</si>
  <si>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</si>
  <si>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</si>
  <si>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</si>
  <si>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</si>
  <si>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</si>
  <si>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</si>
  <si>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</si>
  <si>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</si>
  <si>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</si>
  <si>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</si>
  <si>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</si>
  <si>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</si>
  <si>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</si>
  <si>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</si>
  <si>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</si>
  <si>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</si>
  <si>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</si>
  <si>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</si>
  <si>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</si>
  <si>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</si>
  <si>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</si>
  <si>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</si>
  <si>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</si>
  <si>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</si>
  <si>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</si>
  <si>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</si>
  <si>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</si>
  <si>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</si>
  <si>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</si>
  <si>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</si>
  <si>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</si>
  <si>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</si>
  <si>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</si>
  <si>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</si>
  <si>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</si>
  <si>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</si>
  <si>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</si>
  <si>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</si>
  <si>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</si>
  <si>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</si>
  <si>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</si>
  <si>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</si>
  <si>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</si>
  <si>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</si>
  <si>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</si>
  <si>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</si>
  <si>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</si>
  <si>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</si>
  <si>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</si>
  <si>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</si>
  <si>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</si>
  <si>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</si>
  <si>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</si>
  <si>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</si>
  <si>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</si>
  <si>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</si>
  <si>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</si>
  <si>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</si>
  <si>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</si>
  <si>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</si>
  <si>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</si>
  <si>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</si>
  <si>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</si>
  <si>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</si>
  <si>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</si>
  <si>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</si>
  <si>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</si>
  <si>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</si>
  <si>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</si>
  <si>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</si>
  <si>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</si>
  <si>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</si>
  <si>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</si>
  <si>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</si>
  <si>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</si>
  <si>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</si>
  <si>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</si>
  <si>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</si>
  <si>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</si>
  <si>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</si>
  <si>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</si>
  <si>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</si>
  <si>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</si>
  <si>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</si>
  <si>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</si>
  <si>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</si>
  <si>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</si>
  <si>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</si>
  <si>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</si>
  <si>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</si>
  <si>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</si>
  <si>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</si>
  <si>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</si>
  <si>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</si>
  <si>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</si>
  <si>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</si>
  <si>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</si>
  <si>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</si>
  <si>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</si>
  <si>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</si>
  <si>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</si>
  <si>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</si>
  <si>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</si>
  <si>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</si>
  <si>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</si>
  <si>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</si>
  <si>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</si>
  <si>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</si>
  <si>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</si>
  <si>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</si>
  <si>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</si>
  <si>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</si>
  <si>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</si>
  <si>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</si>
  <si>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</si>
  <si>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</si>
  <si>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</si>
  <si>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</si>
  <si>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</si>
  <si>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</si>
  <si>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</si>
  <si>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</si>
  <si>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</si>
  <si>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</si>
  <si>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</si>
  <si>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</si>
  <si>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</si>
  <si>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</si>
  <si>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</si>
  <si>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</si>
  <si>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</si>
  <si>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</si>
  <si>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</si>
  <si>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</si>
  <si>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</si>
  <si>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</si>
  <si>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</si>
  <si>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</si>
  <si>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</si>
  <si>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</si>
  <si>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</si>
  <si>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</si>
  <si>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</si>
  <si>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</si>
  <si>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</si>
  <si>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</si>
  <si>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</si>
  <si>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</si>
  <si>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</si>
  <si>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</si>
  <si>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</si>
  <si>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</si>
  <si>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</si>
  <si>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</si>
  <si>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</si>
  <si>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</si>
  <si>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</si>
  <si>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</si>
  <si>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</si>
  <si>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</si>
  <si>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</si>
  <si>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</si>
  <si>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</si>
  <si>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</si>
  <si>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</si>
  <si>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</si>
  <si>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</si>
  <si>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</si>
  <si>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</si>
  <si>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</si>
  <si>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</si>
  <si>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</si>
  <si>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</si>
  <si>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</si>
  <si>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</si>
  <si>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</si>
  <si>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</si>
  <si>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</si>
  <si>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</si>
  <si>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</si>
  <si>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</si>
  <si>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</si>
  <si>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</si>
  <si>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</si>
  <si>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</si>
  <si>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</si>
  <si>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</si>
  <si>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</si>
  <si>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</si>
  <si>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</si>
  <si>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</si>
  <si>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</si>
  <si>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</si>
  <si>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</si>
  <si>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</si>
  <si>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</si>
  <si>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</si>
  <si>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</si>
  <si>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</si>
  <si>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</si>
  <si>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</si>
  <si>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</si>
  <si>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</si>
  <si>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</si>
  <si>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</si>
  <si>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</si>
  <si>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</si>
  <si>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</si>
  <si>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</si>
  <si>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</si>
  <si>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</si>
  <si>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</si>
  <si>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</si>
  <si>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</si>
  <si>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</si>
  <si>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</si>
  <si>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</si>
  <si>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</si>
  <si>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</si>
  <si>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</si>
  <si>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</si>
  <si>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</si>
  <si>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</si>
  <si>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</si>
  <si>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</si>
  <si>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</si>
  <si>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</si>
  <si>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</si>
  <si>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</si>
  <si>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</si>
  <si>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</si>
  <si>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</si>
  <si>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</si>
  <si>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</si>
  <si>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</si>
  <si>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</si>
  <si>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</si>
  <si>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</si>
  <si>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</si>
  <si>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</si>
  <si>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</si>
  <si>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</si>
  <si>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</si>
  <si>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</si>
  <si>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</si>
  <si>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</si>
  <si>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</si>
  <si>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</si>
  <si>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</si>
  <si>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</si>
  <si>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</si>
  <si>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</si>
  <si>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</si>
  <si>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</si>
  <si>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</si>
  <si>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</si>
  <si>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</si>
  <si>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</si>
  <si>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</si>
  <si>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</si>
  <si>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</si>
  <si>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</si>
  <si>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</si>
  <si>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</si>
  <si>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</si>
  <si>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</si>
  <si>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</si>
  <si>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</si>
  <si>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</si>
  <si>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</si>
  <si>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</si>
  <si>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</si>
  <si>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</si>
  <si>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</si>
  <si>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</si>
  <si>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</si>
  <si>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</si>
  <si>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</si>
  <si>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</si>
  <si>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</si>
  <si>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</si>
  <si>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</si>
  <si>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</si>
  <si>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</si>
  <si>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</si>
  <si>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</si>
  <si>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</si>
  <si>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</si>
  <si>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</si>
  <si>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</si>
  <si>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</si>
  <si>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</si>
  <si>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</si>
  <si>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</si>
  <si>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</si>
  <si>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</si>
  <si>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</si>
  <si>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</si>
  <si>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</si>
  <si>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</si>
  <si>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</si>
  <si>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</si>
  <si>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</si>
  <si>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</si>
  <si>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</si>
  <si>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</si>
  <si>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</si>
  <si>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</si>
  <si>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</si>
  <si>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</si>
  <si>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</si>
  <si>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</si>
  <si>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</si>
  <si>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</si>
  <si>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</si>
  <si>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</si>
  <si>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</si>
  <si>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</si>
  <si>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</si>
  <si>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</si>
  <si>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</si>
  <si>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</si>
  <si>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</si>
  <si>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</si>
  <si>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</si>
  <si>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</si>
  <si>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</si>
  <si>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</si>
  <si>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</si>
  <si>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</si>
  <si>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</si>
  <si>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</si>
  <si>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</si>
  <si>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</si>
  <si>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</si>
  <si>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</si>
  <si>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</si>
  <si>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</si>
  <si>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</si>
  <si>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</si>
  <si>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</si>
  <si>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</si>
  <si>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</si>
  <si>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</si>
  <si>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</si>
  <si>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</si>
  <si>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</si>
  <si>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</si>
  <si>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</si>
  <si>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</si>
  <si>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</si>
  <si>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</si>
  <si>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</si>
  <si>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</si>
  <si>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</si>
  <si>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</si>
  <si>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</si>
  <si>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</si>
  <si>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</si>
  <si>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</si>
  <si>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</si>
  <si>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</si>
  <si>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</si>
  <si>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</si>
  <si>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</si>
  <si>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</si>
  <si>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</si>
  <si>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</si>
  <si>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</si>
  <si>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</si>
  <si>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</si>
  <si>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</si>
  <si>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</si>
  <si>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</si>
  <si>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</si>
  <si>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</si>
  <si>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</si>
  <si>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</si>
  <si>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</si>
  <si>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</si>
  <si>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</si>
  <si>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</si>
  <si>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</si>
  <si>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</si>
  <si>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</si>
  <si>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</si>
  <si>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</si>
  <si>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</si>
  <si>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</si>
  <si>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</si>
  <si>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</si>
  <si>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</si>
  <si>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</si>
  <si>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</si>
  <si>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</si>
  <si>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</si>
  <si>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</si>
  <si>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</si>
  <si>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</si>
  <si>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</si>
  <si>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</si>
  <si>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</si>
  <si>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</si>
  <si>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</si>
  <si>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</si>
  <si>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</si>
  <si>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</si>
  <si>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</si>
  <si>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</si>
  <si>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</si>
  <si>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</si>
  <si>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</si>
  <si>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</si>
  <si>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</si>
  <si>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</si>
  <si>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</si>
  <si>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</si>
  <si>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</si>
  <si>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</si>
  <si>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</si>
  <si>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</si>
  <si>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</si>
  <si>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</si>
  <si>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</si>
  <si>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</si>
  <si>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</si>
  <si>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</si>
  <si>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</si>
  <si>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</si>
  <si>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</si>
  <si>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</si>
  <si>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</si>
  <si>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</si>
  <si>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</si>
  <si>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</si>
  <si>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</si>
  <si>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</si>
  <si>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</si>
  <si>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</si>
  <si>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</si>
  <si>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</si>
  <si>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</si>
  <si>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</si>
  <si>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</si>
  <si>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</si>
  <si>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</si>
  <si>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</si>
  <si>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</si>
  <si>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</si>
  <si>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</si>
  <si>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</si>
  <si>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</si>
  <si>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</si>
  <si>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</si>
  <si>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</si>
  <si>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</si>
  <si>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</si>
  <si>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</si>
  <si>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</si>
  <si>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</si>
  <si>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</si>
  <si>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</si>
  <si>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</si>
  <si>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</si>
  <si>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</si>
  <si>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</si>
  <si>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</si>
  <si>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</si>
  <si>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</si>
  <si>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</si>
  <si>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</si>
  <si>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</si>
  <si>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</si>
  <si>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</si>
  <si>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</si>
  <si>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</si>
  <si>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</si>
  <si>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</si>
  <si>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</si>
  <si>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</si>
  <si>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</si>
  <si>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</si>
  <si>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</si>
  <si>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</si>
  <si>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</si>
  <si>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</si>
  <si>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</si>
  <si>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</si>
  <si>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</si>
  <si>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</si>
  <si>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</si>
  <si>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</si>
  <si>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</si>
  <si>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</si>
  <si>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</si>
  <si>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</si>
  <si>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</si>
  <si>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</si>
  <si>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</si>
  <si>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</si>
  <si>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</si>
  <si>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</si>
  <si>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</si>
  <si>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</si>
  <si>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</si>
  <si>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</si>
  <si>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</si>
  <si>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</si>
  <si>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</si>
  <si>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</si>
  <si>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</si>
  <si>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</si>
  <si>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</si>
  <si>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</si>
  <si>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</si>
  <si>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</si>
  <si>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</si>
  <si>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</si>
  <si>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</si>
  <si>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</si>
  <si>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</si>
  <si>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</si>
  <si>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</si>
  <si>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</si>
  <si>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</si>
  <si>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</si>
  <si>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</si>
  <si>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</si>
  <si>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</si>
  <si>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</si>
  <si>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</si>
  <si>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</si>
  <si>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</si>
  <si>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</si>
  <si>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</si>
  <si>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</si>
  <si>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</si>
  <si>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</si>
  <si>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</si>
  <si>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</si>
  <si>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</si>
  <si>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</si>
  <si>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</si>
  <si>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</si>
  <si>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</si>
  <si>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</si>
  <si>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</si>
  <si>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</si>
  <si>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</si>
  <si>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</si>
  <si>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</si>
  <si>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</si>
  <si>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</si>
  <si>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</si>
  <si>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</si>
  <si>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</si>
  <si>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</si>
  <si>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</si>
  <si>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</si>
  <si>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</si>
  <si>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</si>
  <si>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</si>
  <si>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</si>
  <si>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</si>
  <si>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</si>
  <si>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</si>
  <si>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</si>
  <si>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</si>
  <si>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</si>
  <si>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</si>
  <si>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</si>
  <si>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</si>
  <si>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</si>
  <si>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</si>
  <si>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</si>
  <si>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</si>
  <si>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</si>
  <si>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</si>
  <si>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</si>
  <si>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</si>
  <si>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</si>
  <si>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</si>
  <si>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</si>
  <si>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</si>
  <si>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</si>
  <si>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</si>
  <si>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</si>
  <si>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</si>
  <si>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</si>
  <si>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</si>
  <si>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</si>
  <si>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</si>
  <si>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</si>
  <si>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</si>
  <si>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</si>
  <si>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</si>
  <si>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</si>
  <si>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</si>
  <si>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</si>
  <si>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</si>
  <si>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</si>
  <si>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</si>
  <si>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</si>
  <si>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</si>
  <si>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</si>
  <si>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</si>
  <si>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</si>
  <si>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</si>
  <si>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</si>
  <si>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</si>
  <si>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</si>
  <si>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</si>
  <si>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</si>
  <si>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</si>
  <si>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</si>
  <si>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</si>
  <si>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</si>
  <si>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</si>
  <si>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</si>
  <si>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</si>
  <si>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</si>
  <si>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</si>
  <si>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</si>
  <si>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</si>
  <si>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</si>
  <si>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</si>
  <si>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</si>
  <si>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</si>
  <si>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</si>
  <si>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</si>
  <si>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</si>
  <si>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</si>
  <si>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</si>
  <si>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</si>
  <si>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</si>
  <si>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</si>
  <si>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</si>
  <si>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</si>
  <si>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</si>
  <si>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</si>
  <si>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</si>
  <si>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</si>
  <si>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</si>
  <si>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</si>
  <si>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</si>
  <si>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</si>
  <si>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</si>
  <si>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</si>
  <si>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</si>
  <si>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</si>
  <si>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</si>
  <si>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</si>
  <si>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</si>
  <si>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</si>
  <si>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</si>
  <si>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</si>
  <si>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</si>
  <si>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</si>
  <si>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</si>
  <si>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</si>
  <si>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</si>
  <si>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</si>
  <si>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</si>
  <si>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</si>
  <si>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</si>
  <si>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</si>
  <si>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</si>
  <si>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</si>
  <si>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</si>
  <si>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</si>
  <si>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</si>
  <si>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</si>
  <si>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</si>
  <si>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</si>
  <si>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</si>
  <si>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</si>
  <si>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</si>
  <si>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</si>
  <si>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</si>
  <si>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</si>
  <si>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</si>
  <si>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</si>
  <si>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</si>
  <si>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</si>
  <si>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</si>
  <si>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</si>
  <si>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</si>
  <si>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</si>
  <si>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</si>
  <si>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</si>
  <si>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</si>
  <si>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</si>
  <si>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</si>
  <si>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</si>
  <si>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</si>
  <si>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</si>
  <si>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</si>
  <si>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</si>
  <si>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</si>
  <si>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</si>
  <si>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</si>
  <si>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</si>
  <si>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</si>
  <si>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</si>
  <si>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</si>
  <si>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</si>
  <si>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</si>
  <si>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</si>
  <si>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</si>
  <si>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</si>
  <si>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</si>
  <si>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</si>
  <si>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</si>
  <si>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</si>
  <si>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</si>
  <si>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</si>
  <si>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</si>
  <si>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</si>
  <si>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</si>
  <si>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</si>
  <si>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</si>
  <si>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</si>
  <si>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</si>
  <si>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</si>
  <si>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</si>
  <si>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</si>
  <si>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</si>
  <si>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</si>
  <si>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</si>
  <si>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</si>
  <si>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</si>
  <si>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</si>
  <si>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</si>
  <si>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</si>
  <si>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</si>
  <si>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</si>
  <si>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</si>
  <si>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</si>
  <si>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</si>
  <si>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</si>
  <si>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</si>
  <si>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</si>
  <si>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</si>
  <si>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</si>
  <si>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</si>
  <si>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</si>
  <si>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</si>
  <si>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</si>
  <si>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</si>
  <si>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</si>
  <si>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</si>
  <si>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</si>
  <si>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</si>
  <si>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</si>
  <si>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</si>
  <si>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</si>
  <si>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</si>
  <si>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</si>
  <si>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</si>
  <si>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</si>
  <si>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</si>
  <si>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</si>
  <si>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</si>
  <si>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</si>
  <si>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</si>
  <si>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</si>
  <si>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</si>
  <si>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</si>
  <si>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</si>
  <si>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</si>
  <si>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</si>
  <si>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</si>
  <si>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</si>
  <si>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</si>
  <si>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</si>
  <si>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</si>
  <si>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</si>
  <si>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</si>
  <si>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</si>
  <si>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</si>
  <si>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</si>
  <si>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</si>
  <si>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</si>
  <si>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</si>
  <si>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</si>
  <si>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</si>
  <si>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</si>
  <si>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</si>
  <si>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</si>
  <si>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</si>
  <si>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</si>
  <si>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</si>
  <si>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</si>
  <si>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</si>
  <si>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</si>
  <si>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</si>
  <si>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</si>
  <si>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</si>
  <si>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</si>
  <si>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</si>
  <si>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</si>
  <si>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</si>
  <si>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</si>
  <si>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</si>
  <si>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</si>
  <si>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</si>
  <si>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</si>
  <si>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</si>
  <si>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</si>
  <si>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</si>
  <si>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</si>
  <si>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</si>
  <si>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</si>
  <si>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</si>
  <si>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</si>
  <si>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</si>
  <si>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</si>
  <si>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</si>
  <si>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</si>
  <si>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</si>
  <si>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</si>
  <si>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</si>
  <si>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</si>
  <si>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</si>
  <si>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</si>
  <si>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</si>
  <si>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</si>
  <si>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</si>
  <si>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</si>
  <si>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</si>
  <si>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</si>
  <si>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</si>
  <si>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</si>
  <si>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</si>
  <si>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</si>
  <si>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</si>
  <si>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</si>
  <si>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</si>
  <si>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</si>
  <si>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</si>
  <si>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</si>
  <si>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</si>
  <si>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</si>
  <si>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</si>
  <si>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</si>
  <si>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</si>
  <si>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</si>
  <si>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</si>
  <si>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</si>
  <si>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</si>
  <si>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</si>
  <si>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</si>
  <si>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</si>
  <si>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</si>
  <si>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</si>
  <si>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</si>
  <si>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</si>
  <si>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</si>
  <si>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</si>
  <si>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</si>
  <si>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</si>
  <si>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</si>
  <si>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</si>
  <si>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</si>
  <si>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</si>
  <si>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</si>
  <si>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</si>
  <si>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</si>
  <si>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</si>
  <si>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</si>
  <si>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</si>
  <si>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</si>
  <si>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</si>
  <si>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</si>
  <si>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</si>
  <si>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</si>
  <si>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</si>
  <si>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</si>
  <si>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</si>
  <si>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</si>
  <si>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</si>
  <si>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</si>
  <si>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</si>
  <si>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</si>
  <si>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</si>
  <si>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</si>
  <si>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</si>
  <si>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</si>
  <si>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</si>
  <si>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</si>
  <si>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</si>
  <si>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</si>
  <si>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</si>
  <si>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</si>
  <si>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</si>
  <si>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</si>
  <si>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</si>
  <si>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</si>
  <si>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</si>
  <si>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</si>
  <si>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</si>
  <si>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</si>
  <si>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</si>
  <si>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</si>
  <si>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</si>
  <si>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</si>
  <si>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</si>
  <si>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</si>
  <si>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</si>
  <si>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</si>
  <si>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</si>
  <si>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</si>
  <si>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</si>
  <si>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</si>
  <si>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</si>
  <si>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</si>
  <si>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</si>
  <si>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</si>
  <si>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</si>
  <si>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</si>
  <si>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</si>
  <si>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</si>
  <si>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</si>
  <si>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</si>
  <si>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</si>
  <si>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</si>
  <si>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</si>
  <si>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</si>
  <si>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</si>
  <si>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</si>
  <si>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</si>
  <si>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</si>
  <si>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</si>
  <si>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</si>
  <si>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</si>
  <si>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</si>
  <si>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</si>
  <si>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</si>
  <si>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</si>
  <si>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</si>
  <si>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</si>
  <si>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</si>
  <si>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</si>
  <si>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</si>
  <si>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</si>
  <si>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</si>
  <si>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</si>
  <si>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</si>
  <si>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</si>
  <si>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</si>
  <si>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</si>
  <si>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</si>
  <si>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</si>
  <si>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</si>
  <si>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</si>
  <si>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</si>
  <si>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</si>
  <si>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</si>
  <si>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</si>
  <si>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</si>
  <si>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</si>
  <si>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</si>
  <si>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</si>
  <si>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</si>
  <si>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</si>
  <si>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</si>
  <si>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</si>
  <si>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</si>
  <si>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</si>
  <si>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</si>
  <si>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</si>
  <si>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</si>
  <si>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</si>
  <si>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</si>
  <si>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</si>
  <si>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</si>
  <si>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</si>
  <si>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</si>
  <si>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</si>
  <si>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</si>
  <si>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</si>
  <si>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</si>
  <si>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</si>
  <si>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</si>
  <si>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</si>
  <si>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</si>
  <si>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</si>
  <si>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</si>
  <si>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</si>
  <si>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</si>
  <si>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</si>
  <si>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</si>
  <si>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</si>
  <si>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</si>
  <si>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</si>
  <si>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</si>
  <si>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</si>
  <si>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</si>
  <si>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</si>
  <si>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</si>
  <si>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</si>
  <si>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</si>
  <si>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</si>
  <si>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</si>
  <si>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</si>
  <si>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</si>
  <si>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</si>
  <si>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</si>
  <si>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</si>
  <si>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</si>
  <si>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</si>
  <si>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</si>
  <si>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</si>
  <si>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</si>
  <si>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</si>
  <si>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</si>
  <si>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</si>
  <si>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</si>
  <si>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</si>
  <si>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</si>
  <si>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</si>
  <si>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</si>
  <si>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</si>
  <si>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</si>
  <si>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</si>
  <si>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</si>
  <si>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</si>
  <si>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</si>
  <si>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</si>
  <si>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</si>
  <si>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</si>
  <si>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</si>
  <si>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</si>
  <si>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</si>
  <si>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</si>
  <si>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</si>
  <si>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</si>
  <si>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</si>
  <si>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</si>
  <si>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</si>
  <si>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</si>
  <si>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</si>
  <si>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</si>
  <si>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</si>
  <si>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</si>
  <si>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</si>
  <si>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</si>
  <si>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</si>
  <si>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</si>
  <si>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</si>
  <si>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</si>
  <si>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</si>
  <si>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</si>
  <si>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</si>
  <si>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</si>
  <si>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</si>
  <si>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</si>
  <si>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</si>
  <si>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</si>
  <si>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</si>
  <si>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</si>
  <si>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</si>
  <si>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</si>
  <si>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</si>
  <si>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</si>
  <si>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</si>
  <si>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</si>
  <si>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</si>
  <si>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</si>
  <si>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</si>
  <si>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</si>
  <si>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</si>
  <si>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</si>
  <si>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</si>
  <si>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</si>
  <si>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</si>
  <si>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</si>
  <si>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</si>
  <si>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</si>
  <si>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</si>
  <si>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</si>
  <si>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</si>
  <si>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</si>
  <si>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</si>
  <si>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</si>
  <si>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</si>
  <si>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</si>
  <si>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</si>
  <si>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</si>
  <si>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</si>
  <si>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</si>
  <si>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</si>
  <si>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</si>
  <si>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</si>
  <si>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</si>
  <si>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</si>
  <si>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</si>
  <si>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</si>
  <si>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</si>
  <si>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</si>
  <si>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</si>
  <si>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</si>
  <si>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</si>
  <si>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</si>
  <si>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</si>
  <si>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</si>
  <si>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</si>
  <si>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</si>
  <si>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</si>
  <si>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</si>
  <si>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</si>
  <si>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</si>
  <si>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</si>
  <si>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</si>
  <si>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</si>
  <si>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</si>
  <si>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</si>
  <si>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</si>
  <si>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</si>
  <si>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</si>
  <si>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</si>
  <si>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</si>
  <si>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</si>
  <si>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</si>
  <si>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</si>
  <si>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</si>
  <si>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</si>
  <si>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</si>
  <si>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</si>
  <si>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</si>
  <si>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</si>
  <si>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</si>
  <si>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</si>
  <si>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</si>
  <si>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</si>
  <si>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</si>
  <si>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</si>
  <si>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</si>
  <si>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</si>
  <si>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</si>
  <si>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</si>
  <si>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</si>
  <si>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</si>
  <si>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</si>
  <si>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</si>
  <si>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</si>
  <si>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</si>
  <si>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</si>
  <si>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</si>
  <si>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</si>
  <si>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</si>
  <si>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</si>
  <si>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</si>
  <si>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</si>
  <si>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</si>
  <si>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</si>
  <si>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</si>
  <si>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</si>
  <si>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</si>
  <si>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</si>
  <si>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</si>
  <si>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</si>
  <si>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</si>
  <si>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</si>
  <si>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</si>
  <si>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</si>
  <si>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</si>
  <si>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</si>
  <si>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</si>
  <si>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</si>
  <si>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</si>
  <si>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</si>
  <si>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</si>
  <si>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</si>
  <si>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</si>
  <si>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</si>
  <si>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</si>
  <si>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</si>
  <si>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</si>
  <si>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</si>
  <si>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</si>
  <si>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</si>
  <si>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</si>
  <si>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</si>
  <si>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</si>
  <si>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</si>
  <si>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</si>
  <si>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</si>
  <si>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</si>
  <si>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</si>
  <si>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</si>
  <si>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</si>
  <si>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</si>
  <si>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</si>
  <si>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</si>
  <si>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</si>
  <si>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</si>
  <si>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</si>
  <si>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</si>
  <si>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</si>
  <si>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</si>
  <si>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</si>
  <si>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</si>
  <si>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</si>
  <si>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</si>
  <si>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</si>
  <si>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</si>
  <si>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</si>
  <si>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</si>
  <si>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</si>
  <si>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</si>
  <si>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</si>
  <si>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</si>
  <si>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</si>
  <si>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</si>
  <si>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</si>
  <si>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</si>
  <si>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</si>
  <si>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</si>
  <si>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</si>
  <si>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</si>
  <si>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</si>
  <si>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</si>
  <si>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</si>
  <si>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</si>
  <si>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</si>
  <si>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</si>
  <si>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</si>
  <si>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</si>
  <si>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</si>
  <si>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</si>
  <si>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</si>
  <si>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</si>
  <si>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</si>
  <si>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</si>
  <si>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</si>
  <si>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</si>
  <si>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</si>
  <si>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</si>
  <si>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</si>
  <si>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</si>
  <si>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</si>
  <si>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</si>
  <si>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</si>
  <si>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</si>
  <si>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</si>
  <si>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</si>
  <si>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</si>
  <si>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</si>
  <si>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</si>
  <si>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</si>
  <si>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</si>
  <si>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</si>
  <si>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</si>
  <si>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</si>
  <si>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</si>
  <si>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</si>
  <si>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</si>
  <si>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</si>
  <si>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</si>
  <si>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</si>
  <si>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</si>
  <si>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</si>
  <si>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</si>
  <si>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</si>
  <si>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</si>
  <si>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</si>
  <si>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</si>
  <si>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</si>
  <si>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</si>
  <si>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</si>
  <si>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</si>
  <si>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</si>
  <si>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</si>
  <si>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</si>
  <si>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</si>
  <si>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</si>
  <si>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</si>
  <si>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</si>
  <si>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</si>
  <si>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</si>
  <si>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</si>
  <si>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</si>
  <si>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</si>
  <si>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</si>
  <si>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</si>
  <si>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</si>
  <si>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</si>
  <si>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</si>
  <si>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</si>
  <si>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</si>
  <si>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</si>
  <si>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</si>
  <si>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</si>
  <si>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</si>
  <si>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</si>
  <si>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</si>
  <si>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</si>
  <si>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</si>
  <si>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</si>
  <si>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</si>
  <si>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</si>
  <si>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</si>
  <si>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</si>
  <si>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</si>
  <si>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</si>
  <si>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</si>
  <si>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</si>
  <si>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</si>
  <si>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</si>
  <si>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</si>
  <si>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</si>
  <si>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</si>
  <si>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</si>
  <si>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</si>
  <si>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</si>
  <si>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</si>
  <si>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</si>
  <si>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</si>
  <si>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</si>
  <si>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</si>
  <si>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</si>
  <si>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</si>
  <si>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</si>
  <si>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</si>
  <si>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</si>
  <si>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</si>
  <si>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</si>
  <si>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</si>
  <si>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</si>
  <si>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</si>
  <si>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</si>
  <si>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</si>
  <si>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</si>
  <si>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</si>
  <si>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</si>
  <si>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</si>
  <si>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</si>
  <si>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</si>
  <si>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</si>
  <si>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</si>
  <si>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</si>
  <si>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</si>
  <si>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</si>
  <si>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</si>
  <si>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</si>
  <si>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</si>
  <si>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</si>
  <si>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</si>
  <si>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</si>
  <si>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</si>
  <si>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</si>
  <si>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</si>
  <si>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</si>
  <si>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</si>
  <si>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</si>
  <si>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</si>
  <si>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</si>
  <si>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</si>
  <si>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</si>
  <si>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</si>
  <si>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</si>
  <si>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</si>
  <si>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</si>
  <si>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</si>
  <si>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</si>
  <si>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</si>
  <si>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</si>
  <si>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</si>
  <si>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</si>
  <si>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</si>
  <si>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</si>
  <si>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</si>
  <si>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</si>
  <si>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</si>
  <si>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</si>
  <si>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</si>
  <si>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</si>
  <si>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</si>
  <si>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</si>
  <si>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</si>
  <si>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</si>
  <si>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</si>
  <si>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</si>
  <si>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</si>
  <si>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</si>
  <si>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</si>
  <si>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</si>
  <si>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</si>
  <si>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</si>
  <si>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</si>
  <si>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</si>
  <si>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</si>
  <si>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</si>
  <si>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</si>
  <si>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</si>
  <si>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</si>
  <si>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</si>
  <si>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</si>
  <si>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</si>
  <si>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</si>
  <si>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</si>
  <si>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</si>
  <si>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</si>
  <si>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</si>
  <si>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</si>
  <si>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</si>
  <si>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</si>
  <si>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</si>
  <si>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</si>
  <si>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</si>
  <si>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</si>
  <si>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</si>
  <si>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</si>
  <si>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</si>
  <si>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</si>
  <si>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</si>
  <si>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</si>
  <si>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</si>
  <si>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</si>
  <si>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</si>
  <si>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</si>
  <si>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</si>
  <si>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</si>
  <si>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</si>
  <si>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</si>
  <si>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</si>
  <si>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</si>
  <si>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</si>
  <si>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</si>
  <si>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</si>
  <si>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</si>
  <si>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</si>
  <si>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</si>
  <si>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</si>
  <si>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</si>
  <si>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</si>
  <si>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</si>
  <si>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</si>
  <si>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</si>
  <si>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</si>
  <si>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</si>
  <si>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</si>
  <si>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</si>
  <si>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</si>
  <si>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</si>
  <si>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</si>
  <si>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</si>
  <si>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</si>
  <si>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</si>
  <si>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</si>
  <si>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</si>
  <si>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</si>
  <si>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</si>
  <si>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CAM SAN XUAT NHIEU HON KE HOACH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</si>
  <si>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</si>
  <si>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</si>
  <si>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</si>
  <si>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</si>
  <si>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</si>
  <si>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</si>
  <si>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</si>
  <si>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</si>
  <si>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</si>
  <si>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</si>
  <si>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</si>
  <si>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</si>
  <si>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</si>
  <si>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</si>
  <si>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</si>
  <si>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</si>
  <si>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</si>
  <si>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</si>
  <si>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</si>
  <si>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</si>
  <si>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</si>
  <si>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</si>
  <si>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</si>
  <si>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</si>
  <si>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</si>
  <si>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</si>
  <si>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</si>
  <si>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</si>
  <si>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</si>
  <si>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</si>
  <si>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</si>
  <si>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</si>
  <si>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</si>
  <si>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</si>
  <si>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</si>
  <si>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</si>
  <si>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</si>
  <si>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</si>
  <si>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</si>
  <si>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</si>
  <si>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</si>
  <si>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</si>
  <si>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</si>
  <si>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</si>
  <si>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</si>
  <si>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</si>
  <si>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</si>
  <si>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</si>
  <si>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</si>
  <si>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</si>
  <si>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</si>
  <si>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</si>
  <si>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</si>
  <si>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</si>
  <si>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</si>
  <si>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</si>
  <si>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</si>
  <si>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</si>
  <si>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</si>
  <si>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</si>
  <si>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</si>
  <si>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</si>
  <si>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</si>
  <si>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</si>
  <si>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</si>
  <si>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</si>
  <si>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</si>
  <si>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</si>
  <si>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</si>
  <si>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</si>
  <si>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</si>
  <si>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</si>
  <si>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</si>
  <si>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</si>
  <si>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</si>
  <si>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</si>
  <si>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</si>
  <si>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</si>
  <si>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</si>
  <si>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</si>
  <si>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</si>
  <si>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</si>
  <si>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</si>
  <si>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</si>
  <si>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</si>
  <si>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</si>
  <si>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</si>
  <si>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</si>
  <si>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</si>
  <si>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</si>
  <si>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</si>
  <si>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</si>
  <si>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</si>
  <si>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</si>
  <si>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</si>
  <si>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</si>
  <si>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</si>
  <si>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</si>
  <si>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</si>
  <si>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</si>
  <si>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</si>
  <si>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</si>
  <si>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</si>
  <si>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</si>
  <si>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</si>
  <si>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</si>
  <si>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</si>
  <si>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</si>
  <si>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</si>
  <si>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</si>
  <si>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</si>
  <si>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</si>
  <si>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</si>
  <si>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</si>
  <si>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</si>
  <si>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</si>
  <si>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</si>
  <si>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</si>
  <si>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</si>
  <si>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</si>
  <si>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</si>
  <si>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</si>
  <si>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</si>
  <si>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</si>
  <si>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</si>
  <si>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</si>
  <si>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</si>
  <si>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</si>
  <si>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</si>
  <si>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</si>
  <si>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</si>
  <si>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</si>
  <si>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</si>
  <si>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</si>
  <si>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</si>
  <si>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</si>
  <si>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</si>
  <si>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</si>
  <si>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</si>
  <si>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</si>
  <si>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</si>
  <si>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</si>
  <si>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</si>
  <si>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</si>
  <si>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</si>
  <si>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</si>
  <si>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</si>
  <si>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</si>
  <si>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</si>
  <si>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</si>
  <si>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</si>
  <si>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</si>
  <si>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</si>
  <si>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</si>
  <si>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</si>
  <si>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</si>
  <si>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</si>
  <si>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</si>
  <si>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</si>
  <si>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</si>
  <si>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</si>
  <si>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</si>
  <si>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</si>
  <si>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</si>
  <si>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</si>
  <si>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</si>
  <si>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</si>
  <si>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</si>
  <si>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</si>
  <si>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</si>
  <si>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</si>
  <si>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</si>
  <si>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</si>
  <si>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</si>
  <si>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</si>
  <si>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</si>
  <si>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</si>
  <si>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</si>
  <si>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</si>
  <si>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</si>
  <si>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</si>
  <si>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</si>
  <si>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</si>
  <si>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</si>
  <si>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</si>
  <si>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</si>
  <si>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</si>
  <si>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</si>
  <si>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</si>
  <si>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</si>
  <si>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</si>
  <si>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</si>
  <si>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</si>
  <si>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</si>
  <si>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</si>
  <si>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</si>
  <si>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</si>
  <si>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</si>
  <si>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</si>
  <si>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</si>
  <si>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</si>
  <si>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</si>
  <si>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</si>
  <si>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</si>
  <si>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</si>
  <si>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</si>
  <si>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</si>
  <si>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</si>
  <si>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</si>
  <si>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</si>
  <si>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</si>
  <si>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</si>
  <si>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</si>
  <si>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</si>
  <si>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</si>
  <si>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</si>
  <si>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</si>
  <si>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</si>
  <si>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</si>
  <si>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</si>
  <si>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</si>
  <si>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</si>
  <si>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</si>
  <si>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</si>
  <si>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</si>
  <si>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</si>
  <si>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</si>
  <si>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</si>
  <si>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</si>
  <si>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</si>
  <si>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</si>
  <si>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</si>
  <si>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</si>
  <si>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</si>
  <si>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</si>
  <si>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</si>
  <si>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</si>
  <si>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</si>
  <si>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</si>
  <si>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</si>
  <si>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</si>
  <si>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</si>
  <si>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</si>
  <si>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</si>
  <si>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</si>
  <si>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</si>
  <si>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</si>
  <si>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</si>
  <si>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</si>
  <si>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</si>
  <si>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</si>
  <si>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</si>
  <si>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</si>
  <si>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</si>
  <si>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</si>
  <si>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</si>
  <si>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</si>
  <si>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</si>
  <si>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</si>
  <si>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</si>
  <si>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</si>
  <si>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</si>
  <si>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</si>
  <si>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</si>
  <si>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</si>
  <si>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</si>
  <si>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</si>
  <si>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</si>
  <si>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</si>
  <si>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</si>
  <si>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</si>
  <si>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</si>
  <si>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</si>
  <si>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</si>
  <si>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</si>
  <si>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</si>
  <si>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</si>
  <si>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</si>
  <si>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</si>
  <si>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</si>
  <si>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</si>
  <si>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</si>
  <si>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</si>
  <si>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</si>
  <si>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</si>
  <si>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</si>
  <si>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</si>
  <si>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</si>
  <si>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</si>
  <si>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</si>
  <si>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</si>
  <si>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</si>
  <si>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</si>
  <si>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</si>
  <si>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</si>
  <si>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</si>
  <si>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</si>
  <si>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</si>
  <si>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</si>
  <si>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</si>
  <si>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</si>
  <si>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</si>
  <si>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</si>
  <si>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</si>
  <si>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</si>
  <si>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</si>
  <si>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</si>
  <si>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</si>
  <si>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</si>
  <si>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</si>
  <si>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</si>
  <si>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</si>
  <si>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</si>
  <si>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</si>
  <si>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</si>
  <si>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</si>
  <si>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</si>
  <si>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</si>
  <si>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</si>
  <si>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</si>
  <si>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</si>
  <si>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</si>
  <si>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</si>
  <si>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</si>
  <si>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</si>
  <si>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</si>
  <si>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</si>
  <si>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</si>
  <si>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</si>
  <si>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</si>
  <si>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</si>
  <si>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</si>
  <si>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</si>
  <si>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</si>
  <si>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</si>
  <si>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</si>
  <si>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</si>
  <si>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</si>
  <si>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</si>
  <si>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</si>
  <si>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</si>
  <si>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</si>
  <si>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</si>
  <si>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</si>
  <si>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</si>
  <si>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</si>
  <si>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</si>
  <si>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</si>
  <si>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</si>
  <si>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</si>
  <si>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</si>
  <si>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</si>
  <si>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</si>
  <si>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</si>
  <si>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</si>
  <si>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</si>
  <si>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</si>
  <si>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</si>
  <si>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</si>
  <si>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</si>
  <si>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</si>
  <si>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</si>
  <si>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</si>
  <si>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</si>
  <si>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</si>
  <si>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</si>
  <si>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</si>
  <si>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</si>
  <si>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</si>
  <si>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</si>
  <si>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</si>
  <si>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</si>
  <si>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</si>
  <si>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</si>
  <si>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</si>
  <si>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</si>
  <si>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</si>
  <si>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</si>
  <si>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</si>
  <si>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</si>
  <si>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</si>
  <si>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</si>
  <si>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</si>
  <si>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</si>
  <si>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</si>
  <si>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</si>
  <si>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</si>
  <si>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</si>
  <si>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</si>
  <si>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</si>
  <si>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</si>
  <si>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</si>
  <si>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</si>
  <si>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</si>
  <si>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</si>
  <si>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</si>
  <si>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</si>
  <si>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</si>
  <si>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</si>
  <si>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</si>
  <si>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</si>
  <si>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</si>
  <si>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</si>
  <si>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</si>
  <si>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</si>
  <si>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</si>
  <si>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</si>
  <si>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</si>
  <si>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</si>
  <si>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</si>
  <si>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</si>
  <si>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</si>
  <si>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</si>
  <si>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</si>
  <si>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</si>
  <si>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</si>
  <si>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</si>
  <si>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</si>
  <si>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</si>
  <si>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</si>
  <si>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</si>
  <si>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</si>
  <si>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</si>
  <si>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</si>
  <si>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</si>
  <si>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</si>
  <si>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</si>
  <si>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</si>
  <si>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</si>
  <si>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</si>
  <si>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</si>
  <si>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</si>
  <si>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</si>
  <si>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</si>
  <si>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</si>
  <si>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</si>
  <si>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</si>
  <si>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</si>
  <si>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</si>
  <si>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</si>
  <si>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</si>
  <si>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</si>
  <si>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</si>
  <si>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</si>
  <si>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</si>
  <si>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</si>
  <si>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</si>
  <si>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</si>
  <si>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</si>
  <si>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</si>
  <si>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</si>
  <si>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</si>
  <si>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</si>
  <si>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</si>
  <si>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</si>
  <si>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</si>
  <si>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</si>
  <si>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</si>
  <si>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</si>
  <si>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</si>
  <si>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</si>
  <si>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</si>
  <si>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</si>
  <si>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</si>
  <si>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</si>
  <si>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</si>
  <si>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</si>
  <si>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</si>
  <si>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</si>
  <si>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</si>
  <si>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</si>
  <si>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</si>
  <si>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</si>
  <si>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</si>
  <si>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</si>
  <si>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</si>
  <si>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</si>
  <si>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</si>
  <si>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</si>
  <si>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</si>
  <si>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</si>
  <si>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</si>
  <si>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</si>
  <si>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</si>
  <si>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</si>
  <si>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</si>
  <si>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</si>
  <si>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</si>
  <si>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</si>
  <si>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</si>
  <si>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</si>
  <si>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</si>
  <si>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</si>
  <si>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</si>
  <si>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</si>
  <si>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</si>
  <si>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</si>
  <si>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</si>
  <si>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</si>
  <si>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</si>
  <si>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</si>
  <si>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</si>
  <si>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</si>
  <si>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</si>
  <si>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</si>
  <si>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</si>
  <si>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</si>
  <si>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</si>
  <si>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</si>
  <si>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</si>
  <si>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</si>
  <si>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</si>
  <si>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</si>
  <si>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</si>
  <si>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</si>
  <si>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</si>
  <si>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</si>
  <si>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</si>
  <si>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</si>
  <si>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</si>
  <si>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</si>
  <si>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</si>
  <si>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</si>
  <si>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</si>
  <si>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</si>
  <si>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</si>
  <si>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</si>
  <si>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</si>
  <si>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</si>
  <si>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</si>
  <si>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</si>
  <si>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</si>
  <si>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</si>
  <si>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</si>
  <si>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</si>
  <si>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</si>
  <si>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</si>
  <si>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</si>
  <si>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</si>
  <si>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</si>
  <si>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</si>
  <si>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</si>
  <si>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</si>
  <si>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</si>
  <si>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</si>
  <si>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</si>
  <si>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</si>
  <si>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</si>
  <si>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</si>
  <si>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</si>
  <si>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</si>
  <si>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</si>
  <si>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</si>
  <si>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</si>
  <si>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</si>
  <si>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</si>
  <si>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</si>
  <si>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</si>
  <si>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</si>
  <si>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</si>
  <si>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</si>
  <si>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</si>
  <si>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</si>
  <si>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</si>
  <si>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</si>
  <si>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</si>
  <si>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</si>
  <si>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</si>
  <si>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</si>
  <si>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</si>
  <si>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</si>
  <si>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</si>
  <si>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</si>
  <si>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</si>
  <si>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</si>
  <si>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</si>
  <si>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</si>
  <si>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</si>
  <si>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</si>
  <si>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</si>
  <si>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</si>
  <si>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</si>
  <si>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</si>
  <si>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</si>
  <si>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</si>
  <si>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</si>
  <si>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</si>
  <si>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</si>
  <si>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</si>
  <si>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</si>
  <si>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</si>
  <si>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</si>
  <si>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</si>
  <si>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</si>
  <si>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</si>
  <si>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</si>
  <si>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</si>
  <si>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</si>
  <si>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</si>
  <si>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</si>
  <si>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</si>
  <si>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</si>
  <si>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</si>
  <si>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</si>
  <si>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</si>
  <si>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</si>
  <si>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</si>
  <si>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</si>
  <si>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</si>
  <si>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</si>
  <si>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</si>
  <si>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</si>
  <si>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</si>
  <si>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</si>
  <si>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</si>
  <si>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</si>
  <si>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</si>
  <si>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</si>
  <si>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</si>
  <si>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</si>
  <si>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</si>
  <si>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</si>
  <si>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</si>
  <si>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</si>
  <si>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</si>
  <si>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</si>
  <si>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</si>
  <si>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</si>
  <si>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</si>
  <si>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</si>
  <si>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</si>
  <si>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</si>
  <si>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</si>
  <si>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</si>
  <si>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</si>
  <si>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</si>
  <si>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</si>
  <si>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</si>
  <si>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</si>
  <si>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</si>
  <si>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</si>
  <si>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</si>
  <si>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</si>
  <si>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</si>
  <si>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</si>
  <si>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</si>
  <si>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</si>
  <si>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</si>
  <si>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</si>
  <si>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</si>
  <si>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</si>
  <si>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</si>
  <si>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</si>
  <si>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</si>
  <si>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</si>
  <si>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</si>
  <si>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</si>
  <si>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</si>
  <si>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</si>
  <si>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</si>
  <si>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</si>
  <si>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</si>
  <si>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</si>
  <si>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</si>
  <si>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</si>
  <si>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</si>
  <si>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</si>
  <si>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</si>
  <si>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</si>
  <si>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</si>
  <si>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</si>
  <si>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</si>
  <si>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</si>
  <si>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</si>
  <si>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</si>
  <si>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</si>
  <si>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</si>
  <si>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</si>
  <si>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</si>
  <si>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</si>
  <si>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</si>
  <si>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</si>
  <si>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</si>
  <si>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</si>
  <si>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</si>
  <si>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</si>
  <si>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</si>
  <si>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</si>
  <si>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</si>
  <si>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</si>
  <si>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</si>
  <si>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</si>
  <si>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</si>
  <si>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</si>
  <si>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</si>
  <si>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</si>
  <si>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</si>
  <si>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SALES (BÁN HÀNG) đến ngày 28/04/2026</t>
  </si>
  <si>
    <t>PRODUCE (SẢN XUẤT) đến ngày 28/05/2026</t>
  </si>
  <si>
    <t>TA# 301 (25Kg)</t>
  </si>
  <si>
    <t>TA# 510M (25Kg)</t>
  </si>
  <si>
    <t>TA#  550PF  (10KG)</t>
  </si>
  <si>
    <t>TA# 552SF (50KG)</t>
  </si>
  <si>
    <t>S13</t>
  </si>
  <si>
    <t>S25</t>
  </si>
  <si>
    <t>P92</t>
  </si>
  <si>
    <t>TA# 511L (25Kg)</t>
  </si>
  <si>
    <t>TA# 549F (50Kg)</t>
  </si>
  <si>
    <t>TA# 548F(50Kg)</t>
  </si>
  <si>
    <t>S31</t>
  </si>
  <si>
    <t>S54</t>
  </si>
  <si>
    <t>TA# 551 (25kg)</t>
  </si>
  <si>
    <t>TA# 553 (25Kg)</t>
  </si>
  <si>
    <t>TA#  550P  (10KG)</t>
  </si>
  <si>
    <t>TA# 552S (25Kg)</t>
  </si>
  <si>
    <t>TA# 552F(50KG)</t>
  </si>
  <si>
    <t>TA# HG16 (25Kg)</t>
  </si>
  <si>
    <t>TA# 567S (25Kg)</t>
  </si>
  <si>
    <t>TA# 967S (25kg)</t>
  </si>
  <si>
    <t>TA# 548 (25Kg)</t>
  </si>
  <si>
    <t>TA# 553S (25KG)</t>
  </si>
  <si>
    <t>TA# 584(25Kgs)</t>
  </si>
  <si>
    <t>TA# 524 (25Kg)</t>
  </si>
  <si>
    <t>TA# HT12S(25KG)</t>
  </si>
  <si>
    <t>TA# 952S (25Kg)</t>
  </si>
  <si>
    <t>TA# 549 (25Kg)</t>
  </si>
  <si>
    <t>TA# 384(25Kgs)</t>
  </si>
  <si>
    <t>TA# 513F (50KG)</t>
  </si>
  <si>
    <t>TA# 885S (25Kg)</t>
  </si>
  <si>
    <t>TA# 510 (25Kg)</t>
  </si>
  <si>
    <t>TA# 952 (25Kg)</t>
  </si>
  <si>
    <t>TA# 566F(50KG)</t>
  </si>
  <si>
    <t>TA# 595 (25Kgs)</t>
  </si>
  <si>
    <t>TA# 553MF (50KG)</t>
  </si>
  <si>
    <t>TA# 562P (25Kg)</t>
  </si>
  <si>
    <t>TA# 567 (25Kg)</t>
  </si>
  <si>
    <t>TA# 550S (25kg)</t>
  </si>
  <si>
    <t>TA# 566 (F) (Silo)</t>
  </si>
  <si>
    <t>TA# 953 (25Kg)</t>
  </si>
  <si>
    <t>TA# 967 (25Kg)</t>
  </si>
  <si>
    <t>TA# HT11 (25Kg)</t>
  </si>
  <si>
    <t>TA# 552 (25Kg)</t>
  </si>
  <si>
    <t>TA# 884(25Kgs)</t>
  </si>
  <si>
    <t>TA# 566(25Kg)</t>
  </si>
  <si>
    <t>TA# 540F (50Kg)</t>
  </si>
  <si>
    <t>TA# 511 (25Kg)</t>
  </si>
  <si>
    <t>TA# 567SF (50Kg)</t>
  </si>
  <si>
    <t>TA# 352 (25Kg)</t>
  </si>
  <si>
    <t>TA# HT12 (25Kg)</t>
  </si>
  <si>
    <t>TA# 567SF_SILO</t>
  </si>
  <si>
    <t>TA# 552M (25Kg)</t>
  </si>
  <si>
    <t>TA# 966 (25Kg)</t>
  </si>
  <si>
    <t>TA# 511B (25Kg)</t>
  </si>
  <si>
    <t>TA# 552SF (SILO)</t>
  </si>
  <si>
    <t>P35</t>
  </si>
  <si>
    <t>TA# 511M (25Kg)</t>
  </si>
  <si>
    <t>TA# 302 (25Kg)</t>
  </si>
  <si>
    <t>TA# 549F (SILO)</t>
  </si>
  <si>
    <t>TA# VT12 (25Kg)</t>
  </si>
  <si>
    <t>TA# 551 (5*5=25Kg)</t>
  </si>
  <si>
    <t>TA# 951 (25Kg)</t>
  </si>
  <si>
    <t>Brand Code</t>
  </si>
  <si>
    <t>Size</t>
  </si>
  <si>
    <t>Product Name</t>
  </si>
  <si>
    <t>Medicine</t>
  </si>
  <si>
    <t>Lot. No.</t>
  </si>
  <si>
    <t>Quantity</t>
  </si>
  <si>
    <t>Weight</t>
  </si>
  <si>
    <t>Thøc ¨n ch¨n nu«i #  301 (25KG)</t>
  </si>
  <si>
    <t>Thøc ¨n ch¨n nu«i #  352 (25KG)</t>
  </si>
  <si>
    <t>510</t>
  </si>
  <si>
    <t>Thøc ¨n ch¨n nu«i #  510 (25KG)</t>
  </si>
  <si>
    <t>Thøc ¨n ch¨n nu«i #  511B (25KG)</t>
  </si>
  <si>
    <t>Thøc ¨n ch¨n nu«i# 511NF (50KG) (Thuèc)</t>
  </si>
  <si>
    <t>Thøc ¨n ch¨n nu«i #  549F (50KG)</t>
  </si>
  <si>
    <t>Thøc ¨n ch¨n nu«i #  550S (25KG)</t>
  </si>
  <si>
    <t>Thøc ¨n ch¨n nu«i #  551 (25KG)</t>
  </si>
  <si>
    <t>Thøc ¨n ch¨n nu«i# 551 (F)_50KG (Thuèc)</t>
  </si>
  <si>
    <t>Thøc ¨n ch¨n nu«i# 552 (F)_50KG (Thuèc)</t>
  </si>
  <si>
    <t>Thøc ¨n ch¨n nu«i# 552S (F)_50KG (Thuèc)</t>
  </si>
  <si>
    <t>Thøc ¨n ch¨n nu«i #  553MF (50KG)</t>
  </si>
  <si>
    <t>Thøc ¨n ch¨n nu«i #  562 (25KG)</t>
  </si>
  <si>
    <t>Thøc ¨n ch¨n nu«i# 562P (F)_50KG (Thuèc)</t>
  </si>
  <si>
    <t>Thøc ¨n ch¨n nu«i #  566(25KG)</t>
  </si>
  <si>
    <t>Thøc ¨n ch¨n nu«i# 566 (F)_50KG (Thuèc)</t>
  </si>
  <si>
    <t>Thøc ¨n ch¨n nu«i# 567S (F)_50KG (Thuèc)</t>
  </si>
  <si>
    <t>Thøc ¨n ch¨n nu«i # 594 (25KG)</t>
  </si>
  <si>
    <t>Thøc ¨n ch¨n nu«i #  966 (25KG)</t>
  </si>
  <si>
    <t>Thøc ¨n ch¨n nu«i #  HT11 (25KG)</t>
  </si>
  <si>
    <t>Thøc ¨n ch¨n nu«i #  HT11 GP (25KG)</t>
  </si>
  <si>
    <t>Thøc ¨n ch¨n nu«i #  HT12S(25KG)</t>
  </si>
  <si>
    <t>Thøc ¨n ch¨n nu«i #  HG16 (25KG)</t>
  </si>
  <si>
    <t>6951</t>
  </si>
  <si>
    <t>Thøc ¨n ch¨n nu«i # 6951(25KG)</t>
  </si>
  <si>
    <t>Thøc ¨n ch¨n nu«i # 6952 (25KG)</t>
  </si>
  <si>
    <t>Thøc ¨n ch¨n nu«i # 6991 (25KG)</t>
  </si>
  <si>
    <t>Thøc ¨n ch¨n nu«i # 6995 (25KG)</t>
  </si>
  <si>
    <t>Grand Total</t>
  </si>
  <si>
    <t>quá ngày tuổi</t>
  </si>
  <si>
    <t>25/4/2026</t>
  </si>
  <si>
    <t>SX dư so với kế hoạch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</si>
</sst>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8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color indexed="81"/>
      <name val="Tahoma"/>
      <family val="2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  <font>
      <sz val="10"/>
      <color indexed="8"/>
      <name val="ARIAL"/>
      <charset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90" fillId="0" borderId="0">
      <alignment vertical="top"/>
    </xf>
    <xf numFmtId="0" fontId="96" fillId="0" borderId="0">
      <alignment vertical="top"/>
    </xf>
    <xf numFmtId="0" fontId="5" fillId="0" borderId="0">
      <alignment vertical="top"/>
    </xf>
    <xf numFmtId="0" fontId="103" fillId="0" borderId="0">
      <alignment vertical="top"/>
    </xf>
    <xf numFmtId="9" fontId="1" fillId="0" borderId="0" applyFont="0" applyFill="0" applyBorder="0" applyAlignment="0" applyProtection="0"/>
  </cellStyleXfs>
  <cellXfs count="1284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9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7" fillId="20" borderId="16" xfId="0" applyFont="1" applyFill="1" applyBorder="1" applyAlignment="1">
      <alignment horizontal="left" vertical="top"/>
    </xf>
    <xf numFmtId="41" fontId="78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9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80" fillId="0" borderId="16" xfId="0" applyNumberFormat="1" applyFont="1" applyBorder="1" applyAlignment="1">
      <alignment horizontal="left" vertical="top"/>
    </xf>
    <xf numFmtId="41" fontId="81" fillId="0" borderId="21" xfId="0" applyNumberFormat="1" applyFont="1" applyBorder="1" applyAlignment="1">
      <alignment horizontal="left" vertical="top"/>
    </xf>
    <xf numFmtId="3" fontId="80" fillId="0" borderId="16" xfId="0" applyNumberFormat="1" applyFont="1" applyBorder="1" applyAlignment="1">
      <alignment horizontal="left" vertical="top"/>
    </xf>
    <xf numFmtId="41" fontId="80" fillId="0" borderId="16" xfId="0" applyNumberFormat="1" applyFont="1" applyBorder="1" applyAlignment="1">
      <alignment horizontal="right"/>
    </xf>
    <xf numFmtId="41" fontId="80" fillId="0" borderId="16" xfId="0" applyNumberFormat="1" applyFont="1" applyBorder="1" applyAlignment="1">
      <alignment horizontal="center"/>
    </xf>
    <xf numFmtId="3" fontId="80" fillId="0" borderId="16" xfId="0" applyNumberFormat="1" applyFont="1" applyBorder="1" applyAlignment="1">
      <alignment horizontal="center"/>
    </xf>
    <xf numFmtId="3" fontId="80" fillId="0" borderId="16" xfId="0" applyNumberFormat="1" applyFont="1" applyBorder="1" applyAlignment="1">
      <alignment horizontal="center" vertical="center"/>
    </xf>
    <xf numFmtId="41" fontId="80" fillId="0" borderId="16" xfId="0" applyNumberFormat="1" applyFont="1" applyBorder="1"/>
    <xf numFmtId="3" fontId="80" fillId="0" borderId="21" xfId="0" applyNumberFormat="1" applyFont="1" applyBorder="1" applyAlignment="1">
      <alignment horizontal="center"/>
    </xf>
    <xf numFmtId="41" fontId="80" fillId="0" borderId="22" xfId="0" applyNumberFormat="1" applyFont="1" applyBorder="1" applyAlignment="1">
      <alignment horizontal="center"/>
    </xf>
    <xf numFmtId="41" fontId="80" fillId="0" borderId="16" xfId="0" applyNumberFormat="1" applyFont="1" applyBorder="1" applyAlignment="1">
      <alignment horizontal="right" vertical="center"/>
    </xf>
    <xf numFmtId="3" fontId="80" fillId="0" borderId="18" xfId="0" applyNumberFormat="1" applyFont="1" applyBorder="1" applyAlignment="1">
      <alignment horizontal="center" vertical="center"/>
    </xf>
    <xf numFmtId="41" fontId="80" fillId="0" borderId="16" xfId="0" applyNumberFormat="1" applyFont="1" applyBorder="1" applyAlignment="1">
      <alignment horizontal="center" vertical="center"/>
    </xf>
    <xf numFmtId="41" fontId="80" fillId="0" borderId="16" xfId="0" applyNumberFormat="1" applyFont="1" applyBorder="1" applyAlignment="1">
      <alignment vertical="center"/>
    </xf>
    <xf numFmtId="41" fontId="80" fillId="0" borderId="21" xfId="0" applyNumberFormat="1" applyFont="1" applyBorder="1" applyAlignment="1">
      <alignment horizontal="center" vertical="center"/>
    </xf>
    <xf numFmtId="41" fontId="80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2" fillId="20" borderId="16" xfId="0" applyFont="1" applyFill="1" applyBorder="1" applyAlignment="1">
      <alignment horizontal="left" vertical="top"/>
    </xf>
    <xf numFmtId="41" fontId="82" fillId="20" borderId="16" xfId="0" applyNumberFormat="1" applyFont="1" applyFill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3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3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2" fillId="10" borderId="17" xfId="0" applyFont="1" applyFill="1" applyBorder="1" applyAlignment="1">
      <alignment horizontal="right" vertical="center"/>
    </xf>
    <xf numFmtId="41" fontId="82" fillId="10" borderId="16" xfId="0" applyNumberFormat="1" applyFont="1" applyFill="1" applyBorder="1" applyAlignment="1">
      <alignment horizontal="right" vertical="center"/>
    </xf>
    <xf numFmtId="41" fontId="82" fillId="10" borderId="16" xfId="0" applyNumberFormat="1" applyFont="1" applyFill="1" applyBorder="1" applyAlignment="1">
      <alignment horizontal="center" vertical="center"/>
    </xf>
    <xf numFmtId="41" fontId="84" fillId="10" borderId="16" xfId="0" applyNumberFormat="1" applyFont="1" applyFill="1" applyBorder="1" applyAlignment="1">
      <alignment horizontal="center" vertical="center"/>
    </xf>
    <xf numFmtId="41" fontId="80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5" fillId="0" borderId="16" xfId="0" applyNumberFormat="1" applyFont="1" applyBorder="1" applyAlignment="1">
      <alignment horizontal="left" vertical="top"/>
    </xf>
    <xf numFmtId="3" fontId="85" fillId="0" borderId="16" xfId="0" applyNumberFormat="1" applyFont="1" applyBorder="1" applyAlignment="1">
      <alignment horizontal="left" vertical="top"/>
    </xf>
    <xf numFmtId="41" fontId="85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8" fillId="20" borderId="21" xfId="0" applyNumberFormat="1" applyFont="1" applyFill="1" applyBorder="1" applyAlignment="1">
      <alignment horizontal="center" vertical="top"/>
    </xf>
    <xf numFmtId="41" fontId="7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6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2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horizontal="center" vertical="center"/>
    </xf>
    <xf numFmtId="3" fontId="85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7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2" fillId="0" borderId="0" xfId="0" applyNumberFormat="1" applyFont="1" applyAlignment="1">
      <alignment horizontal="left" vertical="top"/>
    </xf>
    <xf numFmtId="41" fontId="113" fillId="0" borderId="11" xfId="0" applyNumberFormat="1" applyFont="1" applyBorder="1" applyAlignment="1">
      <alignment horizontal="left" vertical="top"/>
    </xf>
    <xf numFmtId="41" fontId="113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4" fillId="0" borderId="23" xfId="0" applyNumberFormat="1" applyFont="1" applyBorder="1" applyAlignment="1">
      <alignment horizontal="center" vertical="center"/>
    </xf>
    <xf numFmtId="41" fontId="114" fillId="0" borderId="16" xfId="0" applyNumberFormat="1" applyFont="1" applyBorder="1" applyAlignment="1">
      <alignment horizontal="center" vertical="center"/>
    </xf>
    <xf numFmtId="41" fontId="114" fillId="0" borderId="16" xfId="0" applyNumberFormat="1" applyFont="1" applyBorder="1" applyAlignment="1">
      <alignment horizontal="center"/>
    </xf>
    <xf numFmtId="0" fontId="114" fillId="0" borderId="0" xfId="0" applyFont="1" applyAlignment="1">
      <alignment horizontal="center" vertical="center"/>
    </xf>
    <xf numFmtId="41" fontId="114" fillId="0" borderId="21" xfId="0" applyNumberFormat="1" applyFont="1" applyBorder="1" applyAlignment="1">
      <alignment horizontal="center" vertical="center"/>
    </xf>
    <xf numFmtId="41" fontId="114" fillId="0" borderId="22" xfId="0" applyNumberFormat="1" applyFont="1" applyBorder="1" applyAlignment="1">
      <alignment horizontal="center" vertical="center"/>
    </xf>
    <xf numFmtId="41" fontId="114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center"/>
    </xf>
    <xf numFmtId="0" fontId="114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5" fillId="0" borderId="0" xfId="0" applyFont="1"/>
    <xf numFmtId="0" fontId="0" fillId="0" borderId="0" xfId="0" applyAlignment="1">
      <alignment horizontal="right"/>
    </xf>
    <xf numFmtId="0" fontId="116" fillId="0" borderId="0" xfId="0" applyFont="1" applyAlignment="1">
      <alignment horizontal="left" vertical="center"/>
    </xf>
    <xf numFmtId="169" fontId="117" fillId="0" borderId="0" xfId="0" applyNumberFormat="1" applyFont="1" applyAlignment="1">
      <alignment horizontal="left" vertical="center"/>
    </xf>
    <xf numFmtId="41" fontId="116" fillId="0" borderId="0" xfId="0" applyNumberFormat="1" applyFont="1" applyAlignment="1">
      <alignment horizontal="left" vertical="center"/>
    </xf>
    <xf numFmtId="0" fontId="116" fillId="0" borderId="40" xfId="0" applyFont="1" applyBorder="1" applyAlignment="1">
      <alignment horizontal="left" vertical="center"/>
    </xf>
    <xf numFmtId="41" fontId="116" fillId="0" borderId="40" xfId="0" applyNumberFormat="1" applyFont="1" applyBorder="1" applyAlignment="1">
      <alignment horizontal="left"/>
    </xf>
    <xf numFmtId="41" fontId="116" fillId="0" borderId="0" xfId="0" applyNumberFormat="1" applyFont="1" applyAlignment="1">
      <alignment horizontal="center" vertical="center"/>
    </xf>
    <xf numFmtId="41" fontId="116" fillId="0" borderId="0" xfId="0" applyNumberFormat="1" applyFont="1" applyAlignment="1">
      <alignment horizontal="left"/>
    </xf>
    <xf numFmtId="0" fontId="116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8" fillId="0" borderId="16" xfId="0" applyNumberFormat="1" applyFont="1" applyBorder="1" applyAlignment="1">
      <alignment horizontal="center" vertical="center"/>
    </xf>
    <xf numFmtId="41" fontId="118" fillId="0" borderId="16" xfId="0" applyNumberFormat="1" applyFont="1" applyBorder="1" applyAlignment="1">
      <alignment vertical="center"/>
    </xf>
    <xf numFmtId="3" fontId="118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9" fillId="0" borderId="11" xfId="0" applyNumberFormat="1" applyFont="1" applyBorder="1" applyAlignment="1">
      <alignment horizontal="left" vertical="top"/>
    </xf>
    <xf numFmtId="0" fontId="120" fillId="0" borderId="41" xfId="0" applyFont="1" applyBorder="1" applyAlignment="1">
      <alignment horizontal="left" vertical="center"/>
    </xf>
    <xf numFmtId="0" fontId="121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/>
    </xf>
    <xf numFmtId="0" fontId="120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2" fillId="0" borderId="0" xfId="0" applyFont="1" applyAlignment="1">
      <alignment vertical="center"/>
    </xf>
    <xf numFmtId="0" fontId="123" fillId="0" borderId="0" xfId="0" applyFont="1" applyAlignment="1">
      <alignment vertical="center"/>
    </xf>
    <xf numFmtId="0" fontId="122" fillId="0" borderId="0" xfId="0" applyFont="1"/>
    <xf numFmtId="0" fontId="123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4" fillId="0" borderId="0" xfId="0" applyNumberFormat="1" applyFont="1" applyAlignment="1">
      <alignment horizontal="left" vertical="top"/>
    </xf>
    <xf numFmtId="165" fontId="89" fillId="0" borderId="0" xfId="0" applyNumberFormat="1" applyFont="1" applyAlignment="1">
      <alignment horizontal="center"/>
    </xf>
    <xf numFmtId="0" fontId="122" fillId="0" borderId="0" xfId="0" applyFont="1" applyAlignment="1">
      <alignment horizontal="left" vertical="top"/>
    </xf>
    <xf numFmtId="41" fontId="124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5" fillId="0" borderId="21" xfId="0" applyNumberFormat="1" applyFont="1" applyBorder="1" applyAlignment="1">
      <alignment horizontal="center" vertical="center"/>
    </xf>
    <xf numFmtId="41" fontId="114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8" fillId="0" borderId="14" xfId="0" applyFont="1" applyBorder="1" applyAlignment="1">
      <alignment horizontal="center" vertical="center"/>
    </xf>
    <xf numFmtId="0" fontId="118" fillId="0" borderId="0" xfId="0" applyFont="1" applyAlignment="1">
      <alignment horizontal="center" vertical="center"/>
    </xf>
    <xf numFmtId="0" fontId="118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4" fillId="0" borderId="9" xfId="0" applyNumberFormat="1" applyFont="1" applyBorder="1" applyAlignment="1">
      <alignment horizontal="center"/>
    </xf>
    <xf numFmtId="3" fontId="114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80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80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0" fillId="30" borderId="16" xfId="0" applyNumberFormat="1" applyFont="1" applyFill="1" applyBorder="1" applyAlignment="1">
      <alignment horizontal="left" vertical="top"/>
    </xf>
    <xf numFmtId="41" fontId="118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4" fillId="0" borderId="0" xfId="2" applyNumberFormat="1" applyFont="1" applyBorder="1" applyAlignment="1">
      <alignment horizontal="left" vertical="top"/>
    </xf>
    <xf numFmtId="167" fontId="114" fillId="0" borderId="32" xfId="2" applyNumberFormat="1" applyFont="1" applyBorder="1" applyAlignment="1">
      <alignment horizontal="left" vertical="top"/>
    </xf>
    <xf numFmtId="3" fontId="114" fillId="0" borderId="32" xfId="0" applyNumberFormat="1" applyFont="1" applyBorder="1" applyAlignment="1">
      <alignment horizontal="left" vertical="top"/>
    </xf>
    <xf numFmtId="41" fontId="125" fillId="0" borderId="16" xfId="0" applyNumberFormat="1" applyFont="1" applyBorder="1" applyAlignment="1">
      <alignment horizontal="center" vertical="center"/>
    </xf>
    <xf numFmtId="3" fontId="125" fillId="0" borderId="16" xfId="0" applyNumberFormat="1" applyFont="1" applyBorder="1" applyAlignment="1">
      <alignment horizontal="center" vertical="center"/>
    </xf>
    <xf numFmtId="3" fontId="123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5" fillId="0" borderId="16" xfId="0" applyNumberFormat="1" applyFont="1" applyBorder="1" applyAlignment="1">
      <alignment horizontal="left" vertical="center"/>
    </xf>
    <xf numFmtId="0" fontId="126" fillId="0" borderId="21" xfId="0" applyFont="1" applyBorder="1" applyAlignment="1">
      <alignment horizontal="left" vertical="center"/>
    </xf>
    <xf numFmtId="0" fontId="122" fillId="0" borderId="21" xfId="0" applyFont="1" applyBorder="1" applyAlignment="1">
      <alignment horizontal="right" vertical="center"/>
    </xf>
    <xf numFmtId="3" fontId="127" fillId="0" borderId="16" xfId="0" applyNumberFormat="1" applyFont="1" applyBorder="1" applyAlignment="1">
      <alignment horizontal="center" vertical="center"/>
    </xf>
    <xf numFmtId="41" fontId="128" fillId="0" borderId="0" xfId="0" applyNumberFormat="1" applyFont="1" applyAlignment="1">
      <alignment vertical="center"/>
    </xf>
    <xf numFmtId="41" fontId="125" fillId="0" borderId="4" xfId="0" applyNumberFormat="1" applyFont="1" applyBorder="1" applyAlignment="1">
      <alignment horizontal="center" vertical="center"/>
    </xf>
    <xf numFmtId="41" fontId="129" fillId="0" borderId="4" xfId="0" applyNumberFormat="1" applyFont="1" applyBorder="1" applyAlignment="1">
      <alignment vertical="center"/>
    </xf>
    <xf numFmtId="41" fontId="129" fillId="0" borderId="40" xfId="0" applyNumberFormat="1" applyFont="1" applyBorder="1" applyAlignment="1">
      <alignment vertical="center"/>
    </xf>
    <xf numFmtId="41" fontId="125" fillId="0" borderId="40" xfId="0" applyNumberFormat="1" applyFont="1" applyBorder="1" applyAlignment="1">
      <alignment horizontal="center" vertical="center"/>
    </xf>
    <xf numFmtId="0" fontId="128" fillId="0" borderId="0" xfId="0" applyFont="1" applyAlignment="1">
      <alignment vertical="center"/>
    </xf>
    <xf numFmtId="3" fontId="123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8" fillId="30" borderId="16" xfId="0" applyNumberFormat="1" applyFont="1" applyFill="1" applyBorder="1" applyAlignment="1">
      <alignment horizontal="right" vertical="center"/>
    </xf>
    <xf numFmtId="41" fontId="118" fillId="0" borderId="18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41" fontId="130" fillId="0" borderId="29" xfId="0" applyNumberFormat="1" applyFont="1" applyBorder="1"/>
    <xf numFmtId="41" fontId="130" fillId="0" borderId="31" xfId="0" applyNumberFormat="1" applyFont="1" applyBorder="1" applyAlignment="1">
      <alignment vertical="center"/>
    </xf>
    <xf numFmtId="4" fontId="92" fillId="0" borderId="0" xfId="0" applyNumberFormat="1" applyFont="1" applyAlignment="1">
      <alignment vertical="top"/>
    </xf>
    <xf numFmtId="3" fontId="92" fillId="0" borderId="0" xfId="0" applyNumberFormat="1" applyFont="1" applyAlignment="1">
      <alignment vertical="top"/>
    </xf>
    <xf numFmtId="172" fontId="92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 vertical="top"/>
    </xf>
    <xf numFmtId="41" fontId="113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2" fillId="0" borderId="16" xfId="0" applyFont="1" applyBorder="1" applyAlignment="1">
      <alignment horizontal="right" vertical="center"/>
    </xf>
    <xf numFmtId="0" fontId="122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4" fillId="0" borderId="16" xfId="0" applyFont="1" applyBorder="1" applyAlignment="1">
      <alignment horizontal="center" vertical="top"/>
    </xf>
    <xf numFmtId="41" fontId="118" fillId="0" borderId="16" xfId="0" applyNumberFormat="1" applyFont="1" applyBorder="1" applyAlignment="1">
      <alignment horizontal="left" vertical="top"/>
    </xf>
    <xf numFmtId="41" fontId="113" fillId="0" borderId="16" xfId="0" applyNumberFormat="1" applyFont="1" applyBorder="1" applyAlignment="1">
      <alignment horizontal="right" vertical="center"/>
    </xf>
    <xf numFmtId="41" fontId="114" fillId="27" borderId="11" xfId="0" applyNumberFormat="1" applyFont="1" applyFill="1" applyBorder="1" applyAlignment="1">
      <alignment horizontal="left" vertical="top"/>
    </xf>
    <xf numFmtId="0" fontId="122" fillId="14" borderId="16" xfId="0" applyFont="1" applyFill="1" applyBorder="1" applyAlignment="1">
      <alignment horizontal="center" vertical="top"/>
    </xf>
    <xf numFmtId="0" fontId="114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4" fillId="0" borderId="0" xfId="0" applyNumberFormat="1" applyFont="1" applyAlignment="1">
      <alignment vertical="top"/>
    </xf>
    <xf numFmtId="3" fontId="94" fillId="0" borderId="0" xfId="0" applyNumberFormat="1" applyFont="1" applyAlignment="1">
      <alignment vertical="top"/>
    </xf>
    <xf numFmtId="41" fontId="114" fillId="0" borderId="16" xfId="0" applyNumberFormat="1" applyFont="1" applyBorder="1" applyAlignment="1">
      <alignment horizontal="right"/>
    </xf>
    <xf numFmtId="3" fontId="131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8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2" fillId="18" borderId="16" xfId="0" applyFont="1" applyFill="1" applyBorder="1" applyAlignment="1">
      <alignment horizontal="right" vertical="center"/>
    </xf>
    <xf numFmtId="0" fontId="118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2" fillId="0" borderId="16" xfId="0" applyNumberFormat="1" applyFont="1" applyBorder="1" applyAlignment="1">
      <alignment horizontal="center" vertical="center"/>
    </xf>
    <xf numFmtId="4" fontId="95" fillId="0" borderId="0" xfId="0" applyNumberFormat="1" applyFont="1" applyAlignment="1">
      <alignment vertical="top"/>
    </xf>
    <xf numFmtId="3" fontId="133" fillId="0" borderId="0" xfId="0" applyNumberFormat="1" applyFont="1" applyAlignment="1">
      <alignment vertical="top"/>
    </xf>
    <xf numFmtId="4" fontId="133" fillId="0" borderId="0" xfId="0" applyNumberFormat="1" applyFont="1" applyAlignment="1">
      <alignment vertical="top"/>
    </xf>
    <xf numFmtId="3" fontId="133" fillId="0" borderId="0" xfId="0" applyNumberFormat="1" applyFont="1"/>
    <xf numFmtId="167" fontId="133" fillId="0" borderId="0" xfId="2" applyNumberFormat="1" applyFont="1"/>
    <xf numFmtId="41" fontId="118" fillId="0" borderId="0" xfId="0" applyNumberFormat="1" applyFont="1" applyAlignment="1">
      <alignment horizontal="left" vertical="top"/>
    </xf>
    <xf numFmtId="167" fontId="118" fillId="0" borderId="0" xfId="2" applyNumberFormat="1" applyFont="1" applyBorder="1" applyAlignment="1">
      <alignment horizontal="left" vertical="top"/>
    </xf>
    <xf numFmtId="167" fontId="118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5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3" fillId="14" borderId="0" xfId="0" applyNumberFormat="1" applyFont="1" applyFill="1"/>
    <xf numFmtId="167" fontId="133" fillId="14" borderId="0" xfId="0" applyNumberFormat="1" applyFont="1" applyFill="1"/>
    <xf numFmtId="0" fontId="133" fillId="24" borderId="0" xfId="0" applyFont="1" applyFill="1" applyAlignment="1">
      <alignment horizontal="center"/>
    </xf>
    <xf numFmtId="0" fontId="133" fillId="24" borderId="0" xfId="0" applyFont="1" applyFill="1"/>
    <xf numFmtId="0" fontId="133" fillId="0" borderId="0" xfId="0" applyFont="1" applyAlignment="1">
      <alignment vertical="top"/>
    </xf>
    <xf numFmtId="0" fontId="133" fillId="0" borderId="0" xfId="0" applyFont="1"/>
    <xf numFmtId="0" fontId="133" fillId="14" borderId="0" xfId="0" applyFont="1" applyFill="1"/>
    <xf numFmtId="166" fontId="133" fillId="0" borderId="0" xfId="2" applyNumberFormat="1" applyFont="1" applyAlignment="1">
      <alignment vertical="top"/>
    </xf>
    <xf numFmtId="166" fontId="115" fillId="0" borderId="0" xfId="2" applyNumberFormat="1" applyFont="1" applyAlignment="1">
      <alignment vertical="top"/>
    </xf>
    <xf numFmtId="166" fontId="133" fillId="0" borderId="0" xfId="2" applyNumberFormat="1" applyFont="1"/>
    <xf numFmtId="166" fontId="115" fillId="0" borderId="0" xfId="2" applyNumberFormat="1" applyFont="1"/>
    <xf numFmtId="4" fontId="96" fillId="0" borderId="0" xfId="0" applyNumberFormat="1" applyFont="1" applyAlignment="1">
      <alignment vertical="top"/>
    </xf>
    <xf numFmtId="39" fontId="96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4" fillId="0" borderId="0" xfId="0" applyNumberFormat="1" applyFont="1" applyAlignment="1">
      <alignment horizontal="left" vertical="top"/>
    </xf>
    <xf numFmtId="3" fontId="135" fillId="0" borderId="0" xfId="0" applyNumberFormat="1" applyFont="1" applyAlignment="1">
      <alignment horizontal="left" vertical="top"/>
    </xf>
    <xf numFmtId="41" fontId="114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5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2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2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8" fillId="0" borderId="0" xfId="0" applyFont="1" applyAlignment="1">
      <alignment horizontal="left" vertical="top"/>
    </xf>
    <xf numFmtId="3" fontId="114" fillId="0" borderId="0" xfId="0" applyNumberFormat="1" applyFont="1" applyAlignment="1">
      <alignment horizontal="left" vertical="top"/>
    </xf>
    <xf numFmtId="3" fontId="118" fillId="0" borderId="0" xfId="0" applyNumberFormat="1" applyFont="1" applyAlignment="1">
      <alignment horizontal="left" vertical="top"/>
    </xf>
    <xf numFmtId="167" fontId="118" fillId="0" borderId="0" xfId="0" applyNumberFormat="1" applyFont="1" applyAlignment="1">
      <alignment horizontal="left" vertical="top"/>
    </xf>
    <xf numFmtId="0" fontId="122" fillId="34" borderId="16" xfId="0" applyFont="1" applyFill="1" applyBorder="1" applyAlignment="1">
      <alignment horizontal="right" vertical="center"/>
    </xf>
    <xf numFmtId="41" fontId="122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8" fillId="13" borderId="16" xfId="0" applyNumberFormat="1" applyFont="1" applyFill="1" applyBorder="1" applyAlignment="1">
      <alignment horizontal="right" vertical="center"/>
    </xf>
    <xf numFmtId="41" fontId="118" fillId="14" borderId="16" xfId="0" applyNumberFormat="1" applyFont="1" applyFill="1" applyBorder="1" applyAlignment="1">
      <alignment horizontal="center" vertical="center"/>
    </xf>
    <xf numFmtId="41" fontId="118" fillId="13" borderId="16" xfId="0" applyNumberFormat="1" applyFont="1" applyFill="1" applyBorder="1" applyAlignment="1">
      <alignment horizontal="center" vertical="center"/>
    </xf>
    <xf numFmtId="41" fontId="122" fillId="30" borderId="16" xfId="0" applyNumberFormat="1" applyFont="1" applyFill="1" applyBorder="1" applyAlignment="1">
      <alignment horizontal="right" vertical="center"/>
    </xf>
    <xf numFmtId="41" fontId="122" fillId="0" borderId="0" xfId="0" applyNumberFormat="1" applyFont="1" applyAlignment="1">
      <alignment vertical="center"/>
    </xf>
    <xf numFmtId="0" fontId="114" fillId="0" borderId="4" xfId="0" applyFont="1" applyBorder="1" applyAlignment="1">
      <alignment horizontal="center" vertical="center"/>
    </xf>
    <xf numFmtId="41" fontId="114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2" fillId="27" borderId="0" xfId="0" applyNumberFormat="1" applyFont="1" applyFill="1" applyAlignment="1">
      <alignment vertical="top"/>
    </xf>
    <xf numFmtId="3" fontId="92" fillId="27" borderId="0" xfId="0" applyNumberFormat="1" applyFont="1" applyFill="1" applyAlignment="1">
      <alignment vertical="top"/>
    </xf>
    <xf numFmtId="41" fontId="87" fillId="0" borderId="47" xfId="0" applyNumberFormat="1" applyFont="1" applyBorder="1" applyAlignment="1">
      <alignment horizontal="left" vertical="top" wrapText="1"/>
    </xf>
    <xf numFmtId="41" fontId="87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3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2" fontId="100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41" fontId="118" fillId="20" borderId="21" xfId="0" applyNumberFormat="1" applyFont="1" applyFill="1" applyBorder="1" applyAlignment="1">
      <alignment horizontal="center" vertical="top"/>
    </xf>
    <xf numFmtId="4" fontId="102" fillId="0" borderId="0" xfId="0" applyNumberFormat="1" applyFont="1" applyAlignment="1">
      <alignment vertical="top"/>
    </xf>
    <xf numFmtId="3" fontId="102" fillId="0" borderId="0" xfId="0" applyNumberFormat="1" applyFont="1" applyAlignment="1">
      <alignment vertical="top"/>
    </xf>
    <xf numFmtId="173" fontId="102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4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8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2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4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2" fillId="0" borderId="16" xfId="0" applyNumberFormat="1" applyFont="1" applyBorder="1" applyAlignment="1">
      <alignment horizontal="center" vertical="center"/>
    </xf>
    <xf numFmtId="41" fontId="122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6" fillId="0" borderId="0" xfId="0" applyNumberFormat="1" applyFont="1" applyAlignment="1">
      <alignment horizontal="center"/>
    </xf>
    <xf numFmtId="173" fontId="104" fillId="0" borderId="0" xfId="0" applyNumberFormat="1" applyFont="1" applyAlignment="1">
      <alignment vertical="top"/>
    </xf>
    <xf numFmtId="3" fontId="104" fillId="0" borderId="0" xfId="0" applyNumberFormat="1" applyFont="1" applyAlignment="1">
      <alignment vertical="top"/>
    </xf>
    <xf numFmtId="4" fontId="104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5" fillId="2" borderId="10" xfId="0" applyNumberFormat="1" applyFont="1" applyFill="1" applyBorder="1" applyAlignment="1">
      <alignment horizontal="left" vertical="top"/>
    </xf>
    <xf numFmtId="165" fontId="122" fillId="0" borderId="0" xfId="0" applyNumberFormat="1" applyFont="1" applyAlignment="1">
      <alignment horizontal="center"/>
    </xf>
    <xf numFmtId="41" fontId="122" fillId="0" borderId="0" xfId="0" applyNumberFormat="1" applyFont="1" applyAlignment="1">
      <alignment horizontal="left" vertical="top"/>
    </xf>
    <xf numFmtId="4" fontId="106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80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4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7" fillId="16" borderId="16" xfId="0" applyFont="1" applyFill="1" applyBorder="1" applyAlignment="1">
      <alignment horizontal="right" vertical="center"/>
    </xf>
    <xf numFmtId="41" fontId="137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8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0" fontId="138" fillId="9" borderId="16" xfId="0" applyFont="1" applyFill="1" applyBorder="1" applyAlignment="1">
      <alignment horizontal="right" vertical="center"/>
    </xf>
    <xf numFmtId="41" fontId="138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9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40" fillId="14" borderId="16" xfId="0" applyFont="1" applyFill="1" applyBorder="1" applyAlignment="1">
      <alignment horizontal="center" vertical="top"/>
    </xf>
    <xf numFmtId="0" fontId="122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3" fillId="0" borderId="0" xfId="0" applyNumberFormat="1" applyFont="1" applyAlignment="1">
      <alignment horizontal="left" vertical="top"/>
    </xf>
    <xf numFmtId="0" fontId="141" fillId="0" borderId="0" xfId="0" applyFont="1" applyAlignment="1">
      <alignment horizontal="left" vertical="top"/>
    </xf>
    <xf numFmtId="174" fontId="131" fillId="0" borderId="0" xfId="0" applyNumberFormat="1" applyFont="1" applyAlignment="1">
      <alignment horizontal="left" vertical="top"/>
    </xf>
    <xf numFmtId="0" fontId="137" fillId="13" borderId="16" xfId="0" applyFont="1" applyFill="1" applyBorder="1" applyAlignment="1">
      <alignment horizontal="right"/>
    </xf>
    <xf numFmtId="0" fontId="137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8" fillId="0" borderId="16" xfId="0" applyNumberFormat="1" applyFont="1" applyBorder="1" applyAlignment="1">
      <alignment horizontal="left" vertical="top"/>
    </xf>
    <xf numFmtId="41" fontId="138" fillId="0" borderId="22" xfId="0" applyNumberFormat="1" applyFont="1" applyBorder="1" applyAlignment="1">
      <alignment horizontal="left" vertical="top"/>
    </xf>
    <xf numFmtId="41" fontId="139" fillId="0" borderId="0" xfId="0" applyNumberFormat="1" applyFont="1" applyAlignment="1">
      <alignment vertical="center"/>
    </xf>
    <xf numFmtId="41" fontId="130" fillId="0" borderId="0" xfId="0" applyNumberFormat="1" applyFont="1" applyAlignment="1">
      <alignment vertical="center"/>
    </xf>
    <xf numFmtId="41" fontId="130" fillId="0" borderId="0" xfId="0" applyNumberFormat="1" applyFont="1"/>
    <xf numFmtId="0" fontId="142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8" fillId="0" borderId="0" xfId="0" applyNumberFormat="1" applyFont="1" applyAlignment="1">
      <alignment horizontal="center" vertical="top"/>
    </xf>
    <xf numFmtId="3" fontId="114" fillId="0" borderId="0" xfId="0" applyNumberFormat="1" applyFont="1" applyAlignment="1">
      <alignment horizontal="right" vertical="top"/>
    </xf>
    <xf numFmtId="4" fontId="110" fillId="0" borderId="0" xfId="0" applyNumberFormat="1" applyFont="1" applyAlignment="1">
      <alignment vertical="top"/>
    </xf>
    <xf numFmtId="3" fontId="110" fillId="0" borderId="0" xfId="0" applyNumberFormat="1" applyFont="1" applyAlignment="1">
      <alignment vertical="top"/>
    </xf>
    <xf numFmtId="172" fontId="110" fillId="0" borderId="0" xfId="0" applyNumberFormat="1" applyFont="1" applyAlignment="1">
      <alignment vertical="top"/>
    </xf>
    <xf numFmtId="173" fontId="110" fillId="0" borderId="0" xfId="0" applyNumberFormat="1" applyFont="1" applyAlignment="1">
      <alignment vertical="top"/>
    </xf>
    <xf numFmtId="41" fontId="137" fillId="12" borderId="16" xfId="0" applyNumberFormat="1" applyFont="1" applyFill="1" applyBorder="1" applyAlignment="1">
      <alignment horizontal="center" vertical="center"/>
    </xf>
    <xf numFmtId="4" fontId="111" fillId="0" borderId="0" xfId="0" applyNumberFormat="1" applyFont="1" applyAlignment="1">
      <alignment vertical="top"/>
    </xf>
    <xf numFmtId="39" fontId="111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5" fillId="0" borderId="0" xfId="0" applyFont="1" applyAlignment="1">
      <alignment horizontal="center" vertical="center"/>
    </xf>
    <xf numFmtId="1" fontId="14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6" fillId="0" borderId="0" xfId="0" applyNumberFormat="1" applyFont="1" applyAlignment="1">
      <alignment vertical="top"/>
    </xf>
    <xf numFmtId="3" fontId="146" fillId="0" borderId="0" xfId="0" applyNumberFormat="1" applyFont="1" applyAlignment="1">
      <alignment vertical="top"/>
    </xf>
    <xf numFmtId="173" fontId="146" fillId="0" borderId="0" xfId="0" applyNumberFormat="1" applyFont="1" applyAlignment="1">
      <alignment vertical="top"/>
    </xf>
    <xf numFmtId="39" fontId="146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6" fillId="0" borderId="4" xfId="0" applyFont="1" applyBorder="1" applyAlignment="1">
      <alignment horizontal="left" vertical="center"/>
    </xf>
    <xf numFmtId="0" fontId="144" fillId="0" borderId="0" xfId="0" applyFont="1" applyAlignment="1">
      <alignment vertical="top"/>
    </xf>
    <xf numFmtId="4" fontId="144" fillId="0" borderId="0" xfId="0" applyNumberFormat="1" applyFont="1" applyAlignment="1">
      <alignment vertical="top"/>
    </xf>
    <xf numFmtId="11" fontId="144" fillId="0" borderId="0" xfId="0" applyNumberFormat="1" applyFont="1" applyAlignment="1">
      <alignment vertical="top"/>
    </xf>
    <xf numFmtId="0" fontId="115" fillId="0" borderId="0" xfId="0" applyFont="1" applyAlignment="1">
      <alignment vertical="top"/>
    </xf>
    <xf numFmtId="3" fontId="134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5" fillId="0" borderId="21" xfId="0" applyNumberFormat="1" applyFont="1" applyBorder="1" applyAlignment="1">
      <alignment horizontal="center" vertical="center"/>
    </xf>
    <xf numFmtId="0" fontId="114" fillId="0" borderId="0" xfId="0" applyFont="1" applyAlignment="1">
      <alignment horizontal="left" vertical="top"/>
    </xf>
    <xf numFmtId="3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center" vertical="center"/>
    </xf>
    <xf numFmtId="0" fontId="148" fillId="0" borderId="41" xfId="0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41" fontId="148" fillId="0" borderId="41" xfId="0" applyNumberFormat="1" applyFont="1" applyBorder="1" applyAlignment="1">
      <alignment horizontal="left" vertical="top"/>
    </xf>
    <xf numFmtId="0" fontId="148" fillId="0" borderId="41" xfId="0" applyFont="1" applyBorder="1" applyAlignment="1">
      <alignment horizontal="right" vertical="top"/>
    </xf>
    <xf numFmtId="0" fontId="148" fillId="0" borderId="41" xfId="0" applyFont="1" applyBorder="1" applyAlignment="1">
      <alignment horizontal="left" vertical="center"/>
    </xf>
    <xf numFmtId="0" fontId="149" fillId="0" borderId="41" xfId="0" applyFont="1" applyBorder="1" applyAlignment="1">
      <alignment horizontal="left"/>
    </xf>
    <xf numFmtId="3" fontId="150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left" vertical="top"/>
    </xf>
    <xf numFmtId="167" fontId="141" fillId="14" borderId="11" xfId="2" applyNumberFormat="1" applyFont="1" applyFill="1" applyBorder="1" applyAlignment="1">
      <alignment vertical="center"/>
    </xf>
    <xf numFmtId="174" fontId="148" fillId="14" borderId="11" xfId="0" applyNumberFormat="1" applyFont="1" applyFill="1" applyBorder="1" applyAlignment="1">
      <alignment vertical="top"/>
    </xf>
    <xf numFmtId="167" fontId="150" fillId="0" borderId="41" xfId="2" applyNumberFormat="1" applyFont="1" applyFill="1" applyBorder="1" applyAlignment="1">
      <alignment horizontal="left" vertical="top"/>
    </xf>
    <xf numFmtId="0" fontId="151" fillId="0" borderId="0" xfId="0" applyFont="1" applyAlignment="1">
      <alignment horizontal="left"/>
    </xf>
    <xf numFmtId="0" fontId="151" fillId="0" borderId="0" xfId="0" applyFont="1" applyAlignment="1">
      <alignment horizontal="left" vertical="center"/>
    </xf>
    <xf numFmtId="0" fontId="149" fillId="0" borderId="41" xfId="0" applyFont="1" applyBorder="1" applyAlignment="1">
      <alignment horizontal="left" vertical="center"/>
    </xf>
    <xf numFmtId="169" fontId="152" fillId="0" borderId="0" xfId="0" applyNumberFormat="1" applyFont="1" applyAlignment="1">
      <alignment horizontal="left" vertical="center"/>
    </xf>
    <xf numFmtId="0" fontId="153" fillId="0" borderId="41" xfId="0" applyFont="1" applyBorder="1" applyAlignment="1">
      <alignment horizontal="left" vertical="center"/>
    </xf>
    <xf numFmtId="41" fontId="151" fillId="0" borderId="0" xfId="0" applyNumberFormat="1" applyFont="1" applyAlignment="1">
      <alignment horizontal="left" vertical="center"/>
    </xf>
    <xf numFmtId="0" fontId="151" fillId="0" borderId="40" xfId="0" applyFont="1" applyBorder="1" applyAlignment="1">
      <alignment horizontal="left" vertical="center"/>
    </xf>
    <xf numFmtId="41" fontId="151" fillId="0" borderId="40" xfId="0" applyNumberFormat="1" applyFont="1" applyBorder="1" applyAlignment="1">
      <alignment horizontal="left"/>
    </xf>
    <xf numFmtId="41" fontId="151" fillId="0" borderId="0" xfId="0" applyNumberFormat="1" applyFont="1" applyAlignment="1">
      <alignment horizontal="center" vertical="center"/>
    </xf>
    <xf numFmtId="0" fontId="149" fillId="0" borderId="41" xfId="0" applyFont="1" applyBorder="1" applyAlignment="1">
      <alignment horizontal="center" vertical="center"/>
    </xf>
    <xf numFmtId="41" fontId="151" fillId="0" borderId="0" xfId="0" applyNumberFormat="1" applyFont="1" applyAlignment="1">
      <alignment horizontal="left"/>
    </xf>
    <xf numFmtId="41" fontId="151" fillId="0" borderId="40" xfId="0" applyNumberFormat="1" applyFont="1" applyBorder="1" applyAlignment="1">
      <alignment horizontal="left" vertical="center"/>
    </xf>
    <xf numFmtId="41" fontId="147" fillId="0" borderId="40" xfId="0" applyNumberFormat="1" applyFont="1" applyBorder="1" applyAlignment="1">
      <alignment horizontal="left"/>
    </xf>
    <xf numFmtId="0" fontId="148" fillId="0" borderId="41" xfId="0" applyFont="1" applyBorder="1" applyAlignment="1">
      <alignment horizontal="left"/>
    </xf>
    <xf numFmtId="41" fontId="149" fillId="0" borderId="40" xfId="0" applyNumberFormat="1" applyFont="1" applyBorder="1" applyAlignment="1">
      <alignment horizontal="left"/>
    </xf>
    <xf numFmtId="41" fontId="151" fillId="0" borderId="40" xfId="0" applyNumberFormat="1" applyFont="1" applyBorder="1" applyAlignment="1">
      <alignment horizontal="center"/>
    </xf>
    <xf numFmtId="0" fontId="149" fillId="0" borderId="41" xfId="0" applyFont="1" applyBorder="1" applyAlignment="1">
      <alignment horizontal="center"/>
    </xf>
    <xf numFmtId="0" fontId="131" fillId="0" borderId="0" xfId="0" applyFont="1"/>
    <xf numFmtId="0" fontId="134" fillId="0" borderId="0" xfId="0" applyFont="1" applyAlignment="1">
      <alignment horizontal="left" vertical="top"/>
    </xf>
    <xf numFmtId="167" fontId="134" fillId="0" borderId="0" xfId="0" applyNumberFormat="1" applyFont="1" applyAlignment="1">
      <alignment horizontal="left" vertical="top"/>
    </xf>
    <xf numFmtId="174" fontId="137" fillId="0" borderId="0" xfId="0" applyNumberFormat="1" applyFont="1" applyAlignment="1">
      <alignment horizontal="left" vertical="top"/>
    </xf>
    <xf numFmtId="167" fontId="137" fillId="0" borderId="0" xfId="0" applyNumberFormat="1" applyFont="1" applyAlignment="1">
      <alignment horizontal="left" vertical="top"/>
    </xf>
    <xf numFmtId="0" fontId="137" fillId="0" borderId="0" xfId="0" applyFont="1" applyAlignment="1">
      <alignment horizontal="left" vertical="top"/>
    </xf>
    <xf numFmtId="3" fontId="141" fillId="0" borderId="14" xfId="0" applyNumberFormat="1" applyFont="1" applyBorder="1" applyAlignment="1">
      <alignment horizontal="left" vertical="top"/>
    </xf>
    <xf numFmtId="3" fontId="141" fillId="0" borderId="0" xfId="0" applyNumberFormat="1" applyFont="1" applyAlignment="1">
      <alignment horizontal="left" vertical="top"/>
    </xf>
    <xf numFmtId="0" fontId="154" fillId="0" borderId="0" xfId="0" applyFont="1" applyAlignment="1">
      <alignment horizontal="center" vertical="center"/>
    </xf>
    <xf numFmtId="0" fontId="154" fillId="0" borderId="40" xfId="0" applyFont="1" applyBorder="1" applyAlignment="1">
      <alignment horizontal="center" vertical="center"/>
    </xf>
    <xf numFmtId="41" fontId="155" fillId="0" borderId="40" xfId="0" applyNumberFormat="1" applyFont="1" applyBorder="1" applyAlignment="1">
      <alignment horizontal="left" vertical="top"/>
    </xf>
    <xf numFmtId="41" fontId="141" fillId="0" borderId="0" xfId="0" applyNumberFormat="1" applyFont="1" applyAlignment="1">
      <alignment horizontal="left" vertical="top"/>
    </xf>
    <xf numFmtId="41" fontId="131" fillId="0" borderId="0" xfId="0" applyNumberFormat="1" applyFont="1" applyAlignment="1">
      <alignment horizontal="left" vertical="top"/>
    </xf>
    <xf numFmtId="0" fontId="141" fillId="0" borderId="0" xfId="0" applyFont="1" applyAlignment="1">
      <alignment horizontal="center" vertical="center"/>
    </xf>
    <xf numFmtId="0" fontId="141" fillId="0" borderId="40" xfId="0" applyFont="1" applyBorder="1" applyAlignment="1">
      <alignment horizontal="center" vertical="center"/>
    </xf>
    <xf numFmtId="41" fontId="147" fillId="0" borderId="40" xfId="0" applyNumberFormat="1" applyFont="1" applyBorder="1" applyAlignment="1">
      <alignment horizontal="left" vertical="center"/>
    </xf>
    <xf numFmtId="41" fontId="155" fillId="0" borderId="40" xfId="0" applyNumberFormat="1" applyFont="1" applyBorder="1" applyAlignment="1">
      <alignment horizontal="left" vertical="center"/>
    </xf>
    <xf numFmtId="41" fontId="141" fillId="0" borderId="40" xfId="0" applyNumberFormat="1" applyFont="1" applyBorder="1" applyAlignment="1">
      <alignment horizontal="left" vertical="top"/>
    </xf>
    <xf numFmtId="3" fontId="156" fillId="0" borderId="0" xfId="0" applyNumberFormat="1" applyFont="1" applyAlignment="1">
      <alignment horizontal="left" vertical="top"/>
    </xf>
    <xf numFmtId="167" fontId="156" fillId="0" borderId="0" xfId="2" applyNumberFormat="1" applyFont="1" applyFill="1" applyBorder="1" applyAlignment="1">
      <alignment horizontal="left" vertical="top"/>
    </xf>
    <xf numFmtId="0" fontId="131" fillId="0" borderId="0" xfId="0" applyFont="1" applyAlignment="1">
      <alignment horizontal="left" vertical="top"/>
    </xf>
    <xf numFmtId="173" fontId="157" fillId="0" borderId="0" xfId="0" applyNumberFormat="1" applyFont="1" applyAlignment="1">
      <alignment vertical="top"/>
    </xf>
    <xf numFmtId="3" fontId="157" fillId="0" borderId="0" xfId="0" applyNumberFormat="1" applyFont="1" applyAlignment="1">
      <alignment vertical="top"/>
    </xf>
    <xf numFmtId="4" fontId="157" fillId="0" borderId="0" xfId="0" applyNumberFormat="1" applyFont="1" applyAlignment="1">
      <alignment vertical="top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107" fillId="0" borderId="42" xfId="0" applyNumberFormat="1" applyFont="1" applyBorder="1" applyAlignment="1">
      <alignment horizontal="center" vertical="center"/>
    </xf>
    <xf numFmtId="3" fontId="107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36" fillId="0" borderId="68" xfId="0" applyNumberFormat="1" applyFont="1" applyBorder="1" applyAlignment="1">
      <alignment horizontal="center" vertical="center"/>
    </xf>
    <xf numFmtId="41" fontId="136" fillId="0" borderId="69" xfId="0" applyNumberFormat="1" applyFont="1" applyBorder="1" applyAlignment="1">
      <alignment horizontal="center" vertical="center"/>
    </xf>
    <xf numFmtId="41" fontId="136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1" fillId="32" borderId="71" xfId="0" applyFont="1" applyFill="1" applyBorder="1" applyAlignment="1">
      <alignment horizontal="center" vertical="center" wrapText="1"/>
    </xf>
    <xf numFmtId="0" fontId="141" fillId="32" borderId="12" xfId="0" applyFont="1" applyFill="1" applyBorder="1" applyAlignment="1">
      <alignment horizontal="center" vertical="center" wrapText="1"/>
    </xf>
    <xf numFmtId="0" fontId="141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114" fillId="27" borderId="60" xfId="0" applyFont="1" applyFill="1" applyBorder="1" applyAlignment="1">
      <alignment horizontal="left" vertical="top"/>
    </xf>
    <xf numFmtId="0" fontId="114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41" fontId="87" fillId="0" borderId="46" xfId="0" applyNumberFormat="1" applyFont="1" applyBorder="1" applyAlignment="1">
      <alignment horizontal="left" vertical="center" wrapText="1"/>
    </xf>
    <xf numFmtId="41" fontId="87" fillId="0" borderId="76" xfId="0" applyNumberFormat="1" applyFont="1" applyBorder="1" applyAlignment="1">
      <alignment horizontal="left" vertical="center" wrapText="1"/>
    </xf>
    <xf numFmtId="41" fontId="87" fillId="0" borderId="47" xfId="0" applyNumberFormat="1" applyFont="1" applyBorder="1" applyAlignment="1">
      <alignment horizontal="left" vertical="center" wrapText="1"/>
    </xf>
    <xf numFmtId="3" fontId="143" fillId="0" borderId="64" xfId="0" applyNumberFormat="1" applyFont="1" applyBorder="1" applyAlignment="1">
      <alignment horizontal="left" vertical="center"/>
    </xf>
    <xf numFmtId="3" fontId="143" fillId="0" borderId="69" xfId="0" applyNumberFormat="1" applyFont="1" applyBorder="1" applyAlignment="1">
      <alignment horizontal="left" vertical="center"/>
    </xf>
    <xf numFmtId="3" fontId="143" fillId="0" borderId="61" xfId="0" applyNumberFormat="1" applyFont="1" applyBorder="1" applyAlignment="1">
      <alignment horizontal="left" vertical="center"/>
    </xf>
    <xf numFmtId="0" fontId="134" fillId="29" borderId="81" xfId="0" applyFont="1" applyFill="1" applyBorder="1" applyAlignment="1">
      <alignment horizontal="center" vertical="center"/>
    </xf>
    <xf numFmtId="0" fontId="134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36" fillId="0" borderId="64" xfId="0" applyFont="1" applyBorder="1" applyAlignment="1">
      <alignment horizontal="left" vertical="top"/>
    </xf>
    <xf numFmtId="0" fontId="136" fillId="0" borderId="69" xfId="0" applyFont="1" applyBorder="1" applyAlignment="1">
      <alignment horizontal="left" vertical="top"/>
    </xf>
    <xf numFmtId="0" fontId="136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6" fillId="0" borderId="68" xfId="0" applyNumberFormat="1" applyFont="1" applyBorder="1" applyAlignment="1">
      <alignment horizontal="center" vertical="top"/>
    </xf>
    <xf numFmtId="3" fontId="136" fillId="0" borderId="69" xfId="0" applyNumberFormat="1" applyFont="1" applyBorder="1" applyAlignment="1">
      <alignment horizontal="center" vertical="top"/>
    </xf>
    <xf numFmtId="3" fontId="136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119" fillId="0" borderId="66" xfId="0" applyNumberFormat="1" applyFont="1" applyBorder="1" applyAlignment="1">
      <alignment horizontal="left" vertical="top"/>
    </xf>
    <xf numFmtId="41" fontId="119" fillId="0" borderId="24" xfId="0" applyNumberFormat="1" applyFont="1" applyBorder="1" applyAlignment="1">
      <alignment horizontal="left" vertical="top"/>
    </xf>
    <xf numFmtId="41" fontId="119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4" fillId="0" borderId="9" xfId="0" applyNumberFormat="1" applyFont="1" applyBorder="1" applyAlignment="1">
      <alignment horizontal="center" vertical="center"/>
    </xf>
    <xf numFmtId="41" fontId="114" fillId="0" borderId="4" xfId="0" applyNumberFormat="1" applyFont="1" applyBorder="1" applyAlignment="1">
      <alignment horizontal="center" vertical="center"/>
    </xf>
    <xf numFmtId="41" fontId="114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14" fillId="0" borderId="4" xfId="0" applyFont="1" applyBorder="1" applyAlignment="1">
      <alignment horizontal="center" vertical="center"/>
    </xf>
    <xf numFmtId="0" fontId="114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5" zoomScale="80" zoomScaleNormal="80" workbookViewId="0">
      <pane xSplit="5" topLeftCell="F1" activePane="topRight" state="frozen"/>
      <selection activeCell="D283" sqref="D283"/>
      <selection pane="topRight" activeCell="AX34" sqref="AX34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21" t="s">
        <v>97</v>
      </c>
      <c r="B2" s="1221"/>
      <c r="C2" s="1221"/>
      <c r="D2" s="1221"/>
      <c r="E2" s="1221"/>
      <c r="F2" s="1221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21" t="s">
        <v>98</v>
      </c>
      <c r="B3" s="1221"/>
      <c r="C3" s="1221"/>
      <c r="D3" s="1221"/>
      <c r="E3" s="1221"/>
      <c r="F3" s="1221"/>
      <c r="G3" s="315"/>
      <c r="J3" s="63"/>
      <c r="K3" s="63"/>
      <c r="M3" s="536"/>
      <c r="N3" s="822" t="s">
        <v>1734</v>
      </c>
      <c r="O3" s="1235">
        <f>+BRAN!O3</f>
        <v>46140</v>
      </c>
      <c r="P3" s="1235"/>
      <c r="Q3" s="1235"/>
      <c r="R3" s="1235"/>
      <c r="S3" s="1235"/>
      <c r="T3" s="1235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46" t="s">
        <v>1700</v>
      </c>
      <c r="B9" s="1037" t="s">
        <v>1676</v>
      </c>
      <c r="C9" s="1037" t="s">
        <v>1677</v>
      </c>
      <c r="D9" s="1049" t="s">
        <v>1769</v>
      </c>
      <c r="E9" s="61" t="s">
        <v>0</v>
      </c>
      <c r="F9" s="1052" t="s">
        <v>1680</v>
      </c>
      <c r="G9" s="1057"/>
      <c r="H9" s="1053"/>
      <c r="I9" s="1052" t="s">
        <v>1681</v>
      </c>
      <c r="J9" s="1057"/>
      <c r="K9" s="1057"/>
      <c r="L9" s="1057"/>
      <c r="M9" s="1052" t="s">
        <v>1687</v>
      </c>
      <c r="N9" s="1053"/>
      <c r="O9" s="194" t="s">
        <v>1727</v>
      </c>
      <c r="P9" s="194"/>
      <c r="Q9" s="194"/>
      <c r="R9" s="194" t="s">
        <v>1728</v>
      </c>
      <c r="S9" s="1049" t="s">
        <v>1689</v>
      </c>
      <c r="T9" s="1176" t="s">
        <v>1692</v>
      </c>
      <c r="U9" s="1002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47"/>
      <c r="B10" s="1038"/>
      <c r="C10" s="1038"/>
      <c r="D10" s="1050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52" t="s">
        <v>1684</v>
      </c>
      <c r="J10" s="1057"/>
      <c r="K10" s="585" t="s">
        <v>1688</v>
      </c>
      <c r="L10" s="784" t="s">
        <v>1686</v>
      </c>
      <c r="M10" s="1052" t="s">
        <v>1732</v>
      </c>
      <c r="N10" s="1053"/>
      <c r="O10" s="787" t="s">
        <v>1730</v>
      </c>
      <c r="P10" s="195"/>
      <c r="Q10" s="195"/>
      <c r="R10" s="787" t="s">
        <v>1731</v>
      </c>
      <c r="S10" s="1050"/>
      <c r="T10" s="1177"/>
      <c r="U10" s="1003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48"/>
      <c r="B11" s="1039"/>
      <c r="C11" s="1039"/>
      <c r="D11" s="1051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51"/>
      <c r="T11" s="1178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>
        <v>0</v>
      </c>
      <c r="Y12" s="743">
        <v>0</v>
      </c>
      <c r="Z12" s="744">
        <v>0</v>
      </c>
      <c r="AA12" s="745">
        <v>0</v>
      </c>
      <c r="AB12" s="744"/>
      <c r="AC12" s="745">
        <v>0</v>
      </c>
      <c r="AD12" s="744">
        <v>0</v>
      </c>
      <c r="AE12" s="745">
        <v>0</v>
      </c>
      <c r="AF12" s="744">
        <v>0</v>
      </c>
      <c r="AG12" s="745">
        <v>0</v>
      </c>
      <c r="AH12" s="744">
        <v>0</v>
      </c>
      <c r="AI12" s="745"/>
      <c r="AJ12" s="744">
        <v>0</v>
      </c>
      <c r="AK12" s="745">
        <v>0</v>
      </c>
      <c r="AL12" s="744">
        <v>0</v>
      </c>
      <c r="AM12" s="745">
        <v>0</v>
      </c>
      <c r="AN12" s="744">
        <v>0</v>
      </c>
      <c r="AO12" s="745">
        <v>0</v>
      </c>
      <c r="AP12" s="744"/>
      <c r="AQ12" s="745">
        <v>0</v>
      </c>
      <c r="AR12" s="744">
        <v>0</v>
      </c>
      <c r="AS12" s="745">
        <v>0</v>
      </c>
      <c r="AT12" s="744"/>
      <c r="AU12" s="745">
        <v>0</v>
      </c>
      <c r="AV12" s="744">
        <v>0</v>
      </c>
      <c r="AW12" s="745"/>
      <c r="AX12" s="100"/>
      <c r="AY12" s="100">
        <v>0</v>
      </c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0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/>
      <c r="Q13" s="350"/>
      <c r="R13" s="356">
        <f>O13/INTGRATE!$N$293</f>
        <v>0</v>
      </c>
      <c r="S13" s="349">
        <f t="shared" si="0"/>
        <v>0</v>
      </c>
      <c r="T13" s="472"/>
      <c r="U13" s="139"/>
      <c r="V13" s="489" t="str">
        <f t="shared" si="1"/>
        <v>521SPro25</v>
      </c>
      <c r="W13" s="499"/>
      <c r="X13" s="743">
        <v>0</v>
      </c>
      <c r="Y13" s="743">
        <v>0</v>
      </c>
      <c r="Z13" s="744">
        <v>0</v>
      </c>
      <c r="AA13" s="745">
        <v>0</v>
      </c>
      <c r="AB13" s="744"/>
      <c r="AC13" s="745">
        <v>0</v>
      </c>
      <c r="AD13" s="744">
        <v>0</v>
      </c>
      <c r="AE13" s="745">
        <v>0</v>
      </c>
      <c r="AF13" s="744">
        <v>0</v>
      </c>
      <c r="AG13" s="745">
        <v>0</v>
      </c>
      <c r="AH13" s="744">
        <v>0</v>
      </c>
      <c r="AI13" s="745"/>
      <c r="AJ13" s="744">
        <v>0</v>
      </c>
      <c r="AK13" s="745">
        <v>0</v>
      </c>
      <c r="AL13" s="744">
        <v>0</v>
      </c>
      <c r="AM13" s="745">
        <v>0</v>
      </c>
      <c r="AN13" s="744">
        <v>0</v>
      </c>
      <c r="AO13" s="745">
        <v>0</v>
      </c>
      <c r="AP13" s="744"/>
      <c r="AQ13" s="745">
        <v>0</v>
      </c>
      <c r="AR13" s="744">
        <v>0</v>
      </c>
      <c r="AS13" s="745">
        <v>0</v>
      </c>
      <c r="AT13" s="744"/>
      <c r="AU13" s="745">
        <v>0</v>
      </c>
      <c r="AV13" s="744">
        <v>0</v>
      </c>
      <c r="AW13" s="745"/>
      <c r="AX13" s="100"/>
      <c r="AY13" s="745">
        <v>0</v>
      </c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>
        <v>0</v>
      </c>
      <c r="Y14" s="743">
        <v>0</v>
      </c>
      <c r="Z14" s="744">
        <v>0</v>
      </c>
      <c r="AA14" s="745">
        <v>0</v>
      </c>
      <c r="AB14" s="744"/>
      <c r="AC14" s="745">
        <v>0</v>
      </c>
      <c r="AD14" s="744">
        <v>0</v>
      </c>
      <c r="AE14" s="745">
        <v>0</v>
      </c>
      <c r="AF14" s="744">
        <v>0</v>
      </c>
      <c r="AG14" s="745">
        <v>0</v>
      </c>
      <c r="AH14" s="744">
        <v>0</v>
      </c>
      <c r="AI14" s="745"/>
      <c r="AJ14" s="744">
        <v>0</v>
      </c>
      <c r="AK14" s="745">
        <v>0</v>
      </c>
      <c r="AL14" s="744">
        <v>0</v>
      </c>
      <c r="AM14" s="745">
        <v>0</v>
      </c>
      <c r="AN14" s="744">
        <v>0</v>
      </c>
      <c r="AO14" s="745">
        <v>0</v>
      </c>
      <c r="AP14" s="744"/>
      <c r="AQ14" s="745">
        <v>0</v>
      </c>
      <c r="AR14" s="744">
        <v>0</v>
      </c>
      <c r="AS14" s="745">
        <v>0</v>
      </c>
      <c r="AT14" s="744"/>
      <c r="AU14" s="745">
        <v>0</v>
      </c>
      <c r="AV14" s="744">
        <v>0</v>
      </c>
      <c r="AW14" s="745"/>
      <c r="AX14" s="100"/>
      <c r="AY14" s="745">
        <v>0</v>
      </c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77</v>
      </c>
      <c r="F15" s="100">
        <f>SUMIF(pro!$A:$A,$V:$V,pro!$N:$N)</f>
        <v>0</v>
      </c>
      <c r="G15" s="356"/>
      <c r="H15" s="100">
        <f>SUMIF(CBIN!$A:$A,'PRO-NASA'!$V:$V,CBIN!$G:$G)</f>
        <v>0</v>
      </c>
      <c r="I15" s="100">
        <f>SUMIF(data!$D:$D,$B15&amp;$D15,data!$J:$J)</f>
        <v>71</v>
      </c>
      <c r="J15" s="348">
        <f>SUMIF(data!$D:$D,$B15&amp;$D15,data!$K:$K)</f>
        <v>1775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6</v>
      </c>
      <c r="N15" s="354">
        <f>M15*D15</f>
        <v>150</v>
      </c>
      <c r="O15" s="357">
        <f t="shared" ref="O15:O26" si="4">SUM(X15:BB15)</f>
        <v>140550</v>
      </c>
      <c r="P15" s="350"/>
      <c r="Q15" s="350"/>
      <c r="R15" s="356">
        <f>O15/INTGRATE!$N$293</f>
        <v>6110.869565217391</v>
      </c>
      <c r="S15" s="349">
        <f t="shared" ref="S15:S26" si="5">IF(R15=0,0,N15/R15)</f>
        <v>2.4546424759871933E-2</v>
      </c>
      <c r="T15" s="472"/>
      <c r="U15" s="139"/>
      <c r="V15" s="489" t="str">
        <f t="shared" si="1"/>
        <v>550Pro25</v>
      </c>
      <c r="W15" s="501">
        <v>312021</v>
      </c>
      <c r="X15" s="455">
        <v>550</v>
      </c>
      <c r="Y15" s="455">
        <v>23450</v>
      </c>
      <c r="Z15" s="100">
        <v>4375</v>
      </c>
      <c r="AA15" s="100">
        <v>12225</v>
      </c>
      <c r="AB15" s="100"/>
      <c r="AC15" s="100">
        <v>7000</v>
      </c>
      <c r="AD15" s="100">
        <v>150</v>
      </c>
      <c r="AE15" s="100">
        <v>4500</v>
      </c>
      <c r="AF15" s="100">
        <v>1000</v>
      </c>
      <c r="AG15" s="100">
        <v>15550</v>
      </c>
      <c r="AH15" s="100">
        <v>6700</v>
      </c>
      <c r="AI15" s="100"/>
      <c r="AJ15" s="100">
        <v>1200</v>
      </c>
      <c r="AK15" s="100">
        <v>8750</v>
      </c>
      <c r="AL15" s="100">
        <v>0</v>
      </c>
      <c r="AM15" s="100">
        <v>3000</v>
      </c>
      <c r="AN15" s="100">
        <v>3450</v>
      </c>
      <c r="AO15" s="100">
        <v>6750</v>
      </c>
      <c r="AP15" s="100"/>
      <c r="AQ15" s="100">
        <v>7950</v>
      </c>
      <c r="AR15" s="100">
        <v>16500</v>
      </c>
      <c r="AS15" s="100">
        <v>3675</v>
      </c>
      <c r="AT15" s="100"/>
      <c r="AU15" s="100">
        <v>5550</v>
      </c>
      <c r="AV15" s="100">
        <v>6450</v>
      </c>
      <c r="AW15" s="100"/>
      <c r="AX15" s="100"/>
      <c r="AY15" s="100">
        <v>1775</v>
      </c>
      <c r="AZ15" s="100"/>
      <c r="BA15" s="100"/>
      <c r="BB15" s="100"/>
      <c r="BC15" s="300">
        <f t="shared" si="2"/>
        <v>140550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>
        <v>0</v>
      </c>
      <c r="Y16" s="455">
        <v>0</v>
      </c>
      <c r="Z16" s="100">
        <v>0</v>
      </c>
      <c r="AA16" s="100">
        <v>0</v>
      </c>
      <c r="AB16" s="100"/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/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/>
      <c r="AQ16" s="100">
        <v>0</v>
      </c>
      <c r="AR16" s="100">
        <v>0</v>
      </c>
      <c r="AS16" s="100">
        <v>0</v>
      </c>
      <c r="AT16" s="100"/>
      <c r="AU16" s="100">
        <v>0</v>
      </c>
      <c r="AV16" s="100">
        <v>0</v>
      </c>
      <c r="AW16" s="100"/>
      <c r="AX16" s="100"/>
      <c r="AY16" s="100">
        <v>0</v>
      </c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>
        <v>0</v>
      </c>
      <c r="Y17" s="455">
        <v>0</v>
      </c>
      <c r="Z17" s="100">
        <v>0</v>
      </c>
      <c r="AA17" s="100">
        <v>0</v>
      </c>
      <c r="AB17" s="100"/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/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/>
      <c r="AQ17" s="100">
        <v>0</v>
      </c>
      <c r="AR17" s="100">
        <v>0</v>
      </c>
      <c r="AS17" s="100">
        <v>0</v>
      </c>
      <c r="AT17" s="100"/>
      <c r="AU17" s="100">
        <v>0</v>
      </c>
      <c r="AV17" s="100">
        <v>0</v>
      </c>
      <c r="AW17" s="100"/>
      <c r="AX17" s="100"/>
      <c r="AY17" s="100">
        <v>0</v>
      </c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34250</v>
      </c>
      <c r="P18" s="350"/>
      <c r="Q18" s="350"/>
      <c r="R18" s="356">
        <f>O18/INTGRATE!$N$293</f>
        <v>1489.1304347826087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>
        <v>0</v>
      </c>
      <c r="Y18" s="455">
        <v>5980</v>
      </c>
      <c r="Z18" s="100">
        <v>0</v>
      </c>
      <c r="AA18" s="100">
        <v>0</v>
      </c>
      <c r="AB18" s="100"/>
      <c r="AC18" s="100">
        <v>0</v>
      </c>
      <c r="AD18" s="100">
        <v>12250</v>
      </c>
      <c r="AE18" s="100">
        <v>0</v>
      </c>
      <c r="AF18" s="100">
        <v>0</v>
      </c>
      <c r="AG18" s="100">
        <v>0</v>
      </c>
      <c r="AH18" s="100">
        <v>0</v>
      </c>
      <c r="AI18" s="100"/>
      <c r="AJ18" s="100">
        <v>0</v>
      </c>
      <c r="AK18" s="100">
        <v>0</v>
      </c>
      <c r="AL18" s="100">
        <v>0</v>
      </c>
      <c r="AM18" s="100">
        <v>0</v>
      </c>
      <c r="AN18" s="100">
        <v>8030</v>
      </c>
      <c r="AO18" s="100">
        <v>0</v>
      </c>
      <c r="AP18" s="100"/>
      <c r="AQ18" s="100">
        <v>0</v>
      </c>
      <c r="AR18" s="100">
        <v>0</v>
      </c>
      <c r="AS18" s="100">
        <v>7990</v>
      </c>
      <c r="AT18" s="100"/>
      <c r="AU18" s="100">
        <v>0</v>
      </c>
      <c r="AV18" s="100">
        <v>0</v>
      </c>
      <c r="AW18" s="100"/>
      <c r="AX18" s="100"/>
      <c r="AY18" s="100">
        <v>0</v>
      </c>
      <c r="AZ18" s="100"/>
      <c r="BA18" s="100"/>
      <c r="BB18" s="100"/>
      <c r="BC18" s="300">
        <f t="shared" si="2"/>
        <v>34250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372</v>
      </c>
      <c r="F19" s="100">
        <f>SUMIF(pro!$A:$A,$V:$V,pro!$N:$N)</f>
        <v>0</v>
      </c>
      <c r="G19" s="356"/>
      <c r="H19" s="100">
        <f>SUMIF(CBIN!$A:$A,'PRO-NASA'!$V:$V,CBIN!$G:$G)</f>
        <v>0</v>
      </c>
      <c r="I19" s="100">
        <f>SUMIF(data!$D:$D,$B19&amp;$D19,data!$J:$J)</f>
        <v>347</v>
      </c>
      <c r="J19" s="348">
        <f>SUMIF(data!$D:$D,$B19&amp;$D19,data!$K:$K)</f>
        <v>8675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25</v>
      </c>
      <c r="N19" s="354">
        <f>M19*D19</f>
        <v>625</v>
      </c>
      <c r="O19" s="357">
        <f t="shared" si="4"/>
        <v>90375</v>
      </c>
      <c r="P19" s="350"/>
      <c r="Q19" s="350"/>
      <c r="R19" s="356">
        <f>O19/INTGRATE!$N$293</f>
        <v>3929.3478260869565</v>
      </c>
      <c r="S19" s="349">
        <f t="shared" si="5"/>
        <v>0.1590594744121715</v>
      </c>
      <c r="T19" s="471"/>
      <c r="U19" s="139"/>
      <c r="V19" s="489" t="str">
        <f t="shared" si="6"/>
        <v>551Pro25</v>
      </c>
      <c r="W19" s="501">
        <v>314021</v>
      </c>
      <c r="X19" s="455">
        <v>150</v>
      </c>
      <c r="Y19" s="455">
        <v>0</v>
      </c>
      <c r="Z19" s="100">
        <v>0</v>
      </c>
      <c r="AA19" s="100">
        <v>1875</v>
      </c>
      <c r="AB19" s="100"/>
      <c r="AC19" s="100">
        <v>9125</v>
      </c>
      <c r="AD19" s="100">
        <v>1075</v>
      </c>
      <c r="AE19" s="100">
        <v>1125</v>
      </c>
      <c r="AF19" s="100">
        <v>675</v>
      </c>
      <c r="AG19" s="100">
        <v>13500</v>
      </c>
      <c r="AH19" s="100">
        <v>1750</v>
      </c>
      <c r="AI19" s="100"/>
      <c r="AJ19" s="100">
        <v>8750</v>
      </c>
      <c r="AK19" s="100">
        <v>250</v>
      </c>
      <c r="AL19" s="100">
        <v>11875</v>
      </c>
      <c r="AM19" s="100">
        <v>400</v>
      </c>
      <c r="AN19" s="100">
        <v>1125</v>
      </c>
      <c r="AO19" s="100">
        <v>7500</v>
      </c>
      <c r="AP19" s="100"/>
      <c r="AQ19" s="100">
        <v>750</v>
      </c>
      <c r="AR19" s="100">
        <v>8900</v>
      </c>
      <c r="AS19" s="100">
        <v>0</v>
      </c>
      <c r="AT19" s="100"/>
      <c r="AU19" s="100">
        <v>10325</v>
      </c>
      <c r="AV19" s="100">
        <v>2550</v>
      </c>
      <c r="AW19" s="100"/>
      <c r="AX19" s="100"/>
      <c r="AY19" s="100">
        <v>8675</v>
      </c>
      <c r="AZ19" s="100"/>
      <c r="BA19" s="100"/>
      <c r="BB19" s="100"/>
      <c r="BC19" s="300">
        <f t="shared" si="2"/>
        <v>90375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>
        <v>0</v>
      </c>
      <c r="Y20" s="455">
        <v>0</v>
      </c>
      <c r="Z20" s="100">
        <v>0</v>
      </c>
      <c r="AA20" s="100">
        <v>0</v>
      </c>
      <c r="AB20" s="100"/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/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/>
      <c r="AQ20" s="100">
        <v>0</v>
      </c>
      <c r="AR20" s="100">
        <v>0</v>
      </c>
      <c r="AS20" s="100">
        <v>0</v>
      </c>
      <c r="AT20" s="100"/>
      <c r="AU20" s="100">
        <v>0</v>
      </c>
      <c r="AV20" s="100">
        <v>0</v>
      </c>
      <c r="AW20" s="100"/>
      <c r="AX20" s="100"/>
      <c r="AY20" s="100">
        <v>0</v>
      </c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>
        <v>0</v>
      </c>
      <c r="Y21" s="455">
        <v>0</v>
      </c>
      <c r="Z21" s="100">
        <v>0</v>
      </c>
      <c r="AA21" s="100">
        <v>0</v>
      </c>
      <c r="AB21" s="100"/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/>
      <c r="AJ21" s="100">
        <v>0</v>
      </c>
      <c r="AK21" s="100">
        <v>0</v>
      </c>
      <c r="AL21" s="100">
        <v>0</v>
      </c>
      <c r="AM21" s="100">
        <v>0</v>
      </c>
      <c r="AN21" s="100">
        <v>0</v>
      </c>
      <c r="AO21" s="100">
        <v>0</v>
      </c>
      <c r="AP21" s="100"/>
      <c r="AQ21" s="100">
        <v>0</v>
      </c>
      <c r="AR21" s="100">
        <v>0</v>
      </c>
      <c r="AS21" s="100">
        <v>0</v>
      </c>
      <c r="AT21" s="100"/>
      <c r="AU21" s="100">
        <v>0</v>
      </c>
      <c r="AV21" s="100">
        <v>0</v>
      </c>
      <c r="AW21" s="100"/>
      <c r="AX21" s="100"/>
      <c r="AY21" s="100">
        <v>0</v>
      </c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>
        <v>0</v>
      </c>
      <c r="Y22" s="455">
        <v>0</v>
      </c>
      <c r="Z22" s="100">
        <v>0</v>
      </c>
      <c r="AA22" s="100">
        <v>0</v>
      </c>
      <c r="AB22" s="100"/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/>
      <c r="AJ22" s="100">
        <v>0</v>
      </c>
      <c r="AK22" s="100">
        <v>0</v>
      </c>
      <c r="AL22" s="100">
        <v>0</v>
      </c>
      <c r="AM22" s="100">
        <v>0</v>
      </c>
      <c r="AN22" s="100">
        <v>0</v>
      </c>
      <c r="AO22" s="100">
        <v>0</v>
      </c>
      <c r="AP22" s="100"/>
      <c r="AQ22" s="100">
        <v>0</v>
      </c>
      <c r="AR22" s="100">
        <v>0</v>
      </c>
      <c r="AS22" s="100">
        <v>0</v>
      </c>
      <c r="AT22" s="100"/>
      <c r="AU22" s="100">
        <v>0</v>
      </c>
      <c r="AV22" s="100">
        <v>0</v>
      </c>
      <c r="AW22" s="100"/>
      <c r="AX22" s="100"/>
      <c r="AY22" s="100">
        <v>0</v>
      </c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686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213</v>
      </c>
      <c r="J23" s="348">
        <f>SUMIF(data!$D:$D,$B23&amp;$D23,data!$K:$K)</f>
        <v>5325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473</v>
      </c>
      <c r="N23" s="354">
        <f>M23*D23</f>
        <v>11825</v>
      </c>
      <c r="O23" s="357">
        <f t="shared" si="4"/>
        <v>56375</v>
      </c>
      <c r="P23" s="350"/>
      <c r="Q23" s="350"/>
      <c r="R23" s="356">
        <f>O23/INTGRATE!$N$293</f>
        <v>2451.086956521739</v>
      </c>
      <c r="S23" s="349">
        <f t="shared" si="5"/>
        <v>4.8243902439024389</v>
      </c>
      <c r="T23" s="472"/>
      <c r="U23" s="139"/>
      <c r="V23" s="489" t="str">
        <f t="shared" si="6"/>
        <v>552Pro25</v>
      </c>
      <c r="W23" s="501">
        <v>321021</v>
      </c>
      <c r="X23" s="455">
        <v>0</v>
      </c>
      <c r="Y23" s="455">
        <v>0</v>
      </c>
      <c r="Z23" s="100">
        <v>1125</v>
      </c>
      <c r="AA23" s="100">
        <v>11100</v>
      </c>
      <c r="AB23" s="100"/>
      <c r="AC23" s="100">
        <v>2500</v>
      </c>
      <c r="AD23" s="100">
        <v>0</v>
      </c>
      <c r="AE23" s="100">
        <v>5300</v>
      </c>
      <c r="AF23" s="100">
        <v>0</v>
      </c>
      <c r="AG23" s="100">
        <v>250</v>
      </c>
      <c r="AH23" s="100">
        <v>4375</v>
      </c>
      <c r="AI23" s="100"/>
      <c r="AJ23" s="100">
        <v>1250</v>
      </c>
      <c r="AK23" s="100">
        <v>1750</v>
      </c>
      <c r="AL23" s="100">
        <v>1750</v>
      </c>
      <c r="AM23" s="100">
        <v>1625</v>
      </c>
      <c r="AN23" s="100">
        <v>1450</v>
      </c>
      <c r="AO23" s="100">
        <v>3500</v>
      </c>
      <c r="AP23" s="100"/>
      <c r="AQ23" s="100">
        <v>3450</v>
      </c>
      <c r="AR23" s="100">
        <v>3125</v>
      </c>
      <c r="AS23" s="100">
        <v>0</v>
      </c>
      <c r="AT23" s="100"/>
      <c r="AU23" s="100">
        <v>4500</v>
      </c>
      <c r="AV23" s="100">
        <v>4000</v>
      </c>
      <c r="AW23" s="100"/>
      <c r="AX23" s="100"/>
      <c r="AY23" s="100">
        <v>5325</v>
      </c>
      <c r="AZ23" s="100"/>
      <c r="BA23" s="100"/>
      <c r="BB23" s="100"/>
      <c r="BC23" s="300">
        <f t="shared" si="2"/>
        <v>56375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>
        <v>0</v>
      </c>
      <c r="Y24" s="455">
        <v>0</v>
      </c>
      <c r="Z24" s="100">
        <v>0</v>
      </c>
      <c r="AA24" s="100">
        <v>0</v>
      </c>
      <c r="AB24" s="100"/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494">
        <v>0</v>
      </c>
      <c r="AI24" s="100"/>
      <c r="AJ24" s="100">
        <v>0</v>
      </c>
      <c r="AK24" s="100">
        <v>0</v>
      </c>
      <c r="AL24" s="100">
        <v>0</v>
      </c>
      <c r="AM24" s="100">
        <v>0</v>
      </c>
      <c r="AN24" s="100">
        <v>0</v>
      </c>
      <c r="AO24" s="100">
        <v>0</v>
      </c>
      <c r="AP24" s="100"/>
      <c r="AQ24" s="494">
        <v>0</v>
      </c>
      <c r="AR24" s="100">
        <v>0</v>
      </c>
      <c r="AS24" s="100">
        <v>0</v>
      </c>
      <c r="AT24" s="100"/>
      <c r="AU24" s="100">
        <v>0</v>
      </c>
      <c r="AV24" s="100">
        <v>0</v>
      </c>
      <c r="AW24" s="100"/>
      <c r="AX24" s="494"/>
      <c r="AY24" s="100">
        <v>0</v>
      </c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1286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320</v>
      </c>
      <c r="J25" s="348">
        <f>SUMIF(data!$D:$D,$B25&amp;$D25,data!$K:$K)</f>
        <v>8000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966</v>
      </c>
      <c r="N25" s="354">
        <f>M25*D25</f>
        <v>24150</v>
      </c>
      <c r="O25" s="357">
        <f t="shared" si="4"/>
        <v>145550</v>
      </c>
      <c r="P25" s="350"/>
      <c r="Q25" s="350"/>
      <c r="R25" s="356">
        <f>O25/INTGRATE!$N$293</f>
        <v>6328.260869565217</v>
      </c>
      <c r="S25" s="349">
        <f t="shared" si="5"/>
        <v>3.816214359326692</v>
      </c>
      <c r="T25" s="606"/>
      <c r="U25" s="139"/>
      <c r="V25" s="489" t="str">
        <f t="shared" si="6"/>
        <v>552SPro25</v>
      </c>
      <c r="W25" s="501">
        <v>320021</v>
      </c>
      <c r="X25" s="455">
        <v>9925</v>
      </c>
      <c r="Y25" s="455">
        <v>4725</v>
      </c>
      <c r="Z25" s="100">
        <v>7250</v>
      </c>
      <c r="AA25" s="100">
        <v>11500</v>
      </c>
      <c r="AB25" s="100"/>
      <c r="AC25" s="100">
        <v>4375</v>
      </c>
      <c r="AD25" s="100">
        <v>6125</v>
      </c>
      <c r="AE25" s="100">
        <v>4200</v>
      </c>
      <c r="AF25" s="100">
        <v>5375</v>
      </c>
      <c r="AG25" s="100">
        <v>5250</v>
      </c>
      <c r="AH25" s="100">
        <v>10925</v>
      </c>
      <c r="AI25" s="100"/>
      <c r="AJ25" s="100">
        <v>2625</v>
      </c>
      <c r="AK25" s="100">
        <v>7000</v>
      </c>
      <c r="AL25" s="100">
        <v>3375</v>
      </c>
      <c r="AM25" s="100">
        <v>8250</v>
      </c>
      <c r="AN25" s="100">
        <v>2250</v>
      </c>
      <c r="AO25" s="100">
        <v>14125</v>
      </c>
      <c r="AP25" s="100"/>
      <c r="AQ25" s="100">
        <v>2375</v>
      </c>
      <c r="AR25" s="100">
        <v>1250</v>
      </c>
      <c r="AS25" s="100">
        <v>5450</v>
      </c>
      <c r="AT25" s="100"/>
      <c r="AU25" s="100">
        <v>8750</v>
      </c>
      <c r="AV25" s="100">
        <v>12450</v>
      </c>
      <c r="AW25" s="100"/>
      <c r="AX25" s="100"/>
      <c r="AY25" s="100">
        <v>8000</v>
      </c>
      <c r="AZ25" s="100"/>
      <c r="BA25" s="100"/>
      <c r="BB25" s="100"/>
      <c r="BC25" s="300">
        <f t="shared" si="2"/>
        <v>145550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7850</v>
      </c>
      <c r="P26" s="350"/>
      <c r="Q26" s="350"/>
      <c r="R26" s="356">
        <f>O26/INTGRATE!$N$293</f>
        <v>341.30434782608694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>
        <v>0</v>
      </c>
      <c r="Y26" s="455">
        <v>0</v>
      </c>
      <c r="Z26" s="100">
        <v>0</v>
      </c>
      <c r="AA26" s="100">
        <v>0</v>
      </c>
      <c r="AB26" s="100"/>
      <c r="AC26" s="100">
        <v>0</v>
      </c>
      <c r="AD26" s="100">
        <v>0</v>
      </c>
      <c r="AE26" s="100">
        <v>0</v>
      </c>
      <c r="AF26" s="100">
        <v>7850</v>
      </c>
      <c r="AG26" s="100">
        <v>0</v>
      </c>
      <c r="AH26" s="494">
        <v>0</v>
      </c>
      <c r="AI26" s="100"/>
      <c r="AJ26" s="100">
        <v>0</v>
      </c>
      <c r="AK26" s="100">
        <v>0</v>
      </c>
      <c r="AL26" s="100">
        <v>0</v>
      </c>
      <c r="AM26" s="100">
        <v>0</v>
      </c>
      <c r="AN26" s="100">
        <v>0</v>
      </c>
      <c r="AO26" s="100">
        <v>0</v>
      </c>
      <c r="AP26" s="100"/>
      <c r="AQ26" s="100">
        <v>0</v>
      </c>
      <c r="AR26" s="100">
        <v>0</v>
      </c>
      <c r="AS26" s="100">
        <v>0</v>
      </c>
      <c r="AT26" s="100"/>
      <c r="AU26" s="100">
        <v>0</v>
      </c>
      <c r="AV26" s="100">
        <v>0</v>
      </c>
      <c r="AW26" s="100"/>
      <c r="AX26" s="100"/>
      <c r="AY26" s="100">
        <v>0</v>
      </c>
      <c r="AZ26" s="100"/>
      <c r="BA26" s="100"/>
      <c r="BB26" s="100"/>
      <c r="BC26" s="300">
        <f t="shared" si="2"/>
        <v>7850</v>
      </c>
      <c r="BF26" s="505"/>
    </row>
    <row r="27" spans="1:58" s="63" customFormat="1" ht="15" customHeight="1">
      <c r="A27" s="1229" t="s">
        <v>1763</v>
      </c>
      <c r="B27" s="1230"/>
      <c r="C27" s="1230"/>
      <c r="D27" s="1231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32"/>
      <c r="U27" s="140"/>
      <c r="V27" s="487" t="str">
        <f t="shared" si="6"/>
        <v/>
      </c>
      <c r="W27" s="499"/>
      <c r="X27" s="638">
        <f>SUM(X12:X26)</f>
        <v>10625</v>
      </c>
      <c r="Y27" s="638">
        <f t="shared" ref="Y27:BC27" si="7">SUM(Y12:Y26)</f>
        <v>34155</v>
      </c>
      <c r="Z27" s="638">
        <f t="shared" si="7"/>
        <v>12750</v>
      </c>
      <c r="AA27" s="638">
        <f t="shared" si="7"/>
        <v>36700</v>
      </c>
      <c r="AB27" s="638">
        <f t="shared" si="7"/>
        <v>0</v>
      </c>
      <c r="AC27" s="638">
        <f t="shared" si="7"/>
        <v>23000</v>
      </c>
      <c r="AD27" s="638">
        <f t="shared" si="7"/>
        <v>19600</v>
      </c>
      <c r="AE27" s="638">
        <f t="shared" si="7"/>
        <v>15125</v>
      </c>
      <c r="AF27" s="638">
        <f t="shared" si="7"/>
        <v>14900</v>
      </c>
      <c r="AG27" s="638">
        <f t="shared" si="7"/>
        <v>34550</v>
      </c>
      <c r="AH27" s="638">
        <f t="shared" si="7"/>
        <v>23750</v>
      </c>
      <c r="AI27" s="638">
        <f t="shared" si="7"/>
        <v>0</v>
      </c>
      <c r="AJ27" s="638">
        <f t="shared" si="7"/>
        <v>13825</v>
      </c>
      <c r="AK27" s="638">
        <f t="shared" si="7"/>
        <v>17750</v>
      </c>
      <c r="AL27" s="638">
        <f t="shared" si="7"/>
        <v>17000</v>
      </c>
      <c r="AM27" s="638">
        <f t="shared" si="7"/>
        <v>13275</v>
      </c>
      <c r="AN27" s="638">
        <f t="shared" si="7"/>
        <v>16305</v>
      </c>
      <c r="AO27" s="638">
        <f t="shared" si="7"/>
        <v>31875</v>
      </c>
      <c r="AP27" s="638">
        <f t="shared" si="7"/>
        <v>0</v>
      </c>
      <c r="AQ27" s="638">
        <f t="shared" si="7"/>
        <v>14525</v>
      </c>
      <c r="AR27" s="638">
        <f t="shared" si="7"/>
        <v>29775</v>
      </c>
      <c r="AS27" s="638">
        <f t="shared" si="7"/>
        <v>17115</v>
      </c>
      <c r="AT27" s="638">
        <f t="shared" si="7"/>
        <v>0</v>
      </c>
      <c r="AU27" s="638">
        <f t="shared" si="7"/>
        <v>29125</v>
      </c>
      <c r="AV27" s="638">
        <f t="shared" si="7"/>
        <v>25450</v>
      </c>
      <c r="AW27" s="638">
        <f t="shared" si="7"/>
        <v>0</v>
      </c>
      <c r="AX27" s="638">
        <f t="shared" si="7"/>
        <v>0</v>
      </c>
      <c r="AY27" s="638">
        <f t="shared" si="7"/>
        <v>23775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474950</v>
      </c>
      <c r="BF27" s="506"/>
    </row>
    <row r="28" spans="1:58" s="63" customFormat="1" ht="15" customHeight="1">
      <c r="A28" s="1229" t="s">
        <v>1739</v>
      </c>
      <c r="B28" s="1230"/>
      <c r="C28" s="1230"/>
      <c r="D28" s="1231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33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29" t="s">
        <v>1764</v>
      </c>
      <c r="B29" s="1230"/>
      <c r="C29" s="1230"/>
      <c r="D29" s="1231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33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29" t="s">
        <v>1740</v>
      </c>
      <c r="B30" s="1230"/>
      <c r="C30" s="1230"/>
      <c r="D30" s="1231"/>
      <c r="E30" s="64">
        <f>SUM(E12:E26)</f>
        <v>2421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951</v>
      </c>
      <c r="J30" s="64">
        <f t="shared" si="9"/>
        <v>23775</v>
      </c>
      <c r="K30" s="64">
        <f t="shared" si="9"/>
        <v>0</v>
      </c>
      <c r="L30" s="64">
        <f t="shared" si="9"/>
        <v>0</v>
      </c>
      <c r="M30" s="64">
        <f t="shared" si="9"/>
        <v>1470</v>
      </c>
      <c r="N30" s="64">
        <f t="shared" si="9"/>
        <v>36750</v>
      </c>
      <c r="O30" s="64">
        <f t="shared" si="9"/>
        <v>474950</v>
      </c>
      <c r="P30" s="64">
        <f t="shared" si="9"/>
        <v>0</v>
      </c>
      <c r="Q30" s="64">
        <f t="shared" si="9"/>
        <v>0</v>
      </c>
      <c r="R30" s="64">
        <f t="shared" si="9"/>
        <v>20650</v>
      </c>
      <c r="S30" s="64">
        <f>SUM(S15:S26)</f>
        <v>8.8242105024011739</v>
      </c>
      <c r="T30" s="1233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29" t="s">
        <v>1765</v>
      </c>
      <c r="B31" s="1230"/>
      <c r="C31" s="1230"/>
      <c r="D31" s="1231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33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993" t="s">
        <v>1766</v>
      </c>
      <c r="B32" s="994"/>
      <c r="C32" s="994"/>
      <c r="D32" s="995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33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6" t="s">
        <v>1742</v>
      </c>
      <c r="B33" s="1237"/>
      <c r="C33" s="1237"/>
      <c r="D33" s="1238"/>
      <c r="E33" s="130">
        <f>SUM(E27:E31)</f>
        <v>2421</v>
      </c>
      <c r="F33" s="130">
        <f>SUM(F27:F31)-F32</f>
        <v>0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951</v>
      </c>
      <c r="J33" s="130">
        <f t="shared" si="12"/>
        <v>23775</v>
      </c>
      <c r="K33" s="130">
        <f t="shared" si="12"/>
        <v>0</v>
      </c>
      <c r="L33" s="130">
        <f t="shared" si="12"/>
        <v>0</v>
      </c>
      <c r="M33" s="130">
        <f t="shared" si="12"/>
        <v>1470</v>
      </c>
      <c r="N33" s="130">
        <f>+SUM(N28:N31)</f>
        <v>36750</v>
      </c>
      <c r="O33" s="1239">
        <f>SUM(O15:O26)</f>
        <v>474950</v>
      </c>
      <c r="P33" s="197"/>
      <c r="Q33" s="197"/>
      <c r="R33" s="1222">
        <f>SUM(R15:R26)</f>
        <v>20650</v>
      </c>
      <c r="S33" s="1224" t="s">
        <v>42</v>
      </c>
      <c r="T33" s="1233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26" t="s">
        <v>1743</v>
      </c>
      <c r="B34" s="1227"/>
      <c r="C34" s="1227"/>
      <c r="D34" s="1228"/>
      <c r="E34" s="121">
        <f>E28*10+E29*25+E30*25+E31*40+E32</f>
        <v>60525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23775</v>
      </c>
      <c r="J34" s="121">
        <f>+J33</f>
        <v>23775</v>
      </c>
      <c r="K34" s="121">
        <f t="shared" si="13"/>
        <v>0</v>
      </c>
      <c r="L34" s="121">
        <f t="shared" si="13"/>
        <v>0</v>
      </c>
      <c r="M34" s="121">
        <f t="shared" si="13"/>
        <v>36750</v>
      </c>
      <c r="N34" s="121">
        <f>+N33</f>
        <v>36750</v>
      </c>
      <c r="O34" s="1240"/>
      <c r="P34" s="198"/>
      <c r="Q34" s="198"/>
      <c r="R34" s="1223"/>
      <c r="S34" s="1225"/>
      <c r="T34" s="1234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46" t="s">
        <v>1700</v>
      </c>
      <c r="B38" s="1037" t="s">
        <v>1676</v>
      </c>
      <c r="C38" s="1037" t="s">
        <v>1677</v>
      </c>
      <c r="D38" s="1049" t="s">
        <v>1769</v>
      </c>
      <c r="E38" s="61" t="s">
        <v>0</v>
      </c>
      <c r="F38" s="1052" t="s">
        <v>1680</v>
      </c>
      <c r="G38" s="1057"/>
      <c r="H38" s="1053"/>
      <c r="I38" s="1052" t="s">
        <v>1681</v>
      </c>
      <c r="J38" s="1057"/>
      <c r="K38" s="1057"/>
      <c r="L38" s="1057"/>
      <c r="M38" s="1052" t="s">
        <v>1687</v>
      </c>
      <c r="N38" s="1053"/>
      <c r="O38" s="194" t="s">
        <v>1727</v>
      </c>
      <c r="P38" s="194"/>
      <c r="Q38" s="194"/>
      <c r="R38" s="194" t="s">
        <v>1728</v>
      </c>
      <c r="S38" s="1049" t="s">
        <v>1689</v>
      </c>
      <c r="T38" s="1176" t="s">
        <v>1692</v>
      </c>
      <c r="U38" s="1002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47"/>
      <c r="B39" s="1038"/>
      <c r="C39" s="1038"/>
      <c r="D39" s="1050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52" t="s">
        <v>1684</v>
      </c>
      <c r="J39" s="1057"/>
      <c r="K39" s="585" t="s">
        <v>1688</v>
      </c>
      <c r="L39" s="784" t="s">
        <v>1686</v>
      </c>
      <c r="M39" s="1052" t="s">
        <v>1732</v>
      </c>
      <c r="N39" s="1053"/>
      <c r="O39" s="787" t="s">
        <v>1730</v>
      </c>
      <c r="P39" s="195"/>
      <c r="Q39" s="195"/>
      <c r="R39" s="787" t="s">
        <v>1731</v>
      </c>
      <c r="S39" s="1050"/>
      <c r="T39" s="1177"/>
      <c r="U39" s="1003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48"/>
      <c r="B40" s="1039"/>
      <c r="C40" s="1039"/>
      <c r="D40" s="1051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51"/>
      <c r="T40" s="1178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>
        <v>0</v>
      </c>
      <c r="Y41" s="68">
        <v>0</v>
      </c>
      <c r="Z41" s="459">
        <v>0</v>
      </c>
      <c r="AA41" s="100">
        <v>0</v>
      </c>
      <c r="AB41" s="100"/>
      <c r="AC41" s="100">
        <v>0</v>
      </c>
      <c r="AD41" s="348">
        <v>0</v>
      </c>
      <c r="AE41" s="100">
        <v>0</v>
      </c>
      <c r="AF41" s="100">
        <v>0</v>
      </c>
      <c r="AG41" s="100">
        <v>0</v>
      </c>
      <c r="AH41" s="100"/>
      <c r="AI41" s="100"/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/>
      <c r="AQ41" s="100">
        <v>0</v>
      </c>
      <c r="AR41" s="100">
        <v>0</v>
      </c>
      <c r="AS41" s="100">
        <v>0</v>
      </c>
      <c r="AT41" s="100">
        <v>0</v>
      </c>
      <c r="AU41" s="100">
        <v>0</v>
      </c>
      <c r="AV41" s="100">
        <v>0</v>
      </c>
      <c r="AW41" s="348"/>
      <c r="AX41" s="100"/>
      <c r="AY41" s="100">
        <v>0</v>
      </c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>
        <v>0</v>
      </c>
      <c r="Y42" s="68">
        <v>0</v>
      </c>
      <c r="Z42" s="459">
        <v>0</v>
      </c>
      <c r="AA42" s="100">
        <v>0</v>
      </c>
      <c r="AB42" s="100"/>
      <c r="AC42" s="100">
        <v>0</v>
      </c>
      <c r="AD42" s="348">
        <v>0</v>
      </c>
      <c r="AE42" s="100">
        <v>0</v>
      </c>
      <c r="AF42" s="100">
        <v>0</v>
      </c>
      <c r="AG42" s="100">
        <v>0</v>
      </c>
      <c r="AH42" s="100">
        <v>0</v>
      </c>
      <c r="AI42" s="100"/>
      <c r="AJ42" s="100">
        <v>0</v>
      </c>
      <c r="AK42" s="100">
        <v>0</v>
      </c>
      <c r="AL42" s="100">
        <v>0</v>
      </c>
      <c r="AM42" s="100">
        <v>0</v>
      </c>
      <c r="AN42" s="100">
        <v>0</v>
      </c>
      <c r="AO42" s="100">
        <v>0</v>
      </c>
      <c r="AP42" s="100"/>
      <c r="AQ42" s="100">
        <v>0</v>
      </c>
      <c r="AR42" s="100">
        <v>0</v>
      </c>
      <c r="AS42" s="100">
        <v>0</v>
      </c>
      <c r="AT42" s="100">
        <v>0</v>
      </c>
      <c r="AU42" s="100">
        <v>0</v>
      </c>
      <c r="AV42" s="100">
        <v>0</v>
      </c>
      <c r="AW42" s="348"/>
      <c r="AX42" s="100"/>
      <c r="AY42" s="100">
        <v>0</v>
      </c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>
        <v>0</v>
      </c>
      <c r="Y43" s="68">
        <v>0</v>
      </c>
      <c r="Z43" s="459">
        <v>0</v>
      </c>
      <c r="AA43" s="100">
        <v>0</v>
      </c>
      <c r="AB43" s="100"/>
      <c r="AC43" s="100">
        <v>0</v>
      </c>
      <c r="AD43" s="348">
        <v>0</v>
      </c>
      <c r="AE43" s="100">
        <v>0</v>
      </c>
      <c r="AF43" s="100">
        <v>0</v>
      </c>
      <c r="AG43" s="100">
        <v>0</v>
      </c>
      <c r="AH43" s="100">
        <v>0</v>
      </c>
      <c r="AI43" s="100"/>
      <c r="AJ43" s="100">
        <v>0</v>
      </c>
      <c r="AK43" s="100">
        <v>0</v>
      </c>
      <c r="AL43" s="100">
        <v>0</v>
      </c>
      <c r="AM43" s="100">
        <v>0</v>
      </c>
      <c r="AN43" s="100">
        <v>0</v>
      </c>
      <c r="AO43" s="100">
        <v>0</v>
      </c>
      <c r="AP43" s="100"/>
      <c r="AQ43" s="100">
        <v>0</v>
      </c>
      <c r="AR43" s="100">
        <v>0</v>
      </c>
      <c r="AS43" s="100">
        <v>0</v>
      </c>
      <c r="AT43" s="100">
        <v>0</v>
      </c>
      <c r="AU43" s="100">
        <v>0</v>
      </c>
      <c r="AV43" s="100">
        <v>0</v>
      </c>
      <c r="AW43" s="348"/>
      <c r="AX43" s="100"/>
      <c r="AY43" s="100">
        <v>0</v>
      </c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405</v>
      </c>
      <c r="F44" s="100">
        <f>SUMIF(pro!$A:$A,$V:$V,pro!$N:$N)</f>
        <v>0</v>
      </c>
      <c r="G44" s="348"/>
      <c r="H44" s="356"/>
      <c r="I44" s="419">
        <f>SUMIF(data!$D:$D,$B44&amp;$D44,data!$J:$J)</f>
        <v>239</v>
      </c>
      <c r="J44" s="348">
        <f>SUMIF(data!$D:$D,$B44&amp;$D44,data!$K:$K)</f>
        <v>5975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166</v>
      </c>
      <c r="N44" s="348">
        <f t="shared" ref="N44:N57" si="17">M44*D44</f>
        <v>4150</v>
      </c>
      <c r="O44" s="351">
        <f t="shared" ref="O44:O57" si="18">SUM(X44:BB44)</f>
        <v>50500</v>
      </c>
      <c r="P44" s="349"/>
      <c r="Q44" s="349"/>
      <c r="R44" s="350">
        <f>O44/INTGRATE!$N$293</f>
        <v>2195.6521739130435</v>
      </c>
      <c r="S44" s="349">
        <f t="shared" ref="S44:S57" si="19">IF(R44=0,0,N44/R44)</f>
        <v>1.89009900990099</v>
      </c>
      <c r="T44" s="677"/>
      <c r="U44" s="139"/>
      <c r="V44" s="489" t="str">
        <f t="shared" si="14"/>
        <v>692425</v>
      </c>
      <c r="W44" s="501">
        <v>127801</v>
      </c>
      <c r="X44" s="68">
        <v>0</v>
      </c>
      <c r="Y44" s="68">
        <v>0</v>
      </c>
      <c r="Z44" s="459">
        <v>5000</v>
      </c>
      <c r="AA44" s="100">
        <v>0</v>
      </c>
      <c r="AB44" s="100"/>
      <c r="AC44" s="100">
        <v>0</v>
      </c>
      <c r="AD44" s="348">
        <v>5000</v>
      </c>
      <c r="AE44" s="100">
        <v>6250</v>
      </c>
      <c r="AF44" s="100">
        <v>0</v>
      </c>
      <c r="AG44" s="100">
        <v>0</v>
      </c>
      <c r="AH44" s="100">
        <v>1250</v>
      </c>
      <c r="AI44" s="100"/>
      <c r="AJ44" s="100">
        <v>950</v>
      </c>
      <c r="AK44" s="100">
        <v>7475</v>
      </c>
      <c r="AL44" s="100">
        <v>0</v>
      </c>
      <c r="AM44" s="100">
        <v>1250</v>
      </c>
      <c r="AN44" s="100">
        <v>0</v>
      </c>
      <c r="AO44" s="100">
        <v>0</v>
      </c>
      <c r="AP44" s="100"/>
      <c r="AQ44" s="100">
        <v>0</v>
      </c>
      <c r="AR44" s="100">
        <v>4000</v>
      </c>
      <c r="AS44" s="100">
        <v>4000</v>
      </c>
      <c r="AT44" s="100">
        <v>1625</v>
      </c>
      <c r="AU44" s="100">
        <v>0</v>
      </c>
      <c r="AV44" s="100">
        <v>7725</v>
      </c>
      <c r="AW44" s="348"/>
      <c r="AX44" s="100"/>
      <c r="AY44" s="100">
        <v>5975</v>
      </c>
      <c r="AZ44" s="100"/>
      <c r="BA44" s="100"/>
      <c r="BB44" s="100"/>
      <c r="BC44" s="299">
        <f t="shared" si="15"/>
        <v>50500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>
        <v>0</v>
      </c>
      <c r="Y45" s="68">
        <v>0</v>
      </c>
      <c r="Z45" s="459">
        <v>0</v>
      </c>
      <c r="AA45" s="100">
        <v>0</v>
      </c>
      <c r="AB45" s="100"/>
      <c r="AC45" s="100">
        <v>0</v>
      </c>
      <c r="AD45" s="348">
        <v>0</v>
      </c>
      <c r="AE45" s="100">
        <v>0</v>
      </c>
      <c r="AF45" s="100">
        <v>0</v>
      </c>
      <c r="AG45" s="100">
        <v>0</v>
      </c>
      <c r="AH45" s="100">
        <v>0</v>
      </c>
      <c r="AI45" s="100"/>
      <c r="AJ45" s="100">
        <v>0</v>
      </c>
      <c r="AK45" s="100">
        <v>0</v>
      </c>
      <c r="AL45" s="100">
        <v>0</v>
      </c>
      <c r="AM45" s="100">
        <v>0</v>
      </c>
      <c r="AN45" s="100">
        <v>0</v>
      </c>
      <c r="AO45" s="100">
        <v>0</v>
      </c>
      <c r="AP45" s="100"/>
      <c r="AQ45" s="100">
        <v>0</v>
      </c>
      <c r="AR45" s="100">
        <v>0</v>
      </c>
      <c r="AS45" s="100">
        <v>0</v>
      </c>
      <c r="AT45" s="100">
        <v>0</v>
      </c>
      <c r="AU45" s="100">
        <v>0</v>
      </c>
      <c r="AV45" s="100">
        <v>0</v>
      </c>
      <c r="AW45" s="348"/>
      <c r="AX45" s="100"/>
      <c r="AY45" s="100">
        <v>0</v>
      </c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>
        <v>0</v>
      </c>
      <c r="Y46" s="68">
        <v>0</v>
      </c>
      <c r="Z46" s="459">
        <v>0</v>
      </c>
      <c r="AA46" s="100">
        <v>0</v>
      </c>
      <c r="AB46" s="100"/>
      <c r="AC46" s="100">
        <v>0</v>
      </c>
      <c r="AD46" s="348">
        <v>0</v>
      </c>
      <c r="AE46" s="100">
        <v>0</v>
      </c>
      <c r="AF46" s="100">
        <v>0</v>
      </c>
      <c r="AG46" s="100">
        <v>0</v>
      </c>
      <c r="AH46" s="100">
        <v>0</v>
      </c>
      <c r="AI46" s="100"/>
      <c r="AJ46" s="100">
        <v>0</v>
      </c>
      <c r="AK46" s="100">
        <v>0</v>
      </c>
      <c r="AL46" s="100">
        <v>0</v>
      </c>
      <c r="AM46" s="100">
        <v>0</v>
      </c>
      <c r="AN46" s="100">
        <v>0</v>
      </c>
      <c r="AO46" s="100">
        <v>0</v>
      </c>
      <c r="AP46" s="100"/>
      <c r="AQ46" s="100">
        <v>0</v>
      </c>
      <c r="AR46" s="100">
        <v>0</v>
      </c>
      <c r="AS46" s="100">
        <v>0</v>
      </c>
      <c r="AT46" s="100">
        <v>0</v>
      </c>
      <c r="AU46" s="100">
        <v>0</v>
      </c>
      <c r="AV46" s="100">
        <v>0</v>
      </c>
      <c r="AW46" s="348"/>
      <c r="AX46" s="100"/>
      <c r="AY46" s="100">
        <v>0</v>
      </c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203</v>
      </c>
      <c r="F47" s="100">
        <f>SUMIF(pro!$A:$A,$V:$V,pro!$N:$N)</f>
        <v>0</v>
      </c>
      <c r="G47" s="348"/>
      <c r="H47" s="356"/>
      <c r="I47" s="419">
        <f>SUMIF(data!$D:$D,$B47&amp;$D47,data!$J:$J)</f>
        <v>5</v>
      </c>
      <c r="J47" s="348">
        <f>SUMIF(data!$D:$D,$B47&amp;$D47,data!$K:$K)</f>
        <v>125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198</v>
      </c>
      <c r="N47" s="348">
        <f t="shared" si="17"/>
        <v>4950</v>
      </c>
      <c r="O47" s="351">
        <f t="shared" si="18"/>
        <v>13500</v>
      </c>
      <c r="P47" s="349"/>
      <c r="Q47" s="349"/>
      <c r="R47" s="350">
        <f>O47/INTGRATE!$N$293</f>
        <v>586.95652173913038</v>
      </c>
      <c r="S47" s="349">
        <f t="shared" si="19"/>
        <v>8.4333333333333336</v>
      </c>
      <c r="T47" s="677"/>
      <c r="U47" s="139"/>
      <c r="V47" s="489" t="str">
        <f t="shared" si="14"/>
        <v>694925</v>
      </c>
      <c r="W47" s="501">
        <v>203701</v>
      </c>
      <c r="X47" s="68">
        <v>0</v>
      </c>
      <c r="Y47" s="68">
        <v>0</v>
      </c>
      <c r="Z47" s="459">
        <v>0</v>
      </c>
      <c r="AA47" s="100">
        <v>0</v>
      </c>
      <c r="AB47" s="100"/>
      <c r="AC47" s="100">
        <v>5250</v>
      </c>
      <c r="AD47" s="379">
        <v>0</v>
      </c>
      <c r="AE47" s="100">
        <v>0</v>
      </c>
      <c r="AF47" s="100">
        <v>0</v>
      </c>
      <c r="AG47" s="100">
        <v>1625</v>
      </c>
      <c r="AH47" s="100">
        <v>0</v>
      </c>
      <c r="AI47" s="100"/>
      <c r="AJ47" s="100">
        <v>0</v>
      </c>
      <c r="AK47" s="100">
        <v>0</v>
      </c>
      <c r="AL47" s="100">
        <v>0</v>
      </c>
      <c r="AM47" s="100">
        <v>1500</v>
      </c>
      <c r="AN47" s="100">
        <v>1250</v>
      </c>
      <c r="AO47" s="100">
        <v>0</v>
      </c>
      <c r="AP47" s="100"/>
      <c r="AQ47" s="100">
        <v>0</v>
      </c>
      <c r="AR47" s="100">
        <v>0</v>
      </c>
      <c r="AS47" s="100">
        <v>0</v>
      </c>
      <c r="AT47" s="100">
        <v>0</v>
      </c>
      <c r="AU47" s="100">
        <v>0</v>
      </c>
      <c r="AV47" s="100">
        <v>3750</v>
      </c>
      <c r="AW47" s="348"/>
      <c r="AX47" s="100"/>
      <c r="AY47" s="100">
        <v>125</v>
      </c>
      <c r="AZ47" s="100"/>
      <c r="BA47" s="100"/>
      <c r="BB47" s="100"/>
      <c r="BC47" s="299">
        <f t="shared" si="15"/>
        <v>13500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389</v>
      </c>
      <c r="F48" s="100">
        <f>SUMIF(pro!$A:$A,$V:$V,pro!$N:$N)</f>
        <v>698</v>
      </c>
      <c r="G48" s="348"/>
      <c r="H48" s="356"/>
      <c r="I48" s="419">
        <f>SUMIF(data!$D:$D,$B48&amp;$D48,data!$J:$J)</f>
        <v>293</v>
      </c>
      <c r="J48" s="348">
        <f>SUMIF(data!$D:$D,$B48&amp;$D48,data!$K:$K)</f>
        <v>7325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794</v>
      </c>
      <c r="N48" s="348">
        <f t="shared" ref="N48:N50" si="21">M48*D48</f>
        <v>19850</v>
      </c>
      <c r="O48" s="351">
        <f t="shared" ref="O48:O50" si="22">SUM(X48:BB48)</f>
        <v>87325</v>
      </c>
      <c r="P48" s="349"/>
      <c r="Q48" s="349"/>
      <c r="R48" s="350">
        <f>O48/INTGRATE!$N$293</f>
        <v>3796.7391304347825</v>
      </c>
      <c r="S48" s="349">
        <f t="shared" ref="S48:S50" si="23">IF(R48=0,0,N48/R48)</f>
        <v>5.2281706269682227</v>
      </c>
      <c r="T48" s="470"/>
      <c r="U48" s="139"/>
      <c r="V48" s="489" t="str">
        <f t="shared" si="14"/>
        <v>695125</v>
      </c>
      <c r="W48" s="501">
        <v>314001</v>
      </c>
      <c r="X48" s="68">
        <v>625</v>
      </c>
      <c r="Y48" s="68">
        <v>5250</v>
      </c>
      <c r="Z48" s="459">
        <v>1000</v>
      </c>
      <c r="AA48" s="100">
        <v>5100</v>
      </c>
      <c r="AB48" s="100"/>
      <c r="AC48" s="100">
        <v>2325</v>
      </c>
      <c r="AD48" s="379">
        <v>20800</v>
      </c>
      <c r="AE48" s="100">
        <v>0</v>
      </c>
      <c r="AF48" s="100">
        <v>725</v>
      </c>
      <c r="AG48" s="100">
        <v>750</v>
      </c>
      <c r="AH48" s="100">
        <v>5025</v>
      </c>
      <c r="AI48" s="100"/>
      <c r="AJ48" s="100">
        <v>750</v>
      </c>
      <c r="AK48" s="100">
        <v>1750</v>
      </c>
      <c r="AL48" s="100">
        <v>700</v>
      </c>
      <c r="AM48" s="100">
        <v>1125</v>
      </c>
      <c r="AN48" s="100">
        <v>1150</v>
      </c>
      <c r="AO48" s="100">
        <v>1875</v>
      </c>
      <c r="AP48" s="100"/>
      <c r="AQ48" s="100">
        <v>4750</v>
      </c>
      <c r="AR48" s="100">
        <v>6750</v>
      </c>
      <c r="AS48" s="100">
        <v>6750</v>
      </c>
      <c r="AT48" s="100">
        <v>0</v>
      </c>
      <c r="AU48" s="100">
        <v>10450</v>
      </c>
      <c r="AV48" s="100">
        <v>2350</v>
      </c>
      <c r="AW48" s="348"/>
      <c r="AX48" s="100"/>
      <c r="AY48" s="100">
        <v>7325</v>
      </c>
      <c r="AZ48" s="100"/>
      <c r="BA48" s="100"/>
      <c r="BB48" s="100"/>
      <c r="BC48" s="299">
        <f t="shared" si="15"/>
        <v>87325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2617</v>
      </c>
      <c r="C49" s="879" t="s">
        <v>1314</v>
      </c>
      <c r="D49" s="188">
        <v>25</v>
      </c>
      <c r="E49" s="347">
        <v>0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0</v>
      </c>
      <c r="N49" s="348">
        <f t="shared" ref="N49" si="25">M49*D49</f>
        <v>0</v>
      </c>
      <c r="O49" s="351">
        <f t="shared" ref="O49" si="26">SUM(X49:BB49)</f>
        <v>0</v>
      </c>
      <c r="P49" s="349"/>
      <c r="Q49" s="349"/>
      <c r="R49" s="350">
        <f>O49/INTGRATE!$N$293</f>
        <v>0</v>
      </c>
      <c r="S49" s="349">
        <f t="shared" ref="S49" si="27">IF(R49=0,0,N49/R49)</f>
        <v>0</v>
      </c>
      <c r="T49" s="677"/>
      <c r="U49" s="139"/>
      <c r="V49" s="489" t="str">
        <f t="shared" si="14"/>
        <v>6951X25</v>
      </c>
      <c r="W49" s="501"/>
      <c r="X49" s="68">
        <v>0</v>
      </c>
      <c r="Y49" s="68">
        <v>0</v>
      </c>
      <c r="Z49" s="459">
        <v>0</v>
      </c>
      <c r="AA49" s="100">
        <v>0</v>
      </c>
      <c r="AB49" s="100"/>
      <c r="AC49" s="100">
        <v>0</v>
      </c>
      <c r="AD49" s="379">
        <v>0</v>
      </c>
      <c r="AE49" s="100">
        <v>0</v>
      </c>
      <c r="AF49" s="100">
        <v>0</v>
      </c>
      <c r="AG49" s="100">
        <v>0</v>
      </c>
      <c r="AH49" s="100">
        <v>0</v>
      </c>
      <c r="AI49" s="100"/>
      <c r="AJ49" s="100">
        <v>0</v>
      </c>
      <c r="AK49" s="100">
        <v>0</v>
      </c>
      <c r="AL49" s="100">
        <v>0</v>
      </c>
      <c r="AM49" s="100">
        <v>0</v>
      </c>
      <c r="AN49" s="100">
        <v>0</v>
      </c>
      <c r="AO49" s="100">
        <v>0</v>
      </c>
      <c r="AP49" s="100"/>
      <c r="AQ49" s="100">
        <v>0</v>
      </c>
      <c r="AR49" s="100">
        <v>0</v>
      </c>
      <c r="AS49" s="100">
        <v>0</v>
      </c>
      <c r="AT49" s="100">
        <v>0</v>
      </c>
      <c r="AU49" s="100">
        <v>0</v>
      </c>
      <c r="AV49" s="100">
        <v>0</v>
      </c>
      <c r="AW49" s="348"/>
      <c r="AX49" s="100"/>
      <c r="AY49" s="100">
        <v>0</v>
      </c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82</v>
      </c>
      <c r="F50" s="100">
        <f>SUMIF(pro!$A:$A,$V:$V,pro!$N:$N)</f>
        <v>659</v>
      </c>
      <c r="G50" s="348"/>
      <c r="H50" s="356"/>
      <c r="I50" s="419">
        <f>SUMIF(data!$D:$D,$B50&amp;$D50,data!$J:$J)</f>
        <v>82</v>
      </c>
      <c r="J50" s="348">
        <f>SUMIF(data!$D:$D,$B50&amp;$D50,data!$K:$K)</f>
        <v>2050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659</v>
      </c>
      <c r="N50" s="348">
        <f t="shared" si="21"/>
        <v>16475</v>
      </c>
      <c r="O50" s="351">
        <f t="shared" si="22"/>
        <v>65825</v>
      </c>
      <c r="P50" s="349"/>
      <c r="Q50" s="349"/>
      <c r="R50" s="350">
        <f>O50/INTGRATE!$N$293</f>
        <v>2861.9565217391305</v>
      </c>
      <c r="S50" s="349">
        <f t="shared" si="23"/>
        <v>5.7565514622104059</v>
      </c>
      <c r="T50" s="478"/>
      <c r="U50" s="139"/>
      <c r="V50" s="489" t="str">
        <f t="shared" si="14"/>
        <v>695225</v>
      </c>
      <c r="W50" s="501">
        <v>321001</v>
      </c>
      <c r="X50" s="68">
        <v>1950</v>
      </c>
      <c r="Y50" s="68">
        <v>2350</v>
      </c>
      <c r="Z50" s="459">
        <v>10400</v>
      </c>
      <c r="AA50" s="100">
        <v>12975</v>
      </c>
      <c r="AB50" s="100"/>
      <c r="AC50" s="100">
        <v>0</v>
      </c>
      <c r="AD50" s="379">
        <v>3700</v>
      </c>
      <c r="AE50" s="100">
        <v>10000</v>
      </c>
      <c r="AF50" s="100">
        <v>1500</v>
      </c>
      <c r="AG50" s="100">
        <v>1275</v>
      </c>
      <c r="AH50" s="100">
        <v>3000</v>
      </c>
      <c r="AI50" s="100"/>
      <c r="AJ50" s="100">
        <v>3325</v>
      </c>
      <c r="AK50" s="100">
        <v>800</v>
      </c>
      <c r="AL50" s="100">
        <v>500</v>
      </c>
      <c r="AM50" s="100">
        <v>1375</v>
      </c>
      <c r="AN50" s="100">
        <v>2875</v>
      </c>
      <c r="AO50" s="100">
        <v>875</v>
      </c>
      <c r="AP50" s="100"/>
      <c r="AQ50" s="100">
        <v>0</v>
      </c>
      <c r="AR50" s="100">
        <v>1500</v>
      </c>
      <c r="AS50" s="100">
        <v>1500</v>
      </c>
      <c r="AT50" s="100">
        <v>1625</v>
      </c>
      <c r="AU50" s="100">
        <v>0</v>
      </c>
      <c r="AV50" s="100">
        <v>2250</v>
      </c>
      <c r="AW50" s="348"/>
      <c r="AX50" s="100"/>
      <c r="AY50" s="100">
        <v>2050</v>
      </c>
      <c r="AZ50" s="100"/>
      <c r="BA50" s="100"/>
      <c r="BB50" s="100"/>
      <c r="BC50" s="299">
        <f t="shared" si="15"/>
        <v>65825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359</v>
      </c>
      <c r="F51" s="100">
        <f>SUMIF(pro!$A:$A,$V:$V,pro!$N:$N)</f>
        <v>0</v>
      </c>
      <c r="G51" s="348"/>
      <c r="H51" s="356"/>
      <c r="I51" s="419">
        <f>SUMIF(data!$D:$D,$B51&amp;$D51,data!$J:$J)</f>
        <v>201</v>
      </c>
      <c r="J51" s="348">
        <f>SUMIF(data!$D:$D,$B51&amp;$D51,data!$K:$K)</f>
        <v>5025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158</v>
      </c>
      <c r="N51" s="348">
        <f t="shared" si="17"/>
        <v>3950</v>
      </c>
      <c r="O51" s="351">
        <f t="shared" si="18"/>
        <v>29950</v>
      </c>
      <c r="P51" s="349"/>
      <c r="Q51" s="349"/>
      <c r="R51" s="350">
        <f>O51/INTGRATE!$N$293</f>
        <v>1302.1739130434783</v>
      </c>
      <c r="S51" s="349">
        <f t="shared" si="19"/>
        <v>3.03338898163606</v>
      </c>
      <c r="T51" s="705"/>
      <c r="U51" s="139"/>
      <c r="V51" s="489" t="str">
        <f t="shared" si="14"/>
        <v>695325</v>
      </c>
      <c r="W51" s="501">
        <v>332301</v>
      </c>
      <c r="X51" s="68">
        <v>0</v>
      </c>
      <c r="Y51" s="68">
        <v>375</v>
      </c>
      <c r="Z51" s="459">
        <v>0</v>
      </c>
      <c r="AA51" s="100">
        <v>500</v>
      </c>
      <c r="AB51" s="100"/>
      <c r="AC51" s="100">
        <v>250</v>
      </c>
      <c r="AD51" s="379">
        <v>3125</v>
      </c>
      <c r="AE51" s="100">
        <v>375</v>
      </c>
      <c r="AF51" s="100">
        <v>375</v>
      </c>
      <c r="AG51" s="100">
        <v>625</v>
      </c>
      <c r="AH51" s="100">
        <v>1625</v>
      </c>
      <c r="AI51" s="100"/>
      <c r="AJ51" s="100">
        <v>500</v>
      </c>
      <c r="AK51" s="100">
        <v>3875</v>
      </c>
      <c r="AL51" s="100">
        <v>125</v>
      </c>
      <c r="AM51" s="100">
        <v>1750</v>
      </c>
      <c r="AN51" s="100">
        <v>0</v>
      </c>
      <c r="AO51" s="100">
        <v>3250</v>
      </c>
      <c r="AP51" s="100"/>
      <c r="AQ51" s="100">
        <v>0</v>
      </c>
      <c r="AR51" s="100">
        <v>750</v>
      </c>
      <c r="AS51" s="100">
        <v>750</v>
      </c>
      <c r="AT51" s="100">
        <v>1175</v>
      </c>
      <c r="AU51" s="100">
        <v>250</v>
      </c>
      <c r="AV51" s="100">
        <v>5250</v>
      </c>
      <c r="AW51" s="348"/>
      <c r="AX51" s="100"/>
      <c r="AY51" s="100">
        <v>5025</v>
      </c>
      <c r="AZ51" s="100"/>
      <c r="BA51" s="100"/>
      <c r="BB51" s="100"/>
      <c r="BC51" s="299">
        <f t="shared" si="15"/>
        <v>29950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>
        <v>0</v>
      </c>
      <c r="Y52" s="68">
        <v>0</v>
      </c>
      <c r="Z52" s="459">
        <v>0</v>
      </c>
      <c r="AA52" s="100">
        <v>0</v>
      </c>
      <c r="AB52" s="100"/>
      <c r="AC52" s="100">
        <v>0</v>
      </c>
      <c r="AD52" s="348">
        <v>0</v>
      </c>
      <c r="AE52" s="100">
        <v>0</v>
      </c>
      <c r="AF52" s="100">
        <v>0</v>
      </c>
      <c r="AG52" s="100">
        <v>0</v>
      </c>
      <c r="AH52" s="100">
        <v>0</v>
      </c>
      <c r="AI52" s="100"/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100">
        <v>0</v>
      </c>
      <c r="AP52" s="100"/>
      <c r="AQ52" s="100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348"/>
      <c r="AX52" s="100"/>
      <c r="AY52" s="100">
        <v>0</v>
      </c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1280</v>
      </c>
      <c r="F53" s="100">
        <f>SUMIF(pro!$A:$A,$V:$V,pro!$N:$N)</f>
        <v>0</v>
      </c>
      <c r="G53" s="348"/>
      <c r="H53" s="356"/>
      <c r="I53" s="419">
        <f>SUMIF(data!$D:$D,$B53&amp;$D53,data!$J:$J)</f>
        <v>870</v>
      </c>
      <c r="J53" s="348">
        <f>SUMIF(data!$D:$D,$B53&amp;$D53,data!$K:$K)</f>
        <v>21750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410</v>
      </c>
      <c r="N53" s="348">
        <f t="shared" si="17"/>
        <v>10250</v>
      </c>
      <c r="O53" s="351">
        <f t="shared" si="18"/>
        <v>68050</v>
      </c>
      <c r="P53" s="349"/>
      <c r="Q53" s="349"/>
      <c r="R53" s="350">
        <f>O53/INTGRATE!$N$293</f>
        <v>2958.695652173913</v>
      </c>
      <c r="S53" s="349">
        <f t="shared" si="19"/>
        <v>3.4643644379132992</v>
      </c>
      <c r="T53" s="713"/>
      <c r="U53" s="699"/>
      <c r="V53" s="489" t="str">
        <f t="shared" si="14"/>
        <v>689525</v>
      </c>
      <c r="W53" s="501">
        <v>423700</v>
      </c>
      <c r="X53" s="68">
        <v>500</v>
      </c>
      <c r="Y53" s="68">
        <v>0</v>
      </c>
      <c r="Z53" s="459">
        <v>750</v>
      </c>
      <c r="AA53" s="100">
        <v>2000</v>
      </c>
      <c r="AB53" s="100"/>
      <c r="AC53" s="100">
        <v>6750</v>
      </c>
      <c r="AD53" s="348">
        <v>500</v>
      </c>
      <c r="AE53" s="100">
        <v>10500</v>
      </c>
      <c r="AF53" s="100">
        <v>0</v>
      </c>
      <c r="AG53" s="100">
        <v>1000</v>
      </c>
      <c r="AH53" s="100">
        <v>1375</v>
      </c>
      <c r="AI53" s="100"/>
      <c r="AJ53" s="100">
        <v>500</v>
      </c>
      <c r="AK53" s="100">
        <v>1000</v>
      </c>
      <c r="AL53" s="100">
        <v>0</v>
      </c>
      <c r="AM53" s="100">
        <v>0</v>
      </c>
      <c r="AN53" s="100">
        <v>10375</v>
      </c>
      <c r="AO53" s="100">
        <v>875</v>
      </c>
      <c r="AP53" s="100"/>
      <c r="AQ53" s="100">
        <v>6925</v>
      </c>
      <c r="AR53" s="100">
        <v>1000</v>
      </c>
      <c r="AS53" s="100">
        <v>1000</v>
      </c>
      <c r="AT53" s="100">
        <v>0</v>
      </c>
      <c r="AU53" s="100">
        <v>500</v>
      </c>
      <c r="AV53" s="100">
        <v>750</v>
      </c>
      <c r="AW53" s="348"/>
      <c r="AX53" s="100"/>
      <c r="AY53" s="100">
        <v>21750</v>
      </c>
      <c r="AZ53" s="100"/>
      <c r="BA53" s="100"/>
      <c r="BB53" s="100"/>
      <c r="BC53" s="299">
        <f t="shared" si="15"/>
        <v>68050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333</v>
      </c>
      <c r="F54" s="100">
        <f>SUMIF(pro!$A:$A,$V:$V,pro!$N:$N)</f>
        <v>0</v>
      </c>
      <c r="G54" s="348"/>
      <c r="H54" s="356"/>
      <c r="I54" s="419">
        <f>SUMIF(data!$D:$D,$B54&amp;$D54,data!$J:$J)</f>
        <v>88</v>
      </c>
      <c r="J54" s="348">
        <f>SUMIF(data!$D:$D,$B54&amp;$D54,data!$K:$K)</f>
        <v>2200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245</v>
      </c>
      <c r="N54" s="348">
        <f>M54*D54</f>
        <v>6125</v>
      </c>
      <c r="O54" s="351">
        <f>SUM(X54:BB54)</f>
        <v>9025</v>
      </c>
      <c r="P54" s="349"/>
      <c r="Q54" s="349"/>
      <c r="R54" s="350">
        <f>O54/INTGRATE!$N$293</f>
        <v>392.39130434782606</v>
      </c>
      <c r="S54" s="349">
        <f>IF(R54=0,0,N54/R54)</f>
        <v>15.609418282548477</v>
      </c>
      <c r="T54" s="713"/>
      <c r="U54" s="699"/>
      <c r="V54" s="489" t="str">
        <f t="shared" si="14"/>
        <v>688425</v>
      </c>
      <c r="W54" s="501">
        <v>433700</v>
      </c>
      <c r="X54" s="68">
        <v>0</v>
      </c>
      <c r="Y54" s="68">
        <v>0</v>
      </c>
      <c r="Z54" s="459">
        <v>750</v>
      </c>
      <c r="AA54" s="100">
        <v>2075</v>
      </c>
      <c r="AB54" s="100"/>
      <c r="AC54" s="100">
        <v>125</v>
      </c>
      <c r="AD54" s="348">
        <v>0</v>
      </c>
      <c r="AE54" s="100">
        <v>125</v>
      </c>
      <c r="AF54" s="100">
        <v>0</v>
      </c>
      <c r="AG54" s="100">
        <v>0</v>
      </c>
      <c r="AH54" s="100">
        <v>3750</v>
      </c>
      <c r="AI54" s="100"/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/>
      <c r="AQ54" s="100">
        <v>0</v>
      </c>
      <c r="AR54" s="100">
        <v>0</v>
      </c>
      <c r="AS54" s="100">
        <v>0</v>
      </c>
      <c r="AT54" s="100">
        <v>0</v>
      </c>
      <c r="AU54" s="100">
        <v>0</v>
      </c>
      <c r="AV54" s="100">
        <v>0</v>
      </c>
      <c r="AW54" s="348"/>
      <c r="AX54" s="100"/>
      <c r="AY54" s="100">
        <v>2200</v>
      </c>
      <c r="AZ54" s="100"/>
      <c r="BA54" s="100"/>
      <c r="BB54" s="100"/>
      <c r="BC54" s="299">
        <f t="shared" si="15"/>
        <v>9025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>
        <v>0</v>
      </c>
      <c r="Y55" s="68">
        <v>0</v>
      </c>
      <c r="Z55" s="459">
        <v>0</v>
      </c>
      <c r="AA55" s="100">
        <v>0</v>
      </c>
      <c r="AB55" s="100"/>
      <c r="AC55" s="100">
        <v>0</v>
      </c>
      <c r="AD55" s="348">
        <v>0</v>
      </c>
      <c r="AE55" s="100">
        <v>0</v>
      </c>
      <c r="AF55" s="100">
        <v>0</v>
      </c>
      <c r="AG55" s="100">
        <v>0</v>
      </c>
      <c r="AH55" s="100">
        <v>0</v>
      </c>
      <c r="AI55" s="100"/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/>
      <c r="AQ55" s="348">
        <v>0</v>
      </c>
      <c r="AR55" s="100">
        <v>0</v>
      </c>
      <c r="AS55" s="100">
        <v>0</v>
      </c>
      <c r="AT55" s="100">
        <v>0</v>
      </c>
      <c r="AU55" s="100">
        <v>0</v>
      </c>
      <c r="AV55" s="100">
        <v>0</v>
      </c>
      <c r="AW55" s="348"/>
      <c r="AX55" s="100"/>
      <c r="AY55" s="100">
        <v>0</v>
      </c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35</v>
      </c>
      <c r="F56" s="100">
        <f>SUMIF(pro!$A:$A,$V:$V,pro!$N:$N)</f>
        <v>695</v>
      </c>
      <c r="G56" s="348"/>
      <c r="H56" s="356"/>
      <c r="I56" s="419">
        <f>SUMIF(data!$D:$D,$B56&amp;$D56,data!$J:$J)</f>
        <v>35</v>
      </c>
      <c r="J56" s="348">
        <f>SUMIF(data!$D:$D,$B56&amp;$D56,data!$K:$K)</f>
        <v>875</v>
      </c>
      <c r="K56" s="356">
        <f>SUMIF(AJOUT!$A:$A,'PRO-NASA'!$V:$V,AJOUT!$L:$L)</f>
        <v>0</v>
      </c>
      <c r="L56" s="356">
        <v>0</v>
      </c>
      <c r="M56" s="550">
        <f t="shared" si="16"/>
        <v>695</v>
      </c>
      <c r="N56" s="348">
        <f t="shared" si="17"/>
        <v>17375</v>
      </c>
      <c r="O56" s="351">
        <f t="shared" si="18"/>
        <v>36625</v>
      </c>
      <c r="P56" s="349"/>
      <c r="Q56" s="349"/>
      <c r="R56" s="350">
        <f>O56/INTGRATE!$N$293</f>
        <v>1592.391304347826</v>
      </c>
      <c r="S56" s="349">
        <f t="shared" si="19"/>
        <v>10.911262798634812</v>
      </c>
      <c r="T56" s="713"/>
      <c r="U56" s="699"/>
      <c r="V56" s="489" t="str">
        <f t="shared" si="14"/>
        <v>699525</v>
      </c>
      <c r="W56" s="501">
        <v>423701</v>
      </c>
      <c r="X56" s="68">
        <v>0</v>
      </c>
      <c r="Y56" s="68">
        <v>4250</v>
      </c>
      <c r="Z56" s="459">
        <v>375</v>
      </c>
      <c r="AA56" s="100">
        <v>1400</v>
      </c>
      <c r="AB56" s="100"/>
      <c r="AC56" s="100">
        <v>2450</v>
      </c>
      <c r="AD56" s="348">
        <v>2125</v>
      </c>
      <c r="AE56" s="100">
        <v>875</v>
      </c>
      <c r="AF56" s="100">
        <v>5250</v>
      </c>
      <c r="AG56" s="100">
        <v>625</v>
      </c>
      <c r="AH56" s="100">
        <v>2775</v>
      </c>
      <c r="AI56" s="100"/>
      <c r="AJ56" s="100">
        <v>0</v>
      </c>
      <c r="AK56" s="100">
        <v>1075</v>
      </c>
      <c r="AL56" s="100">
        <v>125</v>
      </c>
      <c r="AM56" s="100">
        <v>0</v>
      </c>
      <c r="AN56" s="100">
        <v>1750</v>
      </c>
      <c r="AO56" s="100">
        <v>6100</v>
      </c>
      <c r="AP56" s="100"/>
      <c r="AQ56" s="100">
        <v>3125</v>
      </c>
      <c r="AR56" s="100">
        <v>850</v>
      </c>
      <c r="AS56" s="100">
        <v>850</v>
      </c>
      <c r="AT56" s="100">
        <v>0</v>
      </c>
      <c r="AU56" s="100">
        <v>250</v>
      </c>
      <c r="AV56" s="100">
        <v>1500</v>
      </c>
      <c r="AW56" s="348"/>
      <c r="AX56" s="100"/>
      <c r="AY56" s="100">
        <v>875</v>
      </c>
      <c r="AZ56" s="100"/>
      <c r="BA56" s="100"/>
      <c r="BB56" s="100"/>
      <c r="BC56" s="299">
        <f t="shared" si="15"/>
        <v>36625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10</v>
      </c>
      <c r="F57" s="100">
        <f>SUMIF(pro!$A:$A,$V:$V,pro!$N:$N)</f>
        <v>250</v>
      </c>
      <c r="G57" s="348"/>
      <c r="H57" s="356"/>
      <c r="I57" s="419">
        <f>SUMIF(data!$D:$D,$B57&amp;$D57,data!$J:$J)</f>
        <v>10</v>
      </c>
      <c r="J57" s="348">
        <f>SUMIF(data!$D:$D,$B57&amp;$D57,data!$K:$K)</f>
        <v>250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250</v>
      </c>
      <c r="N57" s="348">
        <f t="shared" si="17"/>
        <v>6250</v>
      </c>
      <c r="O57" s="351">
        <f t="shared" si="18"/>
        <v>9725</v>
      </c>
      <c r="P57" s="349"/>
      <c r="Q57" s="349"/>
      <c r="R57" s="350">
        <f>O57/INTGRATE!$N$293</f>
        <v>422.82608695652175</v>
      </c>
      <c r="S57" s="349">
        <f t="shared" si="19"/>
        <v>14.781491002570693</v>
      </c>
      <c r="T57" s="677"/>
      <c r="U57" s="699"/>
      <c r="V57" s="489" t="str">
        <f t="shared" si="14"/>
        <v>699125</v>
      </c>
      <c r="W57" s="501">
        <v>513021</v>
      </c>
      <c r="X57" s="765">
        <v>0</v>
      </c>
      <c r="Y57" s="765">
        <v>750</v>
      </c>
      <c r="Z57" s="766">
        <v>250</v>
      </c>
      <c r="AA57" s="161">
        <v>125</v>
      </c>
      <c r="AB57" s="161"/>
      <c r="AC57" s="161">
        <v>0</v>
      </c>
      <c r="AD57" s="379">
        <v>0</v>
      </c>
      <c r="AE57" s="161">
        <v>875</v>
      </c>
      <c r="AF57" s="161">
        <v>0</v>
      </c>
      <c r="AG57" s="161">
        <v>500</v>
      </c>
      <c r="AH57" s="161">
        <v>875</v>
      </c>
      <c r="AI57" s="161"/>
      <c r="AJ57" s="161">
        <v>1000</v>
      </c>
      <c r="AK57" s="161">
        <v>0</v>
      </c>
      <c r="AL57" s="161">
        <v>250</v>
      </c>
      <c r="AM57" s="161">
        <v>1000</v>
      </c>
      <c r="AN57" s="161">
        <v>625</v>
      </c>
      <c r="AO57" s="161">
        <v>250</v>
      </c>
      <c r="AP57" s="161"/>
      <c r="AQ57" s="161">
        <v>0</v>
      </c>
      <c r="AR57" s="161">
        <v>350</v>
      </c>
      <c r="AS57" s="161">
        <v>350</v>
      </c>
      <c r="AT57" s="161">
        <v>0</v>
      </c>
      <c r="AU57" s="161">
        <v>0</v>
      </c>
      <c r="AV57" s="161">
        <v>2275</v>
      </c>
      <c r="AW57" s="379"/>
      <c r="AX57" s="161"/>
      <c r="AY57" s="161">
        <v>250</v>
      </c>
      <c r="AZ57" s="161"/>
      <c r="BA57" s="161"/>
      <c r="BB57" s="161"/>
      <c r="BC57" s="767">
        <f t="shared" si="15"/>
        <v>9725</v>
      </c>
    </row>
    <row r="58" spans="1:149" s="59" customFormat="1" ht="15" customHeight="1">
      <c r="A58" s="1241" t="s">
        <v>1764</v>
      </c>
      <c r="B58" s="1242"/>
      <c r="C58" s="1242"/>
      <c r="D58" s="1243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3075</v>
      </c>
      <c r="Y58" s="769">
        <f t="shared" si="28"/>
        <v>12975</v>
      </c>
      <c r="Z58" s="769">
        <f t="shared" si="28"/>
        <v>18525</v>
      </c>
      <c r="AA58" s="769">
        <f t="shared" si="28"/>
        <v>24175</v>
      </c>
      <c r="AB58" s="769">
        <f t="shared" si="28"/>
        <v>0</v>
      </c>
      <c r="AC58" s="769">
        <f t="shared" si="28"/>
        <v>17150</v>
      </c>
      <c r="AD58" s="769">
        <f t="shared" si="28"/>
        <v>35250</v>
      </c>
      <c r="AE58" s="769">
        <f t="shared" si="28"/>
        <v>29000</v>
      </c>
      <c r="AF58" s="769">
        <f t="shared" si="28"/>
        <v>7850</v>
      </c>
      <c r="AG58" s="769">
        <f t="shared" si="28"/>
        <v>6400</v>
      </c>
      <c r="AH58" s="769">
        <f t="shared" si="28"/>
        <v>19675</v>
      </c>
      <c r="AI58" s="769">
        <f t="shared" si="28"/>
        <v>0</v>
      </c>
      <c r="AJ58" s="769">
        <f t="shared" si="28"/>
        <v>7025</v>
      </c>
      <c r="AK58" s="769">
        <f t="shared" si="28"/>
        <v>15975</v>
      </c>
      <c r="AL58" s="769">
        <f t="shared" si="28"/>
        <v>1700</v>
      </c>
      <c r="AM58" s="769">
        <f t="shared" si="28"/>
        <v>8000</v>
      </c>
      <c r="AN58" s="769">
        <f>SUM(AN41:AN57)</f>
        <v>18025</v>
      </c>
      <c r="AO58" s="769">
        <f t="shared" si="28"/>
        <v>13225</v>
      </c>
      <c r="AP58" s="769">
        <f t="shared" si="28"/>
        <v>0</v>
      </c>
      <c r="AQ58" s="769">
        <f t="shared" si="28"/>
        <v>14800</v>
      </c>
      <c r="AR58" s="769">
        <f t="shared" si="28"/>
        <v>15200</v>
      </c>
      <c r="AS58" s="769">
        <f t="shared" si="28"/>
        <v>15200</v>
      </c>
      <c r="AT58" s="769">
        <f t="shared" si="28"/>
        <v>4425</v>
      </c>
      <c r="AU58" s="769">
        <f t="shared" si="28"/>
        <v>11450</v>
      </c>
      <c r="AV58" s="769">
        <f t="shared" si="28"/>
        <v>25850</v>
      </c>
      <c r="AW58" s="769">
        <f t="shared" si="28"/>
        <v>0</v>
      </c>
      <c r="AX58" s="769">
        <f t="shared" si="28"/>
        <v>0</v>
      </c>
      <c r="AY58" s="769">
        <f t="shared" si="28"/>
        <v>45575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370525</v>
      </c>
      <c r="BF58" s="508"/>
    </row>
    <row r="59" spans="1:149" s="59" customFormat="1" ht="15" customHeight="1">
      <c r="A59" s="1241" t="s">
        <v>1740</v>
      </c>
      <c r="B59" s="1242"/>
      <c r="C59" s="1242"/>
      <c r="D59" s="1243"/>
      <c r="E59" s="113">
        <f t="shared" ref="E59:S59" si="29">SUM(E41:E57)</f>
        <v>3096</v>
      </c>
      <c r="F59" s="113">
        <f t="shared" si="29"/>
        <v>2302</v>
      </c>
      <c r="G59" s="113">
        <f t="shared" si="29"/>
        <v>0</v>
      </c>
      <c r="H59" s="113">
        <f t="shared" si="29"/>
        <v>0</v>
      </c>
      <c r="I59" s="113">
        <f t="shared" si="29"/>
        <v>1823</v>
      </c>
      <c r="J59" s="113">
        <f t="shared" si="29"/>
        <v>45575</v>
      </c>
      <c r="K59" s="113">
        <f t="shared" si="29"/>
        <v>0</v>
      </c>
      <c r="L59" s="113">
        <f t="shared" si="29"/>
        <v>0</v>
      </c>
      <c r="M59" s="113">
        <f t="shared" si="29"/>
        <v>3575</v>
      </c>
      <c r="N59" s="113">
        <f t="shared" si="29"/>
        <v>89375</v>
      </c>
      <c r="O59" s="113">
        <f t="shared" si="29"/>
        <v>370525</v>
      </c>
      <c r="P59" s="113">
        <f t="shared" si="29"/>
        <v>0</v>
      </c>
      <c r="Q59" s="113">
        <f t="shared" si="29"/>
        <v>0</v>
      </c>
      <c r="R59" s="113">
        <f t="shared" si="29"/>
        <v>16109.78260869565</v>
      </c>
      <c r="S59" s="113">
        <f t="shared" si="29"/>
        <v>69.10807993571629</v>
      </c>
      <c r="T59" s="1232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41" t="s">
        <v>1765</v>
      </c>
      <c r="B60" s="1242"/>
      <c r="C60" s="1242"/>
      <c r="D60" s="1243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33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993" t="s">
        <v>1766</v>
      </c>
      <c r="B61" s="994"/>
      <c r="C61" s="994"/>
      <c r="D61" s="995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33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46" t="s">
        <v>1742</v>
      </c>
      <c r="B62" s="1247"/>
      <c r="C62" s="1247"/>
      <c r="D62" s="1248"/>
      <c r="E62" s="73">
        <f>SUM(E58:E60)</f>
        <v>3096</v>
      </c>
      <c r="F62" s="73">
        <f>SUM(F58:F60)-F61</f>
        <v>2302</v>
      </c>
      <c r="G62" s="73">
        <f>SUM(G58:G60)</f>
        <v>0</v>
      </c>
      <c r="H62" s="73">
        <f t="shared" ref="H62:N62" si="30">SUM(H58:H60)</f>
        <v>0</v>
      </c>
      <c r="I62" s="73">
        <f>SUM(I58:I60)</f>
        <v>1823</v>
      </c>
      <c r="J62" s="73">
        <f t="shared" si="30"/>
        <v>45575</v>
      </c>
      <c r="K62" s="73">
        <f>SUM(K58:K60)</f>
        <v>0</v>
      </c>
      <c r="L62" s="73">
        <f t="shared" si="30"/>
        <v>0</v>
      </c>
      <c r="M62" s="549">
        <f t="shared" si="30"/>
        <v>3575</v>
      </c>
      <c r="N62" s="73">
        <f t="shared" si="30"/>
        <v>89375</v>
      </c>
      <c r="O62" s="1239">
        <f>SUM(O43:O57)</f>
        <v>370525</v>
      </c>
      <c r="P62" s="197"/>
      <c r="Q62" s="197"/>
      <c r="R62" s="1222">
        <f>SUM(R43:R57)</f>
        <v>16109.78260869565</v>
      </c>
      <c r="S62" s="1222" t="s">
        <v>46</v>
      </c>
      <c r="T62" s="1244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49" t="s">
        <v>1743</v>
      </c>
      <c r="B63" s="1250"/>
      <c r="C63" s="1250"/>
      <c r="D63" s="1251"/>
      <c r="E63" s="70">
        <f>SUM(E58:E59)*25+E60*40</f>
        <v>77400</v>
      </c>
      <c r="F63" s="70">
        <f t="shared" ref="F63:M63" si="31">SUM(F58:F59)*25+F60*40</f>
        <v>57550</v>
      </c>
      <c r="G63" s="70">
        <f>SUM(G58:G59)*25+G60*40</f>
        <v>0</v>
      </c>
      <c r="H63" s="70">
        <f t="shared" si="31"/>
        <v>0</v>
      </c>
      <c r="I63" s="70">
        <f>SUM(I58:I59)*25+I60*40</f>
        <v>45575</v>
      </c>
      <c r="J63" s="70">
        <f>SUM(J58:J59)+J60</f>
        <v>45575</v>
      </c>
      <c r="K63" s="70">
        <f>+K62*25</f>
        <v>0</v>
      </c>
      <c r="L63" s="70">
        <f t="shared" si="31"/>
        <v>0</v>
      </c>
      <c r="M63" s="552">
        <f t="shared" si="31"/>
        <v>89375</v>
      </c>
      <c r="N63" s="70">
        <f>SUM(N58:N59)+N60</f>
        <v>89375</v>
      </c>
      <c r="O63" s="1240"/>
      <c r="P63" s="198"/>
      <c r="Q63" s="198"/>
      <c r="R63" s="1223"/>
      <c r="S63" s="1223"/>
      <c r="T63" s="1245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99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310" activePane="bottomRight" state="frozen"/>
      <selection activeCell="D283" sqref="D283"/>
      <selection pane="topRight" activeCell="D283" sqref="D283"/>
      <selection pane="bottomLeft" activeCell="D283" sqref="D283"/>
      <selection pane="bottomRight" activeCell="AY314" sqref="AY314:AY330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21" t="s">
        <v>97</v>
      </c>
      <c r="B2" s="1221"/>
      <c r="C2" s="1221"/>
      <c r="D2" s="1221"/>
      <c r="E2" s="1221"/>
      <c r="F2" s="1221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21" t="s">
        <v>98</v>
      </c>
      <c r="B3" s="1221"/>
      <c r="C3" s="1221"/>
      <c r="D3" s="1221"/>
      <c r="E3" s="1221"/>
      <c r="F3" s="1221"/>
      <c r="G3" s="315"/>
      <c r="J3" s="63"/>
      <c r="K3" s="63"/>
      <c r="M3" s="536"/>
      <c r="N3" s="822" t="s">
        <v>1734</v>
      </c>
      <c r="O3" s="1235">
        <v>46140</v>
      </c>
      <c r="P3" s="1235"/>
      <c r="Q3" s="1235"/>
      <c r="R3" s="1235"/>
      <c r="S3" s="1235"/>
      <c r="T3" s="1235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2669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2668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46" t="s">
        <v>1700</v>
      </c>
      <c r="B10" s="1037" t="s">
        <v>1676</v>
      </c>
      <c r="C10" s="1037" t="s">
        <v>1677</v>
      </c>
      <c r="D10" s="1049" t="s">
        <v>1769</v>
      </c>
      <c r="E10" s="61" t="s">
        <v>0</v>
      </c>
      <c r="F10" s="1052" t="s">
        <v>1680</v>
      </c>
      <c r="G10" s="1057"/>
      <c r="H10" s="1053"/>
      <c r="I10" s="1052" t="s">
        <v>1681</v>
      </c>
      <c r="J10" s="1057"/>
      <c r="K10" s="1057"/>
      <c r="L10" s="1057"/>
      <c r="M10" s="1052" t="s">
        <v>1687</v>
      </c>
      <c r="N10" s="1053"/>
      <c r="O10" s="194" t="s">
        <v>1727</v>
      </c>
      <c r="P10" s="194"/>
      <c r="Q10" s="194"/>
      <c r="R10" s="194" t="s">
        <v>1728</v>
      </c>
      <c r="S10" s="1049" t="s">
        <v>1689</v>
      </c>
      <c r="T10" s="1176" t="s">
        <v>1692</v>
      </c>
      <c r="U10" s="1002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47"/>
      <c r="B11" s="1038"/>
      <c r="C11" s="1038"/>
      <c r="D11" s="1050" t="s">
        <v>3</v>
      </c>
      <c r="E11" s="64" t="s">
        <v>1679</v>
      </c>
      <c r="F11" s="783" t="s">
        <v>2670</v>
      </c>
      <c r="G11" s="585" t="s">
        <v>1683</v>
      </c>
      <c r="H11" s="784" t="s">
        <v>1685</v>
      </c>
      <c r="I11" s="1052" t="s">
        <v>1684</v>
      </c>
      <c r="J11" s="1057"/>
      <c r="K11" s="585" t="s">
        <v>1688</v>
      </c>
      <c r="L11" s="784" t="s">
        <v>1686</v>
      </c>
      <c r="M11" s="1201" t="s">
        <v>1732</v>
      </c>
      <c r="N11" s="1252"/>
      <c r="O11" s="787" t="s">
        <v>1730</v>
      </c>
      <c r="P11" s="195"/>
      <c r="Q11" s="195"/>
      <c r="R11" s="787" t="s">
        <v>1731</v>
      </c>
      <c r="S11" s="1050"/>
      <c r="T11" s="1177"/>
      <c r="U11" s="1003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48"/>
      <c r="B12" s="1039"/>
      <c r="C12" s="1039"/>
      <c r="D12" s="1051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51"/>
      <c r="T12" s="1178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2479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>
        <v>0</v>
      </c>
      <c r="Y13" s="454">
        <v>0</v>
      </c>
      <c r="Z13" s="100">
        <v>0</v>
      </c>
      <c r="AA13" s="100">
        <v>0</v>
      </c>
      <c r="AB13" s="100"/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/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/>
      <c r="AQ13" s="100">
        <v>0</v>
      </c>
      <c r="AR13" s="100">
        <v>0</v>
      </c>
      <c r="AS13" s="100">
        <v>0</v>
      </c>
      <c r="AT13" s="100">
        <v>0</v>
      </c>
      <c r="AU13" s="100">
        <v>0</v>
      </c>
      <c r="AV13" s="100">
        <v>0</v>
      </c>
      <c r="AW13" s="100"/>
      <c r="AX13" s="248"/>
      <c r="AY13" s="100">
        <v>0</v>
      </c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2480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83305</v>
      </c>
      <c r="Q14" s="350">
        <f>SUM(O16,O26:O41)</f>
        <v>305300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>
        <v>0</v>
      </c>
      <c r="Y14" s="455">
        <v>0</v>
      </c>
      <c r="Z14" s="100">
        <v>0</v>
      </c>
      <c r="AA14" s="100">
        <v>0</v>
      </c>
      <c r="AB14" s="100"/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/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/>
      <c r="AQ14" s="100">
        <v>0</v>
      </c>
      <c r="AR14" s="100">
        <v>0</v>
      </c>
      <c r="AS14" s="100">
        <v>0</v>
      </c>
      <c r="AT14" s="100">
        <v>0</v>
      </c>
      <c r="AU14" s="100">
        <v>0</v>
      </c>
      <c r="AV14" s="100">
        <v>0</v>
      </c>
      <c r="AW14" s="100"/>
      <c r="AX14" s="248"/>
      <c r="AY14" s="100">
        <v>0</v>
      </c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2481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5" si="6">M15*25</f>
        <v>0</v>
      </c>
      <c r="O15" s="357">
        <f t="shared" ref="O15:O85" si="7">SUM(X15:BB15)</f>
        <v>0</v>
      </c>
      <c r="P15" s="350">
        <f>SUM(N18:N20,N55,N57:N58,N81:N81,N88:N95,N56,N82,N54)</f>
        <v>142725</v>
      </c>
      <c r="Q15" s="350">
        <f>SUM(O18:O20,O55,O57:O58,O81:O81,O88:O95,O56,O82,O54)</f>
        <v>1435410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>
        <v>0</v>
      </c>
      <c r="Y15" s="455">
        <v>0</v>
      </c>
      <c r="Z15" s="100">
        <v>0</v>
      </c>
      <c r="AA15" s="100">
        <v>0</v>
      </c>
      <c r="AB15" s="100"/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/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/>
      <c r="AQ15" s="100">
        <v>0</v>
      </c>
      <c r="AR15" s="100">
        <v>0</v>
      </c>
      <c r="AS15" s="100">
        <v>0</v>
      </c>
      <c r="AT15" s="100">
        <v>0</v>
      </c>
      <c r="AU15" s="100">
        <v>0</v>
      </c>
      <c r="AV15" s="100">
        <v>0</v>
      </c>
      <c r="AW15" s="100"/>
      <c r="AX15" s="248"/>
      <c r="AY15" s="100">
        <v>0</v>
      </c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1445925</v>
      </c>
      <c r="BH15" s="505" t="s">
        <v>792</v>
      </c>
    </row>
    <row r="16" spans="1:61" s="289" customFormat="1" ht="15" customHeight="1">
      <c r="A16" s="91">
        <v>4</v>
      </c>
      <c r="B16" s="710" t="s">
        <v>2482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SUM(N13:N149)-P13-P14-P15-P17-P18-P19</f>
        <v>273125</v>
      </c>
      <c r="Q16" s="350">
        <f>SUM(O13:O149)-Q13-Q14-Q15-Q17-Q18-Q19</f>
        <v>3346015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>
        <v>0</v>
      </c>
      <c r="Y16" s="456">
        <v>0</v>
      </c>
      <c r="Z16" s="100">
        <v>0</v>
      </c>
      <c r="AA16" s="100">
        <v>0</v>
      </c>
      <c r="AB16" s="100"/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/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/>
      <c r="AQ16" s="100">
        <v>0</v>
      </c>
      <c r="AR16" s="100">
        <v>0</v>
      </c>
      <c r="AS16" s="100">
        <v>0</v>
      </c>
      <c r="AT16" s="100">
        <v>0</v>
      </c>
      <c r="AU16" s="100">
        <v>0</v>
      </c>
      <c r="AV16" s="100">
        <v>0</v>
      </c>
      <c r="AW16" s="100"/>
      <c r="AX16" s="248"/>
      <c r="AY16" s="100">
        <v>0</v>
      </c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+SUM(BC13:BC14)+SUM(BC23:BC24)+SUM(BC39:BC39)+SUM(BC109:BC131)+SUM(BC177:BC183)+SUM(BC255:BC264)+SUM(BC295:BC297)+SUM(BC323:BC325)-BC117-BC122-BC123-BC179-BC181-BC261-BC260-BC125-BC124</f>
        <v>3707035</v>
      </c>
      <c r="BG16" s="38"/>
      <c r="BH16" s="505" t="s">
        <v>793</v>
      </c>
      <c r="BI16" s="432">
        <f>+BF15+BF16+BF17</f>
        <v>6695430</v>
      </c>
    </row>
    <row r="17" spans="1:151" s="289" customFormat="1" ht="15" customHeight="1">
      <c r="A17" s="91">
        <v>5</v>
      </c>
      <c r="B17" s="886" t="s">
        <v>2483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+N17+SUM(N43:N46,N113:N125,N97:N102)-N114+SUM(N103:N108)</f>
        <v>221025</v>
      </c>
      <c r="Q17" s="350">
        <f>+O17+SUM(O43:O46,O113:O125,O97:O102)-O114+SUM(O103:O108)</f>
        <v>2300565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>
        <v>0</v>
      </c>
      <c r="Y17" s="456">
        <v>0</v>
      </c>
      <c r="Z17" s="100">
        <v>0</v>
      </c>
      <c r="AA17" s="100">
        <v>0</v>
      </c>
      <c r="AB17" s="100"/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/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/>
      <c r="AQ17" s="100">
        <v>0</v>
      </c>
      <c r="AR17" s="100">
        <v>0</v>
      </c>
      <c r="AS17" s="100">
        <v>0</v>
      </c>
      <c r="AT17" s="100">
        <v>0</v>
      </c>
      <c r="AU17" s="100">
        <v>0</v>
      </c>
      <c r="AV17" s="100">
        <v>0</v>
      </c>
      <c r="AW17" s="100"/>
      <c r="AX17" s="248"/>
      <c r="AY17" s="100">
        <v>0</v>
      </c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+BC15+BC25+SUM(BC132:BC143)+SUM(BC184:BC186)+SUM(BC265:BC273)+SUM(BC298:BC299)</f>
        <v>1542470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2484</v>
      </c>
      <c r="C18" s="286" t="s">
        <v>40</v>
      </c>
      <c r="D18" s="287">
        <v>25</v>
      </c>
      <c r="E18" s="356">
        <v>0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0</v>
      </c>
      <c r="N18" s="354">
        <f t="shared" si="6"/>
        <v>0</v>
      </c>
      <c r="O18" s="357">
        <f t="shared" si="7"/>
        <v>2800</v>
      </c>
      <c r="P18" s="350">
        <f>+SUM(N63:N74,N59:N60,N47:N52)</f>
        <v>124850</v>
      </c>
      <c r="Q18" s="350">
        <f>+SUM(O63:O74,O59:O60,O47:O52)</f>
        <v>572150</v>
      </c>
      <c r="R18" s="356">
        <f>O18/INTGRATE!$N$293</f>
        <v>121.73913043478261</v>
      </c>
      <c r="S18" s="349">
        <f t="shared" si="0"/>
        <v>0</v>
      </c>
      <c r="T18" s="472"/>
      <c r="U18" s="288"/>
      <c r="V18" s="956" t="str">
        <f t="shared" si="1"/>
        <v>550S (5*5)25</v>
      </c>
      <c r="W18" s="943">
        <v>312001</v>
      </c>
      <c r="X18" s="456">
        <v>200</v>
      </c>
      <c r="Y18" s="456">
        <v>0</v>
      </c>
      <c r="Z18" s="100">
        <v>0</v>
      </c>
      <c r="AA18" s="100">
        <v>0</v>
      </c>
      <c r="AB18" s="100"/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/>
      <c r="AJ18" s="100">
        <v>0</v>
      </c>
      <c r="AK18" s="100">
        <v>0</v>
      </c>
      <c r="AL18" s="100">
        <v>300</v>
      </c>
      <c r="AM18" s="100">
        <v>300</v>
      </c>
      <c r="AN18" s="100">
        <v>1300</v>
      </c>
      <c r="AO18" s="100">
        <v>250</v>
      </c>
      <c r="AP18" s="100"/>
      <c r="AQ18" s="100">
        <v>250</v>
      </c>
      <c r="AR18" s="100">
        <v>75</v>
      </c>
      <c r="AS18" s="100">
        <v>125</v>
      </c>
      <c r="AT18" s="100">
        <v>0</v>
      </c>
      <c r="AU18" s="100">
        <v>0</v>
      </c>
      <c r="AV18" s="100">
        <v>0</v>
      </c>
      <c r="AW18" s="100"/>
      <c r="AX18" s="248"/>
      <c r="AY18" s="100">
        <v>0</v>
      </c>
      <c r="AZ18" s="100"/>
      <c r="BA18" s="100"/>
      <c r="BB18" s="100"/>
      <c r="BC18" s="300">
        <f t="shared" ref="BC18:BC82" si="8">SUM(X18:BB18)</f>
        <v>2800</v>
      </c>
      <c r="BD18" s="896">
        <f t="shared" ref="BD18:BD82" si="9">COUNTIF(X18:BB18,"&gt;0")</f>
        <v>8</v>
      </c>
      <c r="BE18" s="896">
        <f t="shared" ref="BE18:BE82" si="10">IFERROR(BC18/BD18,0)</f>
        <v>350</v>
      </c>
      <c r="BF18" s="432">
        <f>BC226+BC225+BC50+BC219+BC220+BC49+BC46+BC53+BC45+BC231+BC229+BC42+BC47++BC48+BC51++BC52+BC55+BC56+BC60+BC168+BC316+BC169+BC221+BC228+BC223+BC217+BC222+BC218+BC227+BC224+BC54+BC230</f>
        <v>1671190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2485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+N42+N51+N52+N61+N62</f>
        <v>26075</v>
      </c>
      <c r="Q19" s="350">
        <f>+O42+O51+O52+O61+O62</f>
        <v>551545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>
        <v>0</v>
      </c>
      <c r="Y19" s="456">
        <v>0</v>
      </c>
      <c r="Z19" s="100">
        <v>0</v>
      </c>
      <c r="AA19" s="100">
        <v>0</v>
      </c>
      <c r="AB19" s="100"/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/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/>
      <c r="AQ19" s="100">
        <v>0</v>
      </c>
      <c r="AR19" s="100">
        <v>0</v>
      </c>
      <c r="AS19" s="100">
        <v>0</v>
      </c>
      <c r="AT19" s="100">
        <v>0</v>
      </c>
      <c r="AU19" s="100">
        <v>0</v>
      </c>
      <c r="AV19" s="100">
        <v>0</v>
      </c>
      <c r="AW19" s="100"/>
      <c r="AX19" s="248"/>
      <c r="AY19" s="100">
        <v>0</v>
      </c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2478</v>
      </c>
      <c r="C20" s="286" t="s">
        <v>40</v>
      </c>
      <c r="D20" s="287">
        <v>25</v>
      </c>
      <c r="E20" s="356">
        <v>8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6</v>
      </c>
      <c r="J20" s="100">
        <f>SUMIF(data!$D:$D,$B20&amp;$D20,data!$K:$K)</f>
        <v>150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2</v>
      </c>
      <c r="N20" s="354">
        <f t="shared" si="6"/>
        <v>50</v>
      </c>
      <c r="O20" s="357">
        <f t="shared" si="7"/>
        <v>8500</v>
      </c>
      <c r="P20" s="350"/>
      <c r="Q20" s="350"/>
      <c r="R20" s="356">
        <f>O20/INTGRATE!$N$293</f>
        <v>369.56521739130437</v>
      </c>
      <c r="S20" s="349">
        <f t="shared" si="0"/>
        <v>0.13529411764705881</v>
      </c>
      <c r="T20" s="472"/>
      <c r="U20" s="288"/>
      <c r="V20" s="956" t="str">
        <f t="shared" si="1"/>
        <v>551 (5*5)25</v>
      </c>
      <c r="W20" s="943">
        <v>314001</v>
      </c>
      <c r="X20" s="456">
        <v>75</v>
      </c>
      <c r="Y20" s="456">
        <v>525</v>
      </c>
      <c r="Z20" s="100">
        <v>625</v>
      </c>
      <c r="AA20" s="100">
        <v>850</v>
      </c>
      <c r="AB20" s="100"/>
      <c r="AC20" s="100">
        <v>0</v>
      </c>
      <c r="AD20" s="100">
        <v>0</v>
      </c>
      <c r="AE20" s="100">
        <v>375</v>
      </c>
      <c r="AF20" s="100">
        <v>400</v>
      </c>
      <c r="AG20" s="100">
        <v>850</v>
      </c>
      <c r="AH20" s="100">
        <v>150</v>
      </c>
      <c r="AI20" s="100"/>
      <c r="AJ20" s="100">
        <v>1350</v>
      </c>
      <c r="AK20" s="100">
        <v>300</v>
      </c>
      <c r="AL20" s="100">
        <v>450</v>
      </c>
      <c r="AM20" s="100">
        <v>125</v>
      </c>
      <c r="AN20" s="100">
        <v>525</v>
      </c>
      <c r="AO20" s="100">
        <v>125</v>
      </c>
      <c r="AP20" s="100"/>
      <c r="AQ20" s="100">
        <v>450</v>
      </c>
      <c r="AR20" s="100">
        <v>250</v>
      </c>
      <c r="AS20" s="100">
        <v>225</v>
      </c>
      <c r="AT20" s="100">
        <v>125</v>
      </c>
      <c r="AU20" s="100">
        <v>350</v>
      </c>
      <c r="AV20" s="100">
        <v>225</v>
      </c>
      <c r="AW20" s="100"/>
      <c r="AX20" s="248"/>
      <c r="AY20" s="100">
        <v>150</v>
      </c>
      <c r="AZ20" s="100"/>
      <c r="BA20" s="100"/>
      <c r="BB20" s="100"/>
      <c r="BC20" s="300">
        <f t="shared" si="8"/>
        <v>8500</v>
      </c>
      <c r="BD20" s="896">
        <f t="shared" si="9"/>
        <v>21</v>
      </c>
      <c r="BE20" s="896">
        <f t="shared" si="10"/>
        <v>404.76190476190476</v>
      </c>
      <c r="BF20" s="432">
        <f>BC70+BC213+BC215+BC318+BC212+BC214+BC71+BC207+BC65+BC66+BC292+BC30+BC33+BC63+BC64+BC67+BC72+BC73+BC74+BC34+BC35+BC68+BC206+BC32+BC216+BC314+BC317+BC315+BC210+BC208+BC69+BC290+BC211+BC293+BC31+BC291+BC209</f>
        <v>1149550</v>
      </c>
      <c r="BG20" s="38" t="s">
        <v>141</v>
      </c>
      <c r="BH20" s="505" t="s">
        <v>796</v>
      </c>
      <c r="BI20" s="432">
        <f>+BF18+BF20+BF21</f>
        <v>3030840</v>
      </c>
    </row>
    <row r="21" spans="1:151" s="294" customFormat="1" ht="15" customHeight="1">
      <c r="A21" s="91">
        <v>9</v>
      </c>
      <c r="B21" s="428" t="s">
        <v>2486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>
        <v>0</v>
      </c>
      <c r="Y21" s="457">
        <v>0</v>
      </c>
      <c r="Z21" s="100">
        <v>0</v>
      </c>
      <c r="AA21" s="100">
        <v>0</v>
      </c>
      <c r="AB21" s="100"/>
      <c r="AC21" s="100">
        <v>0</v>
      </c>
      <c r="AD21" s="100">
        <v>0</v>
      </c>
      <c r="AE21" s="100">
        <v>0</v>
      </c>
      <c r="AF21" s="100">
        <v>0</v>
      </c>
      <c r="AG21" s="100">
        <v>0</v>
      </c>
      <c r="AH21" s="100">
        <v>0</v>
      </c>
      <c r="AI21" s="100"/>
      <c r="AJ21" s="100">
        <v>0</v>
      </c>
      <c r="AK21" s="100">
        <v>0</v>
      </c>
      <c r="AL21" s="100">
        <v>0</v>
      </c>
      <c r="AM21" s="100">
        <v>0</v>
      </c>
      <c r="AN21" s="100">
        <v>0</v>
      </c>
      <c r="AO21" s="100">
        <v>0</v>
      </c>
      <c r="AP21" s="100"/>
      <c r="AQ21" s="100">
        <v>0</v>
      </c>
      <c r="AR21" s="100">
        <v>0</v>
      </c>
      <c r="AS21" s="100">
        <v>0</v>
      </c>
      <c r="AT21" s="100">
        <v>0</v>
      </c>
      <c r="AU21" s="100">
        <v>0</v>
      </c>
      <c r="AV21" s="100">
        <v>0</v>
      </c>
      <c r="AW21" s="100"/>
      <c r="AX21" s="248"/>
      <c r="AY21" s="100">
        <v>0</v>
      </c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+BC17+BC43+BC44+BC57+BC58+BC59</f>
        <v>210100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2487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>
        <v>0</v>
      </c>
      <c r="Y22" s="457">
        <v>0</v>
      </c>
      <c r="Z22" s="100">
        <v>0</v>
      </c>
      <c r="AA22" s="100">
        <v>0</v>
      </c>
      <c r="AB22" s="100"/>
      <c r="AC22" s="100">
        <v>0</v>
      </c>
      <c r="AD22" s="100">
        <v>0</v>
      </c>
      <c r="AE22" s="100">
        <v>0</v>
      </c>
      <c r="AF22" s="100">
        <v>0</v>
      </c>
      <c r="AG22" s="100">
        <v>0</v>
      </c>
      <c r="AH22" s="100">
        <v>0</v>
      </c>
      <c r="AI22" s="100"/>
      <c r="AJ22" s="100">
        <v>0</v>
      </c>
      <c r="AK22" s="100">
        <v>0</v>
      </c>
      <c r="AL22" s="100">
        <v>0</v>
      </c>
      <c r="AM22" s="100">
        <v>0</v>
      </c>
      <c r="AN22" s="100">
        <v>0</v>
      </c>
      <c r="AO22" s="100">
        <v>0</v>
      </c>
      <c r="AP22" s="100"/>
      <c r="AQ22" s="100">
        <v>0</v>
      </c>
      <c r="AR22" s="100">
        <v>0</v>
      </c>
      <c r="AS22" s="100">
        <v>0</v>
      </c>
      <c r="AT22" s="100">
        <v>0</v>
      </c>
      <c r="AU22" s="100">
        <v>0</v>
      </c>
      <c r="AV22" s="100">
        <v>0</v>
      </c>
      <c r="AW22" s="100"/>
      <c r="AX22" s="248"/>
      <c r="AY22" s="100">
        <v>0</v>
      </c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+BC75+BC81+BC86+BC245+BC249+BC82+BC83+BC171+BC84+BC85+BC172+BC170+BC319+BC320+BC247+BC246+BC248</f>
        <v>644850</v>
      </c>
      <c r="BG22" s="684"/>
      <c r="BH22" s="685" t="s">
        <v>798</v>
      </c>
      <c r="BI22" s="85">
        <f>+BF22+BF23+BF27+BF29</f>
        <v>702000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P15+P168+P216+P295+P319</f>
        <v>166050</v>
      </c>
      <c r="Q23" s="350">
        <f>Q15+Q168+Q216+Q295+Q319</f>
        <v>1610005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>
        <v>0</v>
      </c>
      <c r="Y23" s="455">
        <v>0</v>
      </c>
      <c r="Z23" s="100">
        <v>0</v>
      </c>
      <c r="AA23" s="100">
        <v>0</v>
      </c>
      <c r="AB23" s="100"/>
      <c r="AC23" s="100">
        <v>0</v>
      </c>
      <c r="AD23" s="100">
        <v>0</v>
      </c>
      <c r="AE23" s="100">
        <v>0</v>
      </c>
      <c r="AF23" s="100">
        <v>0</v>
      </c>
      <c r="AG23" s="100">
        <v>0</v>
      </c>
      <c r="AH23" s="100">
        <v>0</v>
      </c>
      <c r="AI23" s="100"/>
      <c r="AJ23" s="100">
        <v>0</v>
      </c>
      <c r="AK23" s="100">
        <v>0</v>
      </c>
      <c r="AL23" s="100">
        <v>0</v>
      </c>
      <c r="AM23" s="100">
        <v>0</v>
      </c>
      <c r="AN23" s="100">
        <v>0</v>
      </c>
      <c r="AO23" s="100">
        <v>0</v>
      </c>
      <c r="AP23" s="100"/>
      <c r="AQ23" s="100">
        <v>0</v>
      </c>
      <c r="AR23" s="100">
        <v>0</v>
      </c>
      <c r="AS23" s="100">
        <v>0</v>
      </c>
      <c r="AT23" s="100">
        <v>0</v>
      </c>
      <c r="AU23" s="100">
        <v>0</v>
      </c>
      <c r="AV23" s="100">
        <v>0</v>
      </c>
      <c r="AW23" s="100"/>
      <c r="AX23" s="248"/>
      <c r="AY23" s="100">
        <v>0</v>
      </c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+BC87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>
        <v>0</v>
      </c>
      <c r="Y24" s="455">
        <v>0</v>
      </c>
      <c r="Z24" s="100">
        <v>0</v>
      </c>
      <c r="AA24" s="100">
        <v>0</v>
      </c>
      <c r="AB24" s="100"/>
      <c r="AC24" s="100">
        <v>0</v>
      </c>
      <c r="AD24" s="100">
        <v>0</v>
      </c>
      <c r="AE24" s="100">
        <v>0</v>
      </c>
      <c r="AF24" s="100">
        <v>0</v>
      </c>
      <c r="AG24" s="100">
        <v>0</v>
      </c>
      <c r="AH24" s="100">
        <v>0</v>
      </c>
      <c r="AI24" s="100"/>
      <c r="AJ24" s="100">
        <v>0</v>
      </c>
      <c r="AK24" s="100">
        <v>0</v>
      </c>
      <c r="AL24" s="100">
        <v>0</v>
      </c>
      <c r="AM24" s="100">
        <v>0</v>
      </c>
      <c r="AN24" s="100">
        <v>0</v>
      </c>
      <c r="AO24" s="100">
        <v>0</v>
      </c>
      <c r="AP24" s="100"/>
      <c r="AQ24" s="100">
        <v>0</v>
      </c>
      <c r="AR24" s="100">
        <v>0</v>
      </c>
      <c r="AS24" s="100">
        <v>0</v>
      </c>
      <c r="AT24" s="100">
        <v>0</v>
      </c>
      <c r="AU24" s="100">
        <v>0</v>
      </c>
      <c r="AV24" s="100">
        <v>0</v>
      </c>
      <c r="AW24" s="100"/>
      <c r="AX24" s="248"/>
      <c r="AY24" s="100">
        <v>0</v>
      </c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+BC26+BC29+BC27+BC232+BC61+BC62+BC28</f>
        <v>357120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+P17+P170+P232+P296+P323</f>
        <v>286675</v>
      </c>
      <c r="Q25" s="350">
        <f>+Q17+Q170+Q232+Q296+Q323</f>
        <v>2927790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>
        <v>0</v>
      </c>
      <c r="Y25" s="455">
        <v>0</v>
      </c>
      <c r="Z25" s="100">
        <v>0</v>
      </c>
      <c r="AA25" s="100">
        <v>0</v>
      </c>
      <c r="AB25" s="100"/>
      <c r="AC25" s="100">
        <v>0</v>
      </c>
      <c r="AD25" s="100">
        <v>0</v>
      </c>
      <c r="AE25" s="100">
        <v>0</v>
      </c>
      <c r="AF25" s="100">
        <v>0</v>
      </c>
      <c r="AG25" s="100">
        <v>0</v>
      </c>
      <c r="AH25" s="100">
        <v>0</v>
      </c>
      <c r="AI25" s="100"/>
      <c r="AJ25" s="100">
        <v>0</v>
      </c>
      <c r="AK25" s="100">
        <v>0</v>
      </c>
      <c r="AL25" s="100">
        <v>0</v>
      </c>
      <c r="AM25" s="100">
        <v>0</v>
      </c>
      <c r="AN25" s="100">
        <v>0</v>
      </c>
      <c r="AO25" s="100">
        <v>0</v>
      </c>
      <c r="AP25" s="100"/>
      <c r="AQ25" s="100">
        <v>0</v>
      </c>
      <c r="AR25" s="100">
        <v>0</v>
      </c>
      <c r="AS25" s="100">
        <v>0</v>
      </c>
      <c r="AT25" s="100">
        <v>0</v>
      </c>
      <c r="AU25" s="100">
        <v>0</v>
      </c>
      <c r="AV25" s="100">
        <v>0</v>
      </c>
      <c r="AW25" s="100"/>
      <c r="AX25" s="248"/>
      <c r="AY25" s="100">
        <v>0</v>
      </c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884720</v>
      </c>
      <c r="BH25" s="505" t="s">
        <v>802</v>
      </c>
      <c r="BI25" s="85">
        <f>+BF24+BF25+BF26-BF32</f>
        <v>1154570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499</v>
      </c>
      <c r="F26" s="100">
        <f>SUMIF(pro!$A:$A,$V:$V,pro!$N:$N)</f>
        <v>505</v>
      </c>
      <c r="G26" s="356"/>
      <c r="H26" s="100">
        <f>SUMIF(CBIN!$A:$A,BRAN!$V:$V,CBIN!$G:$G)</f>
        <v>0</v>
      </c>
      <c r="I26" s="100">
        <f>SUMIF(data!$D:$D,$B26&amp;$D26,data!$J:$J)</f>
        <v>260</v>
      </c>
      <c r="J26" s="100">
        <f>SUMIF(data!$D:$D,$B26&amp;$D26,data!$K:$K)</f>
        <v>6500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744</v>
      </c>
      <c r="N26" s="354">
        <f t="shared" si="6"/>
        <v>18600</v>
      </c>
      <c r="O26" s="357">
        <f t="shared" si="7"/>
        <v>98950</v>
      </c>
      <c r="P26" s="350"/>
      <c r="Q26" s="350"/>
      <c r="R26" s="356">
        <f>O26/INTGRATE!$N$293</f>
        <v>4302.173913043478</v>
      </c>
      <c r="S26" s="349">
        <f t="shared" si="0"/>
        <v>4.3233956543708949</v>
      </c>
      <c r="T26" s="472"/>
      <c r="U26" s="139"/>
      <c r="V26" s="956" t="str">
        <f t="shared" si="1"/>
        <v>30125</v>
      </c>
      <c r="W26" s="943">
        <v>542000</v>
      </c>
      <c r="X26" s="455">
        <v>0</v>
      </c>
      <c r="Y26" s="455">
        <v>0</v>
      </c>
      <c r="Z26" s="100">
        <v>3125</v>
      </c>
      <c r="AA26" s="100">
        <v>10650</v>
      </c>
      <c r="AB26" s="100"/>
      <c r="AC26" s="100">
        <v>1250</v>
      </c>
      <c r="AD26" s="100">
        <v>3750</v>
      </c>
      <c r="AE26" s="100">
        <v>500</v>
      </c>
      <c r="AF26" s="100">
        <v>2075</v>
      </c>
      <c r="AG26" s="100">
        <v>750</v>
      </c>
      <c r="AH26" s="100">
        <v>7925</v>
      </c>
      <c r="AI26" s="100"/>
      <c r="AJ26" s="100">
        <v>875</v>
      </c>
      <c r="AK26" s="100">
        <v>5525</v>
      </c>
      <c r="AL26" s="100">
        <v>250</v>
      </c>
      <c r="AM26" s="100">
        <v>125</v>
      </c>
      <c r="AN26" s="100">
        <v>2750</v>
      </c>
      <c r="AO26" s="100">
        <v>10925</v>
      </c>
      <c r="AP26" s="100"/>
      <c r="AQ26" s="100">
        <v>0</v>
      </c>
      <c r="AR26" s="100">
        <v>24000</v>
      </c>
      <c r="AS26" s="100">
        <v>600</v>
      </c>
      <c r="AT26" s="100">
        <v>7000</v>
      </c>
      <c r="AU26" s="100">
        <v>7000</v>
      </c>
      <c r="AV26" s="100">
        <v>3375</v>
      </c>
      <c r="AW26" s="100"/>
      <c r="AX26" s="248"/>
      <c r="AY26" s="100">
        <v>6500</v>
      </c>
      <c r="AZ26" s="100"/>
      <c r="BA26" s="100"/>
      <c r="BB26" s="100"/>
      <c r="BC26" s="300">
        <f t="shared" si="8"/>
        <v>98950</v>
      </c>
      <c r="BD26" s="896">
        <f t="shared" si="9"/>
        <v>20</v>
      </c>
      <c r="BE26" s="896">
        <f t="shared" si="10"/>
        <v>4947.5</v>
      </c>
      <c r="BF26" s="85">
        <f>+BC190+BC191+BC330</f>
        <v>18600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>
        <v>0</v>
      </c>
      <c r="Y27" s="455">
        <v>0</v>
      </c>
      <c r="Z27" s="100">
        <v>0</v>
      </c>
      <c r="AA27" s="100">
        <v>0</v>
      </c>
      <c r="AB27" s="100"/>
      <c r="AC27" s="100">
        <v>0</v>
      </c>
      <c r="AD27" s="100">
        <v>0</v>
      </c>
      <c r="AE27" s="100">
        <v>0</v>
      </c>
      <c r="AF27" s="100">
        <v>0</v>
      </c>
      <c r="AG27" s="100">
        <v>0</v>
      </c>
      <c r="AH27" s="100">
        <v>0</v>
      </c>
      <c r="AI27" s="100"/>
      <c r="AJ27" s="100">
        <v>0</v>
      </c>
      <c r="AK27" s="100">
        <v>0</v>
      </c>
      <c r="AL27" s="100">
        <v>0</v>
      </c>
      <c r="AM27" s="100">
        <v>0</v>
      </c>
      <c r="AN27" s="100">
        <v>0</v>
      </c>
      <c r="AO27" s="100">
        <v>0</v>
      </c>
      <c r="AP27" s="100"/>
      <c r="AQ27" s="100">
        <v>0</v>
      </c>
      <c r="AR27" s="100">
        <v>0</v>
      </c>
      <c r="AS27" s="100">
        <v>0</v>
      </c>
      <c r="AT27" s="100">
        <v>0</v>
      </c>
      <c r="AU27" s="100">
        <v>0</v>
      </c>
      <c r="AV27" s="100">
        <v>0</v>
      </c>
      <c r="AW27" s="100"/>
      <c r="AX27" s="248"/>
      <c r="AY27" s="100">
        <v>0</v>
      </c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+BC78+BC275+BC174+BC79+BC77+BC80+BC175+BC274+BC173</f>
        <v>57150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2664</v>
      </c>
      <c r="C28" s="163" t="s">
        <v>39</v>
      </c>
      <c r="D28" s="164">
        <v>25</v>
      </c>
      <c r="E28" s="100">
        <v>111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111</v>
      </c>
      <c r="N28" s="354">
        <f t="shared" ref="N28" si="12">M28*25</f>
        <v>2775</v>
      </c>
      <c r="O28" s="357">
        <f t="shared" ref="O28" si="13">SUM(X28:BB28)</f>
        <v>5575</v>
      </c>
      <c r="P28" s="350"/>
      <c r="Q28" s="350"/>
      <c r="R28" s="356">
        <f>O28/INTGRATE!$N$293</f>
        <v>242.39130434782609</v>
      </c>
      <c r="S28" s="349">
        <f t="shared" ref="S28" si="14">IF(R28=0,0,N28/R28)</f>
        <v>11.448430493273543</v>
      </c>
      <c r="T28" s="472"/>
      <c r="U28" s="139"/>
      <c r="V28" s="956" t="str">
        <f t="shared" si="1"/>
        <v>302P25</v>
      </c>
      <c r="W28" s="943">
        <v>546008</v>
      </c>
      <c r="X28" s="455"/>
      <c r="Y28" s="455"/>
      <c r="Z28" s="100"/>
      <c r="AA28" s="100">
        <v>5575</v>
      </c>
      <c r="AB28" s="100"/>
      <c r="AC28" s="100">
        <v>0</v>
      </c>
      <c r="AD28" s="100">
        <v>0</v>
      </c>
      <c r="AE28" s="100">
        <v>0</v>
      </c>
      <c r="AF28" s="100">
        <v>0</v>
      </c>
      <c r="AG28" s="100">
        <v>0</v>
      </c>
      <c r="AH28" s="100">
        <v>0</v>
      </c>
      <c r="AI28" s="100"/>
      <c r="AJ28" s="100">
        <v>0</v>
      </c>
      <c r="AK28" s="100">
        <v>0</v>
      </c>
      <c r="AL28" s="100">
        <v>0</v>
      </c>
      <c r="AM28" s="100">
        <v>0</v>
      </c>
      <c r="AN28" s="100">
        <v>0</v>
      </c>
      <c r="AO28" s="100">
        <v>0</v>
      </c>
      <c r="AP28" s="100"/>
      <c r="AQ28" s="100">
        <v>0</v>
      </c>
      <c r="AR28" s="100">
        <v>0</v>
      </c>
      <c r="AS28" s="100">
        <v>0</v>
      </c>
      <c r="AT28" s="100">
        <v>0</v>
      </c>
      <c r="AU28" s="100">
        <v>0</v>
      </c>
      <c r="AV28" s="100">
        <v>0</v>
      </c>
      <c r="AW28" s="100"/>
      <c r="AX28" s="248"/>
      <c r="AY28" s="100">
        <v>0</v>
      </c>
      <c r="AZ28" s="100"/>
      <c r="BA28" s="100"/>
      <c r="BB28" s="100"/>
      <c r="BC28" s="300">
        <f t="shared" ref="BC28" si="15">SUM(X28:BB28)</f>
        <v>5575</v>
      </c>
      <c r="BD28" s="896">
        <f t="shared" ref="BD28" si="16">COUNTIF(X28:BB28,"&gt;0")</f>
        <v>1</v>
      </c>
      <c r="BE28" s="896">
        <f t="shared" ref="BE28" si="17">IFERROR(BC28/BD28,0)</f>
        <v>5575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817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10</v>
      </c>
      <c r="J29" s="100">
        <f>SUMIF(data!$D:$D,$B29&amp;$D29,data!$K:$K)</f>
        <v>250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807</v>
      </c>
      <c r="N29" s="354">
        <f t="shared" si="6"/>
        <v>20175</v>
      </c>
      <c r="O29" s="357">
        <f t="shared" si="7"/>
        <v>63725</v>
      </c>
      <c r="P29" s="350"/>
      <c r="Q29" s="350"/>
      <c r="R29" s="356">
        <f>O29/INTGRATE!$N$293</f>
        <v>2770.6521739130435</v>
      </c>
      <c r="S29" s="349">
        <f t="shared" si="0"/>
        <v>7.2816790898391526</v>
      </c>
      <c r="T29" s="472"/>
      <c r="U29" s="139"/>
      <c r="V29" s="956" t="str">
        <f t="shared" si="1"/>
        <v>30225</v>
      </c>
      <c r="W29" s="943">
        <v>546000</v>
      </c>
      <c r="X29" s="455">
        <v>0</v>
      </c>
      <c r="Y29" s="455">
        <v>250</v>
      </c>
      <c r="Z29" s="100">
        <v>5050</v>
      </c>
      <c r="AA29" s="100">
        <v>4425</v>
      </c>
      <c r="AB29" s="100"/>
      <c r="AC29" s="100">
        <v>0</v>
      </c>
      <c r="AD29" s="100">
        <v>10000</v>
      </c>
      <c r="AE29" s="100">
        <v>125</v>
      </c>
      <c r="AF29" s="100">
        <v>1500</v>
      </c>
      <c r="AG29" s="100">
        <v>25</v>
      </c>
      <c r="AH29" s="100">
        <v>5000</v>
      </c>
      <c r="AI29" s="100"/>
      <c r="AJ29" s="100">
        <v>1025</v>
      </c>
      <c r="AK29" s="100">
        <v>75</v>
      </c>
      <c r="AL29" s="100">
        <v>0</v>
      </c>
      <c r="AM29" s="100">
        <v>125</v>
      </c>
      <c r="AN29" s="100">
        <v>1375</v>
      </c>
      <c r="AO29" s="100">
        <v>25000</v>
      </c>
      <c r="AP29" s="100"/>
      <c r="AQ29" s="100">
        <v>1250</v>
      </c>
      <c r="AR29" s="100">
        <v>0</v>
      </c>
      <c r="AS29" s="100">
        <v>2775</v>
      </c>
      <c r="AT29" s="100">
        <v>100</v>
      </c>
      <c r="AU29" s="100">
        <v>0</v>
      </c>
      <c r="AV29" s="100">
        <v>5375</v>
      </c>
      <c r="AW29" s="100"/>
      <c r="AX29" s="248"/>
      <c r="AY29" s="100">
        <v>250</v>
      </c>
      <c r="AZ29" s="100"/>
      <c r="BA29" s="100"/>
      <c r="BB29" s="100"/>
      <c r="BC29" s="300">
        <f t="shared" si="8"/>
        <v>63725</v>
      </c>
      <c r="BD29" s="896">
        <f t="shared" si="9"/>
        <v>18</v>
      </c>
      <c r="BE29" s="896">
        <f t="shared" si="10"/>
        <v>3540.2777777777778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>
        <v>0</v>
      </c>
      <c r="Y30" s="455">
        <v>0</v>
      </c>
      <c r="Z30" s="100">
        <v>0</v>
      </c>
      <c r="AA30" s="100">
        <v>0</v>
      </c>
      <c r="AB30" s="100"/>
      <c r="AC30" s="100">
        <v>0</v>
      </c>
      <c r="AD30" s="100">
        <v>0</v>
      </c>
      <c r="AE30" s="100">
        <v>0</v>
      </c>
      <c r="AF30" s="100">
        <v>0</v>
      </c>
      <c r="AG30" s="100">
        <v>0</v>
      </c>
      <c r="AH30" s="100">
        <v>0</v>
      </c>
      <c r="AI30" s="100"/>
      <c r="AJ30" s="100">
        <v>0</v>
      </c>
      <c r="AK30" s="100">
        <v>0</v>
      </c>
      <c r="AL30" s="100">
        <v>0</v>
      </c>
      <c r="AM30" s="100">
        <v>0</v>
      </c>
      <c r="AN30" s="100">
        <v>0</v>
      </c>
      <c r="AO30" s="100">
        <v>0</v>
      </c>
      <c r="AP30" s="100"/>
      <c r="AQ30" s="100">
        <v>0</v>
      </c>
      <c r="AR30" s="100">
        <v>0</v>
      </c>
      <c r="AS30" s="100">
        <v>0</v>
      </c>
      <c r="AT30" s="100">
        <v>0</v>
      </c>
      <c r="AU30" s="100">
        <v>0</v>
      </c>
      <c r="AV30" s="100">
        <v>0</v>
      </c>
      <c r="AW30" s="100"/>
      <c r="AX30" s="248"/>
      <c r="AY30" s="100">
        <v>0</v>
      </c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1178480</v>
      </c>
      <c r="BG30" s="38"/>
      <c r="BH30" s="505" t="s">
        <v>959</v>
      </c>
      <c r="BI30" s="85">
        <f>+BI16-BF30</f>
        <v>5516950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>
        <v>0</v>
      </c>
      <c r="Y31" s="455">
        <v>0</v>
      </c>
      <c r="Z31" s="100">
        <v>0</v>
      </c>
      <c r="AA31" s="100">
        <v>0</v>
      </c>
      <c r="AB31" s="100"/>
      <c r="AC31" s="100">
        <v>0</v>
      </c>
      <c r="AD31" s="100">
        <v>0</v>
      </c>
      <c r="AE31" s="100">
        <v>0</v>
      </c>
      <c r="AF31" s="100">
        <v>0</v>
      </c>
      <c r="AG31" s="100">
        <v>0</v>
      </c>
      <c r="AH31" s="100">
        <v>0</v>
      </c>
      <c r="AI31" s="100"/>
      <c r="AJ31" s="100">
        <v>0</v>
      </c>
      <c r="AK31" s="100">
        <v>0</v>
      </c>
      <c r="AL31" s="100">
        <v>0</v>
      </c>
      <c r="AM31" s="100">
        <v>0</v>
      </c>
      <c r="AN31" s="100">
        <v>0</v>
      </c>
      <c r="AO31" s="100">
        <v>0</v>
      </c>
      <c r="AP31" s="100"/>
      <c r="AQ31" s="100">
        <v>0</v>
      </c>
      <c r="AR31" s="100">
        <v>0</v>
      </c>
      <c r="AS31" s="100">
        <v>0</v>
      </c>
      <c r="AT31" s="100">
        <v>0</v>
      </c>
      <c r="AU31" s="100">
        <v>0</v>
      </c>
      <c r="AV31" s="100">
        <v>0</v>
      </c>
      <c r="AW31" s="100"/>
      <c r="AX31" s="248"/>
      <c r="AY31" s="100">
        <v>0</v>
      </c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>
        <v>0</v>
      </c>
      <c r="Y32" s="455">
        <v>0</v>
      </c>
      <c r="Z32" s="100">
        <v>0</v>
      </c>
      <c r="AA32" s="100">
        <v>0</v>
      </c>
      <c r="AB32" s="100"/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/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/>
      <c r="AQ32" s="100">
        <v>0</v>
      </c>
      <c r="AR32" s="100">
        <v>0</v>
      </c>
      <c r="AS32" s="100">
        <v>0</v>
      </c>
      <c r="AT32" s="100">
        <v>0</v>
      </c>
      <c r="AU32" s="100">
        <v>0</v>
      </c>
      <c r="AV32" s="100">
        <v>0</v>
      </c>
      <c r="AW32" s="100"/>
      <c r="AX32" s="248"/>
      <c r="AY32" s="100">
        <v>0</v>
      </c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+BC62</f>
        <v>105870</v>
      </c>
      <c r="BG32" s="38"/>
      <c r="BH32" s="505" t="s">
        <v>1964</v>
      </c>
      <c r="BI32" s="85">
        <f>BF24-BF32</f>
        <v>251250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>
        <v>0</v>
      </c>
      <c r="Y33" s="455">
        <v>0</v>
      </c>
      <c r="Z33" s="100">
        <v>0</v>
      </c>
      <c r="AA33" s="100">
        <v>0</v>
      </c>
      <c r="AB33" s="100"/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/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/>
      <c r="AQ33" s="100">
        <v>0</v>
      </c>
      <c r="AR33" s="100">
        <v>0</v>
      </c>
      <c r="AS33" s="100">
        <v>0</v>
      </c>
      <c r="AT33" s="100">
        <v>0</v>
      </c>
      <c r="AU33" s="100">
        <v>0</v>
      </c>
      <c r="AV33" s="100">
        <v>0</v>
      </c>
      <c r="AW33" s="100"/>
      <c r="AX33" s="248"/>
      <c r="AY33" s="100">
        <v>0</v>
      </c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BC70+BC213+BC50+BC212+BC219+BC34+BC64+BC67+BC73+BC48+BC52+BC35+BC216+BC315+BC210+BC208+BC290+BC31+BC291+BC292+BC209+BC207+BC222+BC218+BC227+BC224+BC231</f>
        <v>513290</v>
      </c>
      <c r="BG33" s="38"/>
      <c r="BH33" s="505" t="s">
        <v>1170</v>
      </c>
      <c r="BI33" s="85">
        <f>+BI20-BF33</f>
        <v>2517550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>
        <v>0</v>
      </c>
      <c r="Y34" s="455">
        <v>0</v>
      </c>
      <c r="Z34" s="100">
        <v>0</v>
      </c>
      <c r="AA34" s="100">
        <v>0</v>
      </c>
      <c r="AB34" s="100"/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494">
        <v>0</v>
      </c>
      <c r="AI34" s="100"/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494">
        <v>0</v>
      </c>
      <c r="AP34" s="100"/>
      <c r="AQ34" s="494">
        <v>0</v>
      </c>
      <c r="AR34" s="100">
        <v>0</v>
      </c>
      <c r="AS34" s="100">
        <v>0</v>
      </c>
      <c r="AT34" s="100">
        <v>0</v>
      </c>
      <c r="AU34" s="100">
        <v>0</v>
      </c>
      <c r="AV34" s="100">
        <v>0</v>
      </c>
      <c r="AW34" s="100"/>
      <c r="AX34" s="248"/>
      <c r="AY34" s="100">
        <v>0</v>
      </c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BC84+BC85+BC247+BC246</f>
        <v>0</v>
      </c>
      <c r="BG34" s="38"/>
      <c r="BH34" s="505" t="s">
        <v>1323</v>
      </c>
      <c r="BI34" s="85">
        <f>+BI22-BF34</f>
        <v>702000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>
        <v>0</v>
      </c>
      <c r="Y35" s="455">
        <v>0</v>
      </c>
      <c r="Z35" s="100">
        <v>0</v>
      </c>
      <c r="AA35" s="100">
        <v>0</v>
      </c>
      <c r="AB35" s="100"/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494">
        <v>0</v>
      </c>
      <c r="AI35" s="100"/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494">
        <v>0</v>
      </c>
      <c r="AP35" s="100"/>
      <c r="AQ35" s="494">
        <v>0</v>
      </c>
      <c r="AR35" s="100">
        <v>0</v>
      </c>
      <c r="AS35" s="100">
        <v>0</v>
      </c>
      <c r="AT35" s="100">
        <v>0</v>
      </c>
      <c r="AU35" s="100">
        <v>0</v>
      </c>
      <c r="AV35" s="100">
        <v>0</v>
      </c>
      <c r="AW35" s="100"/>
      <c r="AX35" s="248"/>
      <c r="AY35" s="100">
        <v>0</v>
      </c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+BC239+BC238+BC242</f>
        <v>223020</v>
      </c>
      <c r="BG35" s="38"/>
      <c r="BH35" s="505" t="s">
        <v>2644</v>
      </c>
      <c r="BI35" s="85">
        <f>+BF25-BF35</f>
        <v>661700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2494</v>
      </c>
      <c r="C36" s="175" t="s">
        <v>39</v>
      </c>
      <c r="D36" s="168">
        <v>10</v>
      </c>
      <c r="E36" s="356">
        <v>113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5</v>
      </c>
      <c r="J36" s="100">
        <f>SUMIF(data!$D:$D,$B36&amp;$D36,data!$K:$K)</f>
        <v>50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3" si="18">E36+F36+H36-I36-L36+G36-K36</f>
        <v>108</v>
      </c>
      <c r="N36" s="354">
        <f>+M36*D36</f>
        <v>1080</v>
      </c>
      <c r="O36" s="357">
        <f t="shared" si="7"/>
        <v>9850</v>
      </c>
      <c r="P36" s="350"/>
      <c r="Q36" s="350"/>
      <c r="R36" s="356">
        <f>O36/INTGRATE!$N$293</f>
        <v>428.26086956521738</v>
      </c>
      <c r="S36" s="349">
        <f t="shared" si="0"/>
        <v>2.521827411167513</v>
      </c>
      <c r="T36" s="472" t="s">
        <v>1094</v>
      </c>
      <c r="U36" s="139"/>
      <c r="V36" s="956" t="str">
        <f t="shared" si="1"/>
        <v>550P10</v>
      </c>
      <c r="W36" s="943"/>
      <c r="X36" s="455">
        <v>0</v>
      </c>
      <c r="Y36" s="455">
        <v>30</v>
      </c>
      <c r="Z36" s="100">
        <v>150</v>
      </c>
      <c r="AA36" s="100">
        <v>540</v>
      </c>
      <c r="AB36" s="100"/>
      <c r="AC36" s="100">
        <v>0</v>
      </c>
      <c r="AD36" s="100">
        <v>100</v>
      </c>
      <c r="AE36" s="100">
        <v>0</v>
      </c>
      <c r="AF36" s="100">
        <v>280</v>
      </c>
      <c r="AG36" s="100">
        <v>0</v>
      </c>
      <c r="AH36" s="100">
        <v>4300</v>
      </c>
      <c r="AI36" s="100"/>
      <c r="AJ36" s="100">
        <v>0</v>
      </c>
      <c r="AK36" s="100">
        <v>500</v>
      </c>
      <c r="AL36" s="100">
        <v>0</v>
      </c>
      <c r="AM36" s="100">
        <v>0</v>
      </c>
      <c r="AN36" s="100">
        <v>30</v>
      </c>
      <c r="AO36" s="100">
        <v>2810</v>
      </c>
      <c r="AP36" s="100"/>
      <c r="AQ36" s="100">
        <v>0</v>
      </c>
      <c r="AR36" s="100">
        <v>0</v>
      </c>
      <c r="AS36" s="100">
        <v>10</v>
      </c>
      <c r="AT36" s="100">
        <v>0</v>
      </c>
      <c r="AU36" s="100">
        <v>0</v>
      </c>
      <c r="AV36" s="100">
        <v>1050</v>
      </c>
      <c r="AW36" s="100"/>
      <c r="AX36" s="248"/>
      <c r="AY36" s="100">
        <v>50</v>
      </c>
      <c r="AZ36" s="100"/>
      <c r="BA36" s="100"/>
      <c r="BB36" s="100"/>
      <c r="BC36" s="300">
        <f t="shared" si="8"/>
        <v>9850</v>
      </c>
      <c r="BD36" s="896">
        <f t="shared" si="9"/>
        <v>12</v>
      </c>
      <c r="BE36" s="896">
        <f t="shared" si="10"/>
        <v>820.83333333333337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>
        <v>0</v>
      </c>
      <c r="Y37" s="455">
        <v>0</v>
      </c>
      <c r="Z37" s="100">
        <v>0</v>
      </c>
      <c r="AA37" s="100">
        <v>0</v>
      </c>
      <c r="AB37" s="100"/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/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/>
      <c r="AQ37" s="100">
        <v>0</v>
      </c>
      <c r="AR37" s="100">
        <v>0</v>
      </c>
      <c r="AS37" s="100">
        <v>0</v>
      </c>
      <c r="AT37" s="100">
        <v>0</v>
      </c>
      <c r="AU37" s="100">
        <v>0</v>
      </c>
      <c r="AV37" s="100">
        <v>0</v>
      </c>
      <c r="AW37" s="100"/>
      <c r="AX37" s="248"/>
      <c r="AY37" s="100">
        <v>0</v>
      </c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11688710</v>
      </c>
      <c r="BI37" s="85">
        <f>+BH37-BJ37</f>
        <v>9668050</v>
      </c>
      <c r="BJ37" s="85">
        <f>BF34+BF33+BF32+BF30+BF35</f>
        <v>2020660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>
        <v>0</v>
      </c>
      <c r="Y38" s="455">
        <v>0</v>
      </c>
      <c r="Z38" s="100">
        <v>0</v>
      </c>
      <c r="AA38" s="100">
        <v>0</v>
      </c>
      <c r="AB38" s="100"/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/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/>
      <c r="AQ38" s="100">
        <v>0</v>
      </c>
      <c r="AR38" s="100">
        <v>0</v>
      </c>
      <c r="AS38" s="100">
        <v>0</v>
      </c>
      <c r="AT38" s="100">
        <v>0</v>
      </c>
      <c r="AU38" s="100">
        <v>0</v>
      </c>
      <c r="AV38" s="100">
        <v>0</v>
      </c>
      <c r="AW38" s="100"/>
      <c r="AX38" s="248"/>
      <c r="AY38" s="100">
        <v>0</v>
      </c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+BH37-BC332</f>
        <v>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65</v>
      </c>
      <c r="F39" s="100">
        <f>SUMIF(pro!$A:$A,$V:$V,pro!$N:$N)</f>
        <v>339</v>
      </c>
      <c r="G39" s="356"/>
      <c r="H39" s="100">
        <f>SUMIF(CBIN!$A:$A,BRAN!$V:$V,CBIN!$G:$G)</f>
        <v>0</v>
      </c>
      <c r="I39" s="100">
        <f>SUMIF(data!$D:$D,$B39&amp;$D39,data!$J:$J)</f>
        <v>20</v>
      </c>
      <c r="J39" s="100">
        <f>SUMIF(data!$D:$D,$B39&amp;$D39,data!$K:$K)</f>
        <v>500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384</v>
      </c>
      <c r="N39" s="354">
        <f t="shared" si="6"/>
        <v>9600</v>
      </c>
      <c r="O39" s="357">
        <f t="shared" si="7"/>
        <v>10025</v>
      </c>
      <c r="P39" s="350"/>
      <c r="Q39" s="350"/>
      <c r="R39" s="356">
        <f>O39/INTGRATE!$N$293</f>
        <v>435.86956521739131</v>
      </c>
      <c r="S39" s="349">
        <f t="shared" si="0"/>
        <v>22.024937655860349</v>
      </c>
      <c r="T39" s="472"/>
      <c r="U39" s="139"/>
      <c r="V39" s="956" t="str">
        <f t="shared" si="1"/>
        <v>35225</v>
      </c>
      <c r="W39" s="943">
        <v>321000</v>
      </c>
      <c r="X39" s="455">
        <v>125</v>
      </c>
      <c r="Y39" s="455">
        <v>500</v>
      </c>
      <c r="Z39" s="100">
        <v>1000</v>
      </c>
      <c r="AA39" s="100">
        <v>425</v>
      </c>
      <c r="AB39" s="100"/>
      <c r="AC39" s="100">
        <v>0</v>
      </c>
      <c r="AD39" s="100">
        <v>250</v>
      </c>
      <c r="AE39" s="100">
        <v>0</v>
      </c>
      <c r="AF39" s="100">
        <v>250</v>
      </c>
      <c r="AG39" s="100">
        <v>0</v>
      </c>
      <c r="AH39" s="100">
        <v>125</v>
      </c>
      <c r="AI39" s="100"/>
      <c r="AJ39" s="100">
        <v>0</v>
      </c>
      <c r="AK39" s="100">
        <v>250</v>
      </c>
      <c r="AL39" s="100">
        <v>0</v>
      </c>
      <c r="AM39" s="100">
        <v>250</v>
      </c>
      <c r="AN39" s="100">
        <v>2000</v>
      </c>
      <c r="AO39" s="100">
        <v>0</v>
      </c>
      <c r="AP39" s="100"/>
      <c r="AQ39" s="100">
        <v>300</v>
      </c>
      <c r="AR39" s="100">
        <v>1250</v>
      </c>
      <c r="AS39" s="100">
        <v>125</v>
      </c>
      <c r="AT39" s="100">
        <v>1100</v>
      </c>
      <c r="AU39" s="100">
        <v>950</v>
      </c>
      <c r="AV39" s="100">
        <v>625</v>
      </c>
      <c r="AW39" s="100"/>
      <c r="AX39" s="248"/>
      <c r="AY39" s="100">
        <v>500</v>
      </c>
      <c r="AZ39" s="100"/>
      <c r="BA39" s="100"/>
      <c r="BB39" s="100"/>
      <c r="BC39" s="300">
        <f t="shared" si="8"/>
        <v>10025</v>
      </c>
      <c r="BD39" s="896">
        <f t="shared" si="9"/>
        <v>17</v>
      </c>
      <c r="BE39" s="896">
        <f t="shared" si="10"/>
        <v>589.70588235294122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1529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440</v>
      </c>
      <c r="J40" s="100">
        <f>SUMIF(data!$D:$D,$B40&amp;$D40,data!$K:$K)</f>
        <v>11000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1089</v>
      </c>
      <c r="N40" s="354">
        <f t="shared" si="6"/>
        <v>27225</v>
      </c>
      <c r="O40" s="357">
        <f t="shared" si="7"/>
        <v>101675</v>
      </c>
      <c r="P40" s="350"/>
      <c r="Q40" s="350"/>
      <c r="R40" s="356">
        <f>O40/INTGRATE!$N$293</f>
        <v>4420.652173913043</v>
      </c>
      <c r="S40" s="349">
        <f t="shared" si="0"/>
        <v>6.1585935579050908</v>
      </c>
      <c r="T40" s="584"/>
      <c r="U40" s="139"/>
      <c r="V40" s="956" t="str">
        <f t="shared" si="1"/>
        <v>38425</v>
      </c>
      <c r="W40" s="943">
        <v>433000</v>
      </c>
      <c r="X40" s="455">
        <v>0</v>
      </c>
      <c r="Y40" s="455">
        <v>9250</v>
      </c>
      <c r="Z40" s="100">
        <v>9375</v>
      </c>
      <c r="AA40" s="100">
        <v>14750</v>
      </c>
      <c r="AB40" s="100"/>
      <c r="AC40" s="100">
        <v>250</v>
      </c>
      <c r="AD40" s="100">
        <v>4250</v>
      </c>
      <c r="AE40" s="100">
        <v>0</v>
      </c>
      <c r="AF40" s="100">
        <v>1875</v>
      </c>
      <c r="AG40" s="100">
        <v>5400</v>
      </c>
      <c r="AH40" s="100">
        <v>3750</v>
      </c>
      <c r="AI40" s="100"/>
      <c r="AJ40" s="100">
        <v>4375</v>
      </c>
      <c r="AK40" s="100">
        <v>0</v>
      </c>
      <c r="AL40" s="100">
        <v>7825</v>
      </c>
      <c r="AM40" s="100">
        <v>0</v>
      </c>
      <c r="AN40" s="100">
        <v>1575</v>
      </c>
      <c r="AO40" s="100">
        <v>16625</v>
      </c>
      <c r="AP40" s="100"/>
      <c r="AQ40" s="100">
        <v>0</v>
      </c>
      <c r="AR40" s="100">
        <v>6250</v>
      </c>
      <c r="AS40" s="100">
        <v>0</v>
      </c>
      <c r="AT40" s="100">
        <v>0</v>
      </c>
      <c r="AU40" s="100">
        <v>4875</v>
      </c>
      <c r="AV40" s="100">
        <v>250</v>
      </c>
      <c r="AW40" s="100"/>
      <c r="AX40" s="248"/>
      <c r="AY40" s="100">
        <v>11000</v>
      </c>
      <c r="AZ40" s="100"/>
      <c r="BA40" s="100"/>
      <c r="BB40" s="100"/>
      <c r="BC40" s="300">
        <f t="shared" si="8"/>
        <v>101675</v>
      </c>
      <c r="BD40" s="896">
        <f t="shared" si="9"/>
        <v>16</v>
      </c>
      <c r="BE40" s="896">
        <f t="shared" si="10"/>
        <v>6354.6875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154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154</v>
      </c>
      <c r="N41" s="354">
        <f t="shared" si="6"/>
        <v>3850</v>
      </c>
      <c r="O41" s="357">
        <f t="shared" si="7"/>
        <v>15500</v>
      </c>
      <c r="P41" s="350"/>
      <c r="Q41" s="350"/>
      <c r="R41" s="356">
        <f>O41/INTGRATE!$N$293</f>
        <v>673.91304347826087</v>
      </c>
      <c r="S41" s="349">
        <f t="shared" si="0"/>
        <v>5.7129032258064516</v>
      </c>
      <c r="T41" s="578"/>
      <c r="U41" s="139"/>
      <c r="V41" s="956" t="str">
        <f t="shared" si="1"/>
        <v>385S25</v>
      </c>
      <c r="W41" s="943">
        <v>433010</v>
      </c>
      <c r="X41" s="455">
        <v>0</v>
      </c>
      <c r="Y41" s="455">
        <v>0</v>
      </c>
      <c r="Z41" s="100">
        <v>7750</v>
      </c>
      <c r="AA41" s="100">
        <v>0</v>
      </c>
      <c r="AB41" s="100"/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/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/>
      <c r="AQ41" s="100">
        <v>0</v>
      </c>
      <c r="AR41" s="100">
        <v>7750</v>
      </c>
      <c r="AS41" s="100">
        <v>0</v>
      </c>
      <c r="AT41" s="100">
        <v>0</v>
      </c>
      <c r="AU41" s="100">
        <v>0</v>
      </c>
      <c r="AV41" s="100">
        <v>0</v>
      </c>
      <c r="AW41" s="100"/>
      <c r="AX41" s="248"/>
      <c r="AY41" s="100">
        <v>0</v>
      </c>
      <c r="AZ41" s="100"/>
      <c r="BA41" s="100"/>
      <c r="BB41" s="100"/>
      <c r="BC41" s="300">
        <f t="shared" si="8"/>
        <v>15500</v>
      </c>
      <c r="BD41" s="896">
        <f t="shared" si="9"/>
        <v>2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967</v>
      </c>
      <c r="F42" s="100">
        <f>SUMIF(pro!$A:$A,$V:$V,pro!$N:$N)</f>
        <v>1193</v>
      </c>
      <c r="G42" s="356"/>
      <c r="H42" s="100">
        <f>SUMIF(CBIN!$A:$A,BRAN!$V:$V,CBIN!$G:$G)</f>
        <v>0</v>
      </c>
      <c r="I42" s="100">
        <f>SUMIF(data!$D:$D,$B42&amp;$D42,data!$J:$J)</f>
        <v>1325</v>
      </c>
      <c r="J42" s="100">
        <f>SUMIF(data!$D:$D,$B42&amp;$D42,data!$K:$K)</f>
        <v>33125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835</v>
      </c>
      <c r="N42" s="354">
        <f t="shared" si="6"/>
        <v>20875</v>
      </c>
      <c r="O42" s="357">
        <f t="shared" si="7"/>
        <v>362675</v>
      </c>
      <c r="P42" s="350"/>
      <c r="Q42" s="350"/>
      <c r="R42" s="356">
        <f>O42/INTGRATE!$N$293</f>
        <v>15768.478260869566</v>
      </c>
      <c r="S42" s="349">
        <f t="shared" si="0"/>
        <v>1.323843661680568</v>
      </c>
      <c r="T42" s="578"/>
      <c r="U42" s="139"/>
      <c r="V42" s="956" t="str">
        <f t="shared" si="1"/>
        <v>51025</v>
      </c>
      <c r="W42" s="943">
        <v>112001</v>
      </c>
      <c r="X42" s="455">
        <v>8650</v>
      </c>
      <c r="Y42" s="455">
        <v>8200</v>
      </c>
      <c r="Z42" s="100">
        <v>15000</v>
      </c>
      <c r="AA42" s="100">
        <v>24575</v>
      </c>
      <c r="AB42" s="100"/>
      <c r="AC42" s="100">
        <v>7300</v>
      </c>
      <c r="AD42" s="100">
        <v>14200</v>
      </c>
      <c r="AE42" s="100">
        <v>5000</v>
      </c>
      <c r="AF42" s="100">
        <v>7100</v>
      </c>
      <c r="AG42" s="100">
        <v>20575</v>
      </c>
      <c r="AH42" s="100">
        <v>22875</v>
      </c>
      <c r="AI42" s="100"/>
      <c r="AJ42" s="100">
        <v>13725</v>
      </c>
      <c r="AK42" s="100">
        <v>8350</v>
      </c>
      <c r="AL42" s="100">
        <v>7075</v>
      </c>
      <c r="AM42" s="100">
        <v>5050</v>
      </c>
      <c r="AN42" s="100">
        <v>33225</v>
      </c>
      <c r="AO42" s="100">
        <v>12350</v>
      </c>
      <c r="AP42" s="100"/>
      <c r="AQ42" s="100">
        <v>16925</v>
      </c>
      <c r="AR42" s="100">
        <v>11325</v>
      </c>
      <c r="AS42" s="100">
        <v>15500</v>
      </c>
      <c r="AT42" s="100">
        <v>5875</v>
      </c>
      <c r="AU42" s="100">
        <v>35150</v>
      </c>
      <c r="AV42" s="100">
        <v>31525</v>
      </c>
      <c r="AW42" s="100"/>
      <c r="AX42" s="248"/>
      <c r="AY42" s="100">
        <v>33125</v>
      </c>
      <c r="AZ42" s="100"/>
      <c r="BA42" s="100"/>
      <c r="BB42" s="100"/>
      <c r="BC42" s="300">
        <f t="shared" si="8"/>
        <v>362675</v>
      </c>
      <c r="BD42" s="896">
        <f t="shared" si="9"/>
        <v>23</v>
      </c>
      <c r="BE42" s="896">
        <f t="shared" si="10"/>
        <v>15768.478260869566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>
        <v>0</v>
      </c>
      <c r="Y43" s="455">
        <v>0</v>
      </c>
      <c r="Z43" s="100">
        <v>0</v>
      </c>
      <c r="AA43" s="100">
        <v>0</v>
      </c>
      <c r="AB43" s="100"/>
      <c r="AC43" s="100">
        <v>0</v>
      </c>
      <c r="AD43" s="100">
        <v>0</v>
      </c>
      <c r="AE43" s="100">
        <v>0</v>
      </c>
      <c r="AF43" s="100">
        <v>0</v>
      </c>
      <c r="AG43" s="100">
        <v>0</v>
      </c>
      <c r="AH43" s="100">
        <v>0</v>
      </c>
      <c r="AI43" s="100"/>
      <c r="AJ43" s="100">
        <v>0</v>
      </c>
      <c r="AK43" s="100">
        <v>0</v>
      </c>
      <c r="AL43" s="100">
        <v>0</v>
      </c>
      <c r="AM43" s="100">
        <v>0</v>
      </c>
      <c r="AN43" s="100">
        <v>0</v>
      </c>
      <c r="AO43" s="100">
        <v>0</v>
      </c>
      <c r="AP43" s="100"/>
      <c r="AQ43" s="100">
        <v>0</v>
      </c>
      <c r="AR43" s="100">
        <v>0</v>
      </c>
      <c r="AS43" s="100">
        <v>0</v>
      </c>
      <c r="AT43" s="100">
        <v>0</v>
      </c>
      <c r="AU43" s="100">
        <v>0</v>
      </c>
      <c r="AV43" s="100">
        <v>0</v>
      </c>
      <c r="AW43" s="100"/>
      <c r="AX43" s="248"/>
      <c r="AY43" s="100">
        <v>0</v>
      </c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915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142</v>
      </c>
      <c r="J44" s="100">
        <f>SUMIF(data!$D:$D,$B44&amp;$D44,data!$K:$K)</f>
        <v>3550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773</v>
      </c>
      <c r="N44" s="354">
        <f t="shared" si="6"/>
        <v>19325</v>
      </c>
      <c r="O44" s="357">
        <f t="shared" si="7"/>
        <v>47150</v>
      </c>
      <c r="P44" s="350"/>
      <c r="Q44" s="350"/>
      <c r="R44" s="356">
        <f>O44/INTGRATE!$N$293</f>
        <v>2050</v>
      </c>
      <c r="S44" s="349">
        <f t="shared" si="0"/>
        <v>9.4268292682926838</v>
      </c>
      <c r="T44" s="472"/>
      <c r="U44" s="139"/>
      <c r="V44" s="956" t="str">
        <f t="shared" si="1"/>
        <v>510M25</v>
      </c>
      <c r="W44" s="943">
        <v>161201</v>
      </c>
      <c r="X44" s="455">
        <v>1875</v>
      </c>
      <c r="Y44" s="455">
        <v>3525</v>
      </c>
      <c r="Z44" s="100">
        <v>3000</v>
      </c>
      <c r="AA44" s="100">
        <v>4900</v>
      </c>
      <c r="AB44" s="100"/>
      <c r="AC44" s="100">
        <v>1125</v>
      </c>
      <c r="AD44" s="100">
        <v>750</v>
      </c>
      <c r="AE44" s="100">
        <v>0</v>
      </c>
      <c r="AF44" s="100">
        <v>1750</v>
      </c>
      <c r="AG44" s="100">
        <v>3000</v>
      </c>
      <c r="AH44" s="100">
        <v>1300</v>
      </c>
      <c r="AI44" s="100"/>
      <c r="AJ44" s="100">
        <v>3875</v>
      </c>
      <c r="AK44" s="100">
        <v>875</v>
      </c>
      <c r="AL44" s="100">
        <v>1250</v>
      </c>
      <c r="AM44" s="100">
        <v>2650</v>
      </c>
      <c r="AN44" s="100">
        <v>1375</v>
      </c>
      <c r="AO44" s="100">
        <v>1750</v>
      </c>
      <c r="AP44" s="100"/>
      <c r="AQ44" s="100">
        <v>2700</v>
      </c>
      <c r="AR44" s="100">
        <v>1225</v>
      </c>
      <c r="AS44" s="100">
        <v>2000</v>
      </c>
      <c r="AT44" s="100">
        <v>1125</v>
      </c>
      <c r="AU44" s="100">
        <v>1500</v>
      </c>
      <c r="AV44" s="100">
        <v>2050</v>
      </c>
      <c r="AW44" s="100"/>
      <c r="AX44" s="248"/>
      <c r="AY44" s="100">
        <v>3550</v>
      </c>
      <c r="AZ44" s="100"/>
      <c r="BA44" s="100"/>
      <c r="BB44" s="100"/>
      <c r="BC44" s="300">
        <f t="shared" si="8"/>
        <v>47150</v>
      </c>
      <c r="BD44" s="896">
        <f t="shared" si="9"/>
        <v>22</v>
      </c>
      <c r="BE44" s="896">
        <f t="shared" si="10"/>
        <v>2143.181818181818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335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20</v>
      </c>
      <c r="J45" s="100">
        <f>SUMIF(data!$D:$D,$B45&amp;$D45,data!$K:$K)</f>
        <v>500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315</v>
      </c>
      <c r="N45" s="354">
        <f t="shared" si="6"/>
        <v>7875</v>
      </c>
      <c r="O45" s="357">
        <f t="shared" si="7"/>
        <v>52550</v>
      </c>
      <c r="P45" s="350"/>
      <c r="Q45" s="350"/>
      <c r="R45" s="356">
        <f>O45/INTGRATE!$N$293</f>
        <v>2284.782608695652</v>
      </c>
      <c r="S45" s="349">
        <f t="shared" si="0"/>
        <v>3.4467174119885824</v>
      </c>
      <c r="T45" s="472"/>
      <c r="U45" s="139"/>
      <c r="V45" s="956" t="str">
        <f>B45&amp;D45</f>
        <v>510S25</v>
      </c>
      <c r="W45" s="943">
        <v>112301</v>
      </c>
      <c r="X45" s="455">
        <v>0</v>
      </c>
      <c r="Y45" s="455">
        <v>0</v>
      </c>
      <c r="Z45" s="100">
        <v>16000</v>
      </c>
      <c r="AA45" s="100">
        <v>0</v>
      </c>
      <c r="AB45" s="100"/>
      <c r="AC45" s="100">
        <v>0</v>
      </c>
      <c r="AD45" s="100">
        <v>0</v>
      </c>
      <c r="AE45" s="100">
        <v>0</v>
      </c>
      <c r="AF45" s="100">
        <v>0</v>
      </c>
      <c r="AG45" s="100">
        <v>7650</v>
      </c>
      <c r="AH45" s="100">
        <v>0</v>
      </c>
      <c r="AI45" s="100"/>
      <c r="AJ45" s="100">
        <v>0</v>
      </c>
      <c r="AK45" s="100">
        <v>500</v>
      </c>
      <c r="AL45" s="100">
        <v>8150</v>
      </c>
      <c r="AM45" s="100">
        <v>0</v>
      </c>
      <c r="AN45" s="100">
        <v>0</v>
      </c>
      <c r="AO45" s="100">
        <v>0</v>
      </c>
      <c r="AP45" s="100"/>
      <c r="AQ45" s="100">
        <v>3750</v>
      </c>
      <c r="AR45" s="100">
        <v>0</v>
      </c>
      <c r="AS45" s="100">
        <v>0</v>
      </c>
      <c r="AT45" s="100">
        <v>16000</v>
      </c>
      <c r="AU45" s="100">
        <v>0</v>
      </c>
      <c r="AV45" s="100">
        <v>0</v>
      </c>
      <c r="AW45" s="100"/>
      <c r="AX45" s="248"/>
      <c r="AY45" s="100">
        <v>500</v>
      </c>
      <c r="AZ45" s="100"/>
      <c r="BA45" s="100"/>
      <c r="BB45" s="100"/>
      <c r="BC45" s="300">
        <f t="shared" si="8"/>
        <v>52550</v>
      </c>
      <c r="BD45" s="896">
        <f t="shared" si="9"/>
        <v>7</v>
      </c>
      <c r="BE45" s="896">
        <f t="shared" si="10"/>
        <v>7507.1428571428569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>
        <v>0</v>
      </c>
      <c r="Y46" s="455">
        <v>0</v>
      </c>
      <c r="Z46" s="100">
        <v>0</v>
      </c>
      <c r="AA46" s="100">
        <v>0</v>
      </c>
      <c r="AB46" s="100"/>
      <c r="AC46" s="100">
        <v>0</v>
      </c>
      <c r="AD46" s="100">
        <v>0</v>
      </c>
      <c r="AE46" s="100">
        <v>0</v>
      </c>
      <c r="AF46" s="100">
        <v>0</v>
      </c>
      <c r="AG46" s="100">
        <v>0</v>
      </c>
      <c r="AH46" s="100">
        <v>0</v>
      </c>
      <c r="AI46" s="100"/>
      <c r="AJ46" s="100">
        <v>0</v>
      </c>
      <c r="AK46" s="100">
        <v>0</v>
      </c>
      <c r="AL46" s="100">
        <v>0</v>
      </c>
      <c r="AM46" s="100">
        <v>0</v>
      </c>
      <c r="AN46" s="100">
        <v>0</v>
      </c>
      <c r="AO46" s="100">
        <v>0</v>
      </c>
      <c r="AP46" s="100"/>
      <c r="AQ46" s="100">
        <v>0</v>
      </c>
      <c r="AR46" s="100">
        <v>0</v>
      </c>
      <c r="AS46" s="100">
        <v>0</v>
      </c>
      <c r="AT46" s="100">
        <v>0</v>
      </c>
      <c r="AU46" s="100">
        <v>0</v>
      </c>
      <c r="AV46" s="100">
        <v>0</v>
      </c>
      <c r="AW46" s="100"/>
      <c r="AX46" s="248"/>
      <c r="AY46" s="100">
        <v>0</v>
      </c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350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55</v>
      </c>
      <c r="J47" s="100">
        <f>SUMIF(data!$D:$D,$B47&amp;$D47,data!$K:$K)</f>
        <v>1375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295</v>
      </c>
      <c r="N47" s="354">
        <f t="shared" si="6"/>
        <v>7375</v>
      </c>
      <c r="O47" s="357">
        <f t="shared" si="7"/>
        <v>20875</v>
      </c>
      <c r="P47" s="350"/>
      <c r="Q47" s="350"/>
      <c r="R47" s="356">
        <f>O47/INTGRATE!$N$293</f>
        <v>907.60869565217388</v>
      </c>
      <c r="S47" s="349">
        <f t="shared" si="0"/>
        <v>8.1257485029940124</v>
      </c>
      <c r="T47" s="472"/>
      <c r="U47" s="139"/>
      <c r="V47" s="956" t="str">
        <f t="shared" si="1"/>
        <v>51125</v>
      </c>
      <c r="W47" s="943">
        <v>114001</v>
      </c>
      <c r="X47" s="455">
        <v>1375</v>
      </c>
      <c r="Y47" s="455">
        <v>375</v>
      </c>
      <c r="Z47" s="100">
        <v>1125</v>
      </c>
      <c r="AA47" s="100">
        <v>750</v>
      </c>
      <c r="AB47" s="100"/>
      <c r="AC47" s="100">
        <v>0</v>
      </c>
      <c r="AD47" s="100">
        <v>0</v>
      </c>
      <c r="AE47" s="100">
        <v>250</v>
      </c>
      <c r="AF47" s="100">
        <v>1450</v>
      </c>
      <c r="AG47" s="100">
        <v>1250</v>
      </c>
      <c r="AH47" s="100">
        <v>425</v>
      </c>
      <c r="AI47" s="100"/>
      <c r="AJ47" s="100">
        <v>250</v>
      </c>
      <c r="AK47" s="100">
        <v>1250</v>
      </c>
      <c r="AL47" s="100">
        <v>1250</v>
      </c>
      <c r="AM47" s="100">
        <v>875</v>
      </c>
      <c r="AN47" s="100">
        <v>625</v>
      </c>
      <c r="AO47" s="100">
        <v>1625</v>
      </c>
      <c r="AP47" s="100"/>
      <c r="AQ47" s="100">
        <v>375</v>
      </c>
      <c r="AR47" s="100">
        <v>500</v>
      </c>
      <c r="AS47" s="100">
        <v>1250</v>
      </c>
      <c r="AT47" s="100">
        <v>1250</v>
      </c>
      <c r="AU47" s="100">
        <v>2250</v>
      </c>
      <c r="AV47" s="100">
        <v>1000</v>
      </c>
      <c r="AW47" s="100"/>
      <c r="AX47" s="248"/>
      <c r="AY47" s="100">
        <v>1375</v>
      </c>
      <c r="AZ47" s="100"/>
      <c r="BA47" s="100"/>
      <c r="BB47" s="100"/>
      <c r="BC47" s="300">
        <f t="shared" si="8"/>
        <v>20875</v>
      </c>
      <c r="BD47" s="896">
        <f t="shared" si="9"/>
        <v>21</v>
      </c>
      <c r="BE47" s="896">
        <f t="shared" si="10"/>
        <v>994.04761904761904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>
        <v>0</v>
      </c>
      <c r="Y48" s="455">
        <v>0</v>
      </c>
      <c r="Z48" s="100">
        <v>0</v>
      </c>
      <c r="AA48" s="100">
        <v>0</v>
      </c>
      <c r="AB48" s="100"/>
      <c r="AC48" s="100">
        <v>0</v>
      </c>
      <c r="AD48" s="100">
        <v>0</v>
      </c>
      <c r="AE48" s="100">
        <v>0</v>
      </c>
      <c r="AF48" s="100">
        <v>0</v>
      </c>
      <c r="AG48" s="100">
        <v>0</v>
      </c>
      <c r="AH48" s="494">
        <v>0</v>
      </c>
      <c r="AI48" s="100"/>
      <c r="AJ48" s="100">
        <v>0</v>
      </c>
      <c r="AK48" s="100">
        <v>0</v>
      </c>
      <c r="AL48" s="100">
        <v>0</v>
      </c>
      <c r="AM48" s="100">
        <v>0</v>
      </c>
      <c r="AN48" s="100">
        <v>0</v>
      </c>
      <c r="AO48" s="494">
        <v>0</v>
      </c>
      <c r="AP48" s="100"/>
      <c r="AQ48" s="494">
        <v>0</v>
      </c>
      <c r="AR48" s="100">
        <v>0</v>
      </c>
      <c r="AS48" s="100">
        <v>0</v>
      </c>
      <c r="AT48" s="100">
        <v>0</v>
      </c>
      <c r="AU48" s="100">
        <v>0</v>
      </c>
      <c r="AV48" s="100">
        <v>0</v>
      </c>
      <c r="AW48" s="100"/>
      <c r="AX48" s="248"/>
      <c r="AY48" s="100">
        <v>0</v>
      </c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1365</v>
      </c>
      <c r="F49" s="100">
        <f>SUMIF(pro!$A:$A,$V:$V,pro!$N:$N)</f>
        <v>0</v>
      </c>
      <c r="G49" s="494"/>
      <c r="H49" s="100">
        <f>SUMIF(CBIN!$A:$A,BRAN!$V:$V,CBIN!$G:$G)</f>
        <v>0</v>
      </c>
      <c r="I49" s="100">
        <f>SUMIF(data!$D:$D,$B49&amp;$D49,data!$J:$J)</f>
        <v>1000</v>
      </c>
      <c r="J49" s="100">
        <f>SUMIF(data!$D:$D,$B49&amp;$D49,data!$K:$K)</f>
        <v>25000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365</v>
      </c>
      <c r="N49" s="354">
        <f>M49*25</f>
        <v>9125</v>
      </c>
      <c r="O49" s="357">
        <f>SUM(X49:BB49)</f>
        <v>58700</v>
      </c>
      <c r="P49" s="350"/>
      <c r="Q49" s="350"/>
      <c r="R49" s="356">
        <f>O49/INTGRATE!$N$293</f>
        <v>2552.1739130434785</v>
      </c>
      <c r="S49" s="349">
        <f t="shared" si="0"/>
        <v>3.5753833049403743</v>
      </c>
      <c r="T49" s="472"/>
      <c r="U49" s="139"/>
      <c r="V49" s="956" t="str">
        <f t="shared" si="1"/>
        <v>511S25</v>
      </c>
      <c r="W49" s="943">
        <v>114301</v>
      </c>
      <c r="X49" s="455">
        <v>0</v>
      </c>
      <c r="Y49" s="455">
        <v>0</v>
      </c>
      <c r="Z49" s="100">
        <v>0</v>
      </c>
      <c r="AA49" s="100">
        <v>0</v>
      </c>
      <c r="AB49" s="100"/>
      <c r="AC49" s="100">
        <v>0</v>
      </c>
      <c r="AD49" s="100">
        <v>0</v>
      </c>
      <c r="AE49" s="100">
        <v>0</v>
      </c>
      <c r="AF49" s="100">
        <v>0</v>
      </c>
      <c r="AG49" s="100">
        <v>0</v>
      </c>
      <c r="AH49" s="494">
        <v>8250</v>
      </c>
      <c r="AI49" s="100"/>
      <c r="AJ49" s="100">
        <v>0</v>
      </c>
      <c r="AK49" s="100">
        <v>0</v>
      </c>
      <c r="AL49" s="100">
        <v>0</v>
      </c>
      <c r="AM49" s="100">
        <v>9450</v>
      </c>
      <c r="AN49" s="100">
        <v>0</v>
      </c>
      <c r="AO49" s="494">
        <v>0</v>
      </c>
      <c r="AP49" s="100"/>
      <c r="AQ49" s="494">
        <v>0</v>
      </c>
      <c r="AR49" s="100">
        <v>0</v>
      </c>
      <c r="AS49" s="100">
        <v>0</v>
      </c>
      <c r="AT49" s="100">
        <v>0</v>
      </c>
      <c r="AU49" s="100">
        <v>0</v>
      </c>
      <c r="AV49" s="100">
        <v>16000</v>
      </c>
      <c r="AW49" s="100"/>
      <c r="AX49" s="248"/>
      <c r="AY49" s="100">
        <v>25000</v>
      </c>
      <c r="AZ49" s="100"/>
      <c r="BA49" s="100"/>
      <c r="BB49" s="100"/>
      <c r="BC49" s="300">
        <f t="shared" si="8"/>
        <v>58700</v>
      </c>
      <c r="BD49" s="896">
        <f t="shared" si="9"/>
        <v>4</v>
      </c>
      <c r="BE49" s="896">
        <f t="shared" si="10"/>
        <v>14675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>
        <v>0</v>
      </c>
      <c r="Y50" s="455">
        <v>0</v>
      </c>
      <c r="Z50" s="100">
        <v>0</v>
      </c>
      <c r="AA50" s="100">
        <v>0</v>
      </c>
      <c r="AB50" s="100"/>
      <c r="AC50" s="100">
        <v>0</v>
      </c>
      <c r="AD50" s="100">
        <v>0</v>
      </c>
      <c r="AE50" s="100">
        <v>0</v>
      </c>
      <c r="AF50" s="100">
        <v>0</v>
      </c>
      <c r="AG50" s="100">
        <v>0</v>
      </c>
      <c r="AH50" s="494">
        <v>0</v>
      </c>
      <c r="AI50" s="100"/>
      <c r="AJ50" s="100">
        <v>0</v>
      </c>
      <c r="AK50" s="100">
        <v>0</v>
      </c>
      <c r="AL50" s="100">
        <v>0</v>
      </c>
      <c r="AM50" s="100">
        <v>0</v>
      </c>
      <c r="AN50" s="100">
        <v>0</v>
      </c>
      <c r="AO50" s="494">
        <v>0</v>
      </c>
      <c r="AP50" s="100"/>
      <c r="AQ50" s="494">
        <v>0</v>
      </c>
      <c r="AR50" s="100">
        <v>0</v>
      </c>
      <c r="AS50" s="100">
        <v>0</v>
      </c>
      <c r="AT50" s="100">
        <v>0</v>
      </c>
      <c r="AU50" s="100">
        <v>0</v>
      </c>
      <c r="AV50" s="100">
        <v>0</v>
      </c>
      <c r="AW50" s="100"/>
      <c r="AX50" s="248"/>
      <c r="AY50" s="100">
        <v>0</v>
      </c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5" si="19">IF(R51=0,0,N51/R51)</f>
        <v>0</v>
      </c>
      <c r="T51" s="578"/>
      <c r="U51" s="139"/>
      <c r="V51" s="956" t="str">
        <f t="shared" ref="V51:V106" si="20">B51&amp;D51</f>
        <v>511A25</v>
      </c>
      <c r="W51" s="943">
        <v>113001</v>
      </c>
      <c r="X51" s="455">
        <v>0</v>
      </c>
      <c r="Y51" s="455">
        <v>0</v>
      </c>
      <c r="Z51" s="100">
        <v>0</v>
      </c>
      <c r="AA51" s="100">
        <v>0</v>
      </c>
      <c r="AB51" s="100"/>
      <c r="AC51" s="100">
        <v>0</v>
      </c>
      <c r="AD51" s="100">
        <v>0</v>
      </c>
      <c r="AE51" s="100">
        <v>0</v>
      </c>
      <c r="AF51" s="100">
        <v>0</v>
      </c>
      <c r="AG51" s="100">
        <v>0</v>
      </c>
      <c r="AH51" s="100">
        <v>0</v>
      </c>
      <c r="AI51" s="100"/>
      <c r="AJ51" s="100">
        <v>0</v>
      </c>
      <c r="AK51" s="100">
        <v>0</v>
      </c>
      <c r="AL51" s="100">
        <v>0</v>
      </c>
      <c r="AM51" s="100">
        <v>0</v>
      </c>
      <c r="AN51" s="100">
        <v>0</v>
      </c>
      <c r="AO51" s="100">
        <v>0</v>
      </c>
      <c r="AP51" s="100"/>
      <c r="AQ51" s="100">
        <v>0</v>
      </c>
      <c r="AR51" s="100">
        <v>0</v>
      </c>
      <c r="AS51" s="100">
        <v>0</v>
      </c>
      <c r="AT51" s="100">
        <v>0</v>
      </c>
      <c r="AU51" s="100">
        <v>0</v>
      </c>
      <c r="AV51" s="100">
        <v>0</v>
      </c>
      <c r="AW51" s="100"/>
      <c r="AX51" s="248"/>
      <c r="AY51" s="100">
        <v>0</v>
      </c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>
        <v>0</v>
      </c>
      <c r="Y52" s="455">
        <v>0</v>
      </c>
      <c r="Z52" s="100">
        <v>0</v>
      </c>
      <c r="AA52" s="100">
        <v>0</v>
      </c>
      <c r="AB52" s="100"/>
      <c r="AC52" s="100">
        <v>0</v>
      </c>
      <c r="AD52" s="100">
        <v>0</v>
      </c>
      <c r="AE52" s="100">
        <v>0</v>
      </c>
      <c r="AF52" s="100">
        <v>0</v>
      </c>
      <c r="AG52" s="100">
        <v>0</v>
      </c>
      <c r="AH52" s="494">
        <v>0</v>
      </c>
      <c r="AI52" s="100"/>
      <c r="AJ52" s="100">
        <v>0</v>
      </c>
      <c r="AK52" s="100">
        <v>0</v>
      </c>
      <c r="AL52" s="100">
        <v>0</v>
      </c>
      <c r="AM52" s="100">
        <v>0</v>
      </c>
      <c r="AN52" s="100">
        <v>0</v>
      </c>
      <c r="AO52" s="494">
        <v>0</v>
      </c>
      <c r="AP52" s="100"/>
      <c r="AQ52" s="494">
        <v>0</v>
      </c>
      <c r="AR52" s="100">
        <v>0</v>
      </c>
      <c r="AS52" s="100">
        <v>0</v>
      </c>
      <c r="AT52" s="100">
        <v>0</v>
      </c>
      <c r="AU52" s="100">
        <v>0</v>
      </c>
      <c r="AV52" s="100">
        <v>0</v>
      </c>
      <c r="AW52" s="100"/>
      <c r="AX52" s="248"/>
      <c r="AY52" s="100">
        <v>0</v>
      </c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>
        <v>0</v>
      </c>
      <c r="Y53" s="455">
        <v>0</v>
      </c>
      <c r="Z53" s="100">
        <v>0</v>
      </c>
      <c r="AA53" s="100">
        <v>0</v>
      </c>
      <c r="AB53" s="100"/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494">
        <v>0</v>
      </c>
      <c r="AI53" s="100"/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494">
        <v>0</v>
      </c>
      <c r="AP53" s="100"/>
      <c r="AQ53" s="494">
        <v>0</v>
      </c>
      <c r="AR53" s="100">
        <v>0</v>
      </c>
      <c r="AS53" s="100">
        <v>0</v>
      </c>
      <c r="AT53" s="100">
        <v>0</v>
      </c>
      <c r="AU53" s="100">
        <v>0</v>
      </c>
      <c r="AV53" s="100">
        <v>0</v>
      </c>
      <c r="AW53" s="100"/>
      <c r="AX53" s="248"/>
      <c r="AY53" s="100">
        <v>0</v>
      </c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2243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306</v>
      </c>
      <c r="J54" s="100">
        <f>SUMIF(data!$D:$D,$B54&amp;$D54,data!$K:$K)</f>
        <v>7650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1937</v>
      </c>
      <c r="N54" s="354">
        <f t="shared" si="6"/>
        <v>48425</v>
      </c>
      <c r="O54" s="357">
        <f t="shared" si="7"/>
        <v>95475</v>
      </c>
      <c r="P54" s="350"/>
      <c r="Q54" s="350"/>
      <c r="R54" s="356">
        <f>O54/INTGRATE!$N$293</f>
        <v>4151.086956521739</v>
      </c>
      <c r="S54" s="349">
        <f t="shared" si="19"/>
        <v>11.665619272060749</v>
      </c>
      <c r="T54" s="630"/>
      <c r="U54" s="139"/>
      <c r="V54" s="956" t="str">
        <f t="shared" si="20"/>
        <v>511AS25</v>
      </c>
      <c r="W54" s="943">
        <v>113301</v>
      </c>
      <c r="X54" s="455">
        <v>0</v>
      </c>
      <c r="Y54" s="455">
        <v>0</v>
      </c>
      <c r="Z54" s="100">
        <v>16000</v>
      </c>
      <c r="AA54" s="100">
        <v>26000</v>
      </c>
      <c r="AB54" s="100"/>
      <c r="AC54" s="100">
        <v>0</v>
      </c>
      <c r="AD54" s="100">
        <v>0</v>
      </c>
      <c r="AE54" s="100">
        <v>0</v>
      </c>
      <c r="AF54" s="100">
        <v>16000</v>
      </c>
      <c r="AG54" s="100">
        <v>0</v>
      </c>
      <c r="AH54" s="494">
        <v>7250</v>
      </c>
      <c r="AI54" s="100"/>
      <c r="AJ54" s="100">
        <v>16000</v>
      </c>
      <c r="AK54" s="100">
        <v>0</v>
      </c>
      <c r="AL54" s="100">
        <v>6575</v>
      </c>
      <c r="AM54" s="100">
        <v>0</v>
      </c>
      <c r="AN54" s="100">
        <v>0</v>
      </c>
      <c r="AO54" s="494">
        <v>0</v>
      </c>
      <c r="AP54" s="100"/>
      <c r="AQ54" s="494">
        <v>0</v>
      </c>
      <c r="AR54" s="100">
        <v>0</v>
      </c>
      <c r="AS54" s="100">
        <v>0</v>
      </c>
      <c r="AT54" s="100">
        <v>0</v>
      </c>
      <c r="AU54" s="100">
        <v>0</v>
      </c>
      <c r="AV54" s="100">
        <v>0</v>
      </c>
      <c r="AW54" s="100"/>
      <c r="AX54" s="248"/>
      <c r="AY54" s="100">
        <v>7650</v>
      </c>
      <c r="AZ54" s="100"/>
      <c r="BA54" s="100"/>
      <c r="BB54" s="100"/>
      <c r="BC54" s="300">
        <f t="shared" si="8"/>
        <v>95475</v>
      </c>
      <c r="BD54" s="896">
        <f t="shared" si="9"/>
        <v>7</v>
      </c>
      <c r="BE54" s="896">
        <f t="shared" si="10"/>
        <v>13639.285714285714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4986</v>
      </c>
      <c r="F55" s="100">
        <f>SUMIF(pro!$A:$A,$V:$V,pro!$N:$N)</f>
        <v>646</v>
      </c>
      <c r="G55" s="356"/>
      <c r="H55" s="100">
        <f>SUMIF(CBIN!$A:$A,BRAN!$V:$V,CBIN!$G:$G)</f>
        <v>0</v>
      </c>
      <c r="I55" s="100">
        <f>SUMIF(data!$D:$D,$B55&amp;$D55,data!$J:$J)</f>
        <v>3967</v>
      </c>
      <c r="J55" s="100">
        <f>SUMIF(data!$D:$D,$B55&amp;$D55,data!$K:$K)</f>
        <v>99175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1665</v>
      </c>
      <c r="N55" s="354">
        <f t="shared" si="6"/>
        <v>41625</v>
      </c>
      <c r="O55" s="357">
        <f t="shared" si="7"/>
        <v>704800</v>
      </c>
      <c r="P55" s="350"/>
      <c r="Q55" s="350"/>
      <c r="R55" s="356">
        <f>O55/INTGRATE!$N$293</f>
        <v>30643.478260869564</v>
      </c>
      <c r="S55" s="349">
        <f t="shared" si="19"/>
        <v>1.3583640749148695</v>
      </c>
      <c r="T55" s="578"/>
      <c r="U55" s="139"/>
      <c r="V55" s="956" t="str">
        <f t="shared" si="20"/>
        <v>511B25</v>
      </c>
      <c r="W55" s="943" t="s">
        <v>881</v>
      </c>
      <c r="X55" s="455">
        <v>15025</v>
      </c>
      <c r="Y55" s="455">
        <v>19875</v>
      </c>
      <c r="Z55" s="100">
        <v>27725</v>
      </c>
      <c r="AA55" s="100">
        <v>58175</v>
      </c>
      <c r="AB55" s="100"/>
      <c r="AC55" s="100">
        <v>19025</v>
      </c>
      <c r="AD55" s="100">
        <v>26250</v>
      </c>
      <c r="AE55" s="100">
        <v>6625</v>
      </c>
      <c r="AF55" s="100">
        <v>10950</v>
      </c>
      <c r="AG55" s="100">
        <v>38150</v>
      </c>
      <c r="AH55" s="100">
        <v>38650</v>
      </c>
      <c r="AI55" s="100"/>
      <c r="AJ55" s="100">
        <v>23150</v>
      </c>
      <c r="AK55" s="100">
        <v>19225</v>
      </c>
      <c r="AL55" s="100">
        <v>14525</v>
      </c>
      <c r="AM55" s="100">
        <v>44150</v>
      </c>
      <c r="AN55" s="100">
        <v>47275</v>
      </c>
      <c r="AO55" s="100">
        <v>20800</v>
      </c>
      <c r="AP55" s="100"/>
      <c r="AQ55" s="100">
        <v>25750</v>
      </c>
      <c r="AR55" s="100">
        <v>27750</v>
      </c>
      <c r="AS55" s="100">
        <v>21875</v>
      </c>
      <c r="AT55" s="100">
        <v>15275</v>
      </c>
      <c r="AU55" s="100">
        <v>38475</v>
      </c>
      <c r="AV55" s="100">
        <v>46925</v>
      </c>
      <c r="AW55" s="100"/>
      <c r="AX55" s="248"/>
      <c r="AY55" s="100">
        <v>99175</v>
      </c>
      <c r="AZ55" s="100"/>
      <c r="BA55" s="100"/>
      <c r="BB55" s="100"/>
      <c r="BC55" s="300">
        <f t="shared" si="8"/>
        <v>704800</v>
      </c>
      <c r="BD55" s="896">
        <f t="shared" si="9"/>
        <v>23</v>
      </c>
      <c r="BE55" s="896">
        <f t="shared" si="10"/>
        <v>30643.478260869564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66</v>
      </c>
      <c r="C56" s="172" t="s">
        <v>40</v>
      </c>
      <c r="D56" s="173">
        <v>25</v>
      </c>
      <c r="E56" s="356">
        <v>0</v>
      </c>
      <c r="F56" s="100">
        <f>SUMIF(pro!$A:$A,$V:$V,pro!$N:$N)</f>
        <v>0</v>
      </c>
      <c r="G56" s="356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356">
        <f>SUMIF(AJOUT!$A:$A,BRAN!$V:$V,AJOUT!$L:$L)</f>
        <v>0</v>
      </c>
      <c r="L56" s="356">
        <f>SUMIF(CBOUT!$A:$A,BRAN!$V:$V,CBOUT!$G:$G)</f>
        <v>0</v>
      </c>
      <c r="M56" s="540">
        <f t="shared" si="18"/>
        <v>0</v>
      </c>
      <c r="N56" s="354">
        <f t="shared" si="6"/>
        <v>0</v>
      </c>
      <c r="O56" s="357">
        <f t="shared" si="7"/>
        <v>0</v>
      </c>
      <c r="P56" s="350"/>
      <c r="Q56" s="350"/>
      <c r="R56" s="356">
        <f>O56/INTGRATE!$N$293</f>
        <v>0</v>
      </c>
      <c r="S56" s="349">
        <f t="shared" si="19"/>
        <v>0</v>
      </c>
      <c r="T56" s="472"/>
      <c r="U56" s="139"/>
      <c r="V56" s="956" t="str">
        <f t="shared" si="20"/>
        <v>511C25</v>
      </c>
      <c r="W56" s="943">
        <v>114001</v>
      </c>
      <c r="X56" s="455">
        <v>0</v>
      </c>
      <c r="Y56" s="455">
        <v>0</v>
      </c>
      <c r="Z56" s="100">
        <v>0</v>
      </c>
      <c r="AA56" s="100">
        <v>0</v>
      </c>
      <c r="AB56" s="100"/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/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/>
      <c r="AQ56" s="100">
        <v>0</v>
      </c>
      <c r="AR56" s="100">
        <v>0</v>
      </c>
      <c r="AS56" s="100">
        <v>0</v>
      </c>
      <c r="AT56" s="100">
        <v>0</v>
      </c>
      <c r="AU56" s="100">
        <v>0</v>
      </c>
      <c r="AV56" s="100">
        <v>0</v>
      </c>
      <c r="AW56" s="100"/>
      <c r="AX56" s="248"/>
      <c r="AY56" s="100">
        <v>0</v>
      </c>
      <c r="AZ56" s="100"/>
      <c r="BA56" s="100"/>
      <c r="BB56" s="100"/>
      <c r="BC56" s="300">
        <f t="shared" si="8"/>
        <v>0</v>
      </c>
      <c r="BD56" s="896">
        <f t="shared" si="9"/>
        <v>0</v>
      </c>
      <c r="BE56" s="896">
        <f t="shared" si="10"/>
        <v>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8</v>
      </c>
      <c r="C57" s="169" t="s">
        <v>40</v>
      </c>
      <c r="D57" s="173">
        <v>25</v>
      </c>
      <c r="E57" s="356">
        <v>228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40</v>
      </c>
      <c r="J57" s="100">
        <f>SUMIF(data!$D:$D,$B57&amp;$D57,data!$K:$K)</f>
        <v>1000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188</v>
      </c>
      <c r="N57" s="354">
        <f t="shared" si="6"/>
        <v>4700</v>
      </c>
      <c r="O57" s="357">
        <f t="shared" si="7"/>
        <v>30000</v>
      </c>
      <c r="P57" s="350"/>
      <c r="Q57" s="350"/>
      <c r="R57" s="356">
        <f>O57/INTGRATE!$N$293</f>
        <v>1304.3478260869565</v>
      </c>
      <c r="S57" s="349">
        <f t="shared" si="19"/>
        <v>3.6033333333333335</v>
      </c>
      <c r="T57" s="472"/>
      <c r="U57" s="139"/>
      <c r="V57" s="956" t="str">
        <f t="shared" si="20"/>
        <v>511L25</v>
      </c>
      <c r="W57" s="943">
        <v>162001</v>
      </c>
      <c r="X57" s="455">
        <v>925</v>
      </c>
      <c r="Y57" s="455">
        <v>750</v>
      </c>
      <c r="Z57" s="100">
        <v>5750</v>
      </c>
      <c r="AA57" s="100">
        <v>1875</v>
      </c>
      <c r="AB57" s="100"/>
      <c r="AC57" s="100">
        <v>1875</v>
      </c>
      <c r="AD57" s="100">
        <v>0</v>
      </c>
      <c r="AE57" s="100">
        <v>250</v>
      </c>
      <c r="AF57" s="100">
        <v>1250</v>
      </c>
      <c r="AG57" s="100">
        <v>250</v>
      </c>
      <c r="AH57" s="100">
        <v>250</v>
      </c>
      <c r="AI57" s="100"/>
      <c r="AJ57" s="100">
        <v>750</v>
      </c>
      <c r="AK57" s="100">
        <v>3125</v>
      </c>
      <c r="AL57" s="100">
        <v>1875</v>
      </c>
      <c r="AM57" s="100">
        <v>0</v>
      </c>
      <c r="AN57" s="100">
        <v>75</v>
      </c>
      <c r="AO57" s="100">
        <v>2000</v>
      </c>
      <c r="AP57" s="100"/>
      <c r="AQ57" s="100">
        <v>4625</v>
      </c>
      <c r="AR57" s="100">
        <v>700</v>
      </c>
      <c r="AS57" s="100">
        <v>0</v>
      </c>
      <c r="AT57" s="100">
        <v>375</v>
      </c>
      <c r="AU57" s="100">
        <v>1300</v>
      </c>
      <c r="AV57" s="100">
        <v>1000</v>
      </c>
      <c r="AW57" s="100"/>
      <c r="AX57" s="248"/>
      <c r="AY57" s="100">
        <v>1000</v>
      </c>
      <c r="AZ57" s="100"/>
      <c r="BA57" s="100"/>
      <c r="BB57" s="100"/>
      <c r="BC57" s="300">
        <f t="shared" si="8"/>
        <v>30000</v>
      </c>
      <c r="BD57" s="896">
        <f t="shared" si="9"/>
        <v>20</v>
      </c>
      <c r="BE57" s="896">
        <f t="shared" si="10"/>
        <v>1500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111</v>
      </c>
      <c r="C58" s="204" t="s">
        <v>40</v>
      </c>
      <c r="D58" s="173">
        <v>25</v>
      </c>
      <c r="E58" s="356">
        <v>1255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112</v>
      </c>
      <c r="J58" s="100">
        <f>SUMIF(data!$D:$D,$B58&amp;$D58,data!$K:$K)</f>
        <v>2800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1143</v>
      </c>
      <c r="N58" s="354">
        <f t="shared" si="6"/>
        <v>28575</v>
      </c>
      <c r="O58" s="357">
        <f t="shared" si="7"/>
        <v>132950</v>
      </c>
      <c r="P58" s="350"/>
      <c r="Q58" s="350"/>
      <c r="R58" s="356">
        <f>O58/INTGRATE!$N$293</f>
        <v>5780.434782608696</v>
      </c>
      <c r="S58" s="349">
        <f t="shared" si="19"/>
        <v>4.9433997743512599</v>
      </c>
      <c r="T58" s="472"/>
      <c r="U58" s="139"/>
      <c r="V58" s="956" t="str">
        <f t="shared" si="20"/>
        <v>511M25</v>
      </c>
      <c r="W58" s="943">
        <v>162201</v>
      </c>
      <c r="X58" s="455">
        <v>2000</v>
      </c>
      <c r="Y58" s="455">
        <v>2225</v>
      </c>
      <c r="Z58" s="100">
        <v>10225</v>
      </c>
      <c r="AA58" s="100">
        <v>8800</v>
      </c>
      <c r="AB58" s="100"/>
      <c r="AC58" s="100">
        <v>8725</v>
      </c>
      <c r="AD58" s="100">
        <v>0</v>
      </c>
      <c r="AE58" s="100">
        <v>11025</v>
      </c>
      <c r="AF58" s="100">
        <v>875</v>
      </c>
      <c r="AG58" s="100">
        <v>5300</v>
      </c>
      <c r="AH58" s="100">
        <v>18100</v>
      </c>
      <c r="AI58" s="100"/>
      <c r="AJ58" s="100">
        <v>6275</v>
      </c>
      <c r="AK58" s="100">
        <v>4650</v>
      </c>
      <c r="AL58" s="100">
        <v>2250</v>
      </c>
      <c r="AM58" s="100">
        <v>1925</v>
      </c>
      <c r="AN58" s="100">
        <v>2125</v>
      </c>
      <c r="AO58" s="100">
        <v>3450</v>
      </c>
      <c r="AP58" s="100"/>
      <c r="AQ58" s="100">
        <v>6975</v>
      </c>
      <c r="AR58" s="100">
        <v>3625</v>
      </c>
      <c r="AS58" s="100">
        <v>13850</v>
      </c>
      <c r="AT58" s="100">
        <v>1250</v>
      </c>
      <c r="AU58" s="100">
        <v>3425</v>
      </c>
      <c r="AV58" s="100">
        <v>13075</v>
      </c>
      <c r="AW58" s="100"/>
      <c r="AX58" s="248"/>
      <c r="AY58" s="100">
        <v>2800</v>
      </c>
      <c r="AZ58" s="100"/>
      <c r="BA58" s="100"/>
      <c r="BB58" s="100"/>
      <c r="BC58" s="300">
        <f t="shared" si="8"/>
        <v>132950</v>
      </c>
      <c r="BD58" s="896">
        <f t="shared" si="9"/>
        <v>22</v>
      </c>
      <c r="BE58" s="896">
        <f t="shared" si="10"/>
        <v>6043.181818181818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113</v>
      </c>
      <c r="C59" s="172" t="s">
        <v>115</v>
      </c>
      <c r="D59" s="173">
        <v>25</v>
      </c>
      <c r="E59" s="356">
        <v>0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0</v>
      </c>
      <c r="N59" s="354">
        <f t="shared" si="6"/>
        <v>0</v>
      </c>
      <c r="O59" s="357">
        <f t="shared" si="7"/>
        <v>0</v>
      </c>
      <c r="P59" s="350"/>
      <c r="Q59" s="350"/>
      <c r="R59" s="356">
        <f>O59/INTGRATE!$N$293</f>
        <v>0</v>
      </c>
      <c r="S59" s="349">
        <f t="shared" si="19"/>
        <v>0</v>
      </c>
      <c r="T59" s="472"/>
      <c r="U59" s="139"/>
      <c r="V59" s="956" t="str">
        <f t="shared" si="20"/>
        <v>512M25</v>
      </c>
      <c r="W59" s="943">
        <v>162301</v>
      </c>
      <c r="X59" s="455">
        <v>0</v>
      </c>
      <c r="Y59" s="455">
        <v>0</v>
      </c>
      <c r="Z59" s="100">
        <v>0</v>
      </c>
      <c r="AA59" s="100">
        <v>0</v>
      </c>
      <c r="AB59" s="100"/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/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/>
      <c r="AQ59" s="100">
        <v>0</v>
      </c>
      <c r="AR59" s="100">
        <v>0</v>
      </c>
      <c r="AS59" s="100">
        <v>0</v>
      </c>
      <c r="AT59" s="100">
        <v>0</v>
      </c>
      <c r="AU59" s="100">
        <v>0</v>
      </c>
      <c r="AV59" s="100">
        <v>0</v>
      </c>
      <c r="AW59" s="100"/>
      <c r="AX59" s="248"/>
      <c r="AY59" s="100">
        <v>0</v>
      </c>
      <c r="AZ59" s="100"/>
      <c r="BA59" s="100"/>
      <c r="BB59" s="100"/>
      <c r="BC59" s="300">
        <f t="shared" si="8"/>
        <v>0</v>
      </c>
      <c r="BD59" s="896">
        <f t="shared" si="9"/>
        <v>0</v>
      </c>
      <c r="BE59" s="896">
        <f t="shared" si="10"/>
        <v>0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>
        <v>513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51325</v>
      </c>
      <c r="W60" s="943">
        <v>115001</v>
      </c>
      <c r="X60" s="455">
        <v>0</v>
      </c>
      <c r="Y60" s="455">
        <v>0</v>
      </c>
      <c r="Z60" s="100">
        <v>0</v>
      </c>
      <c r="AA60" s="100">
        <v>0</v>
      </c>
      <c r="AB60" s="100"/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/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/>
      <c r="AQ60" s="100">
        <v>0</v>
      </c>
      <c r="AR60" s="100">
        <v>0</v>
      </c>
      <c r="AS60" s="100">
        <v>0</v>
      </c>
      <c r="AT60" s="100">
        <v>0</v>
      </c>
      <c r="AU60" s="100">
        <v>0</v>
      </c>
      <c r="AV60" s="100">
        <v>0</v>
      </c>
      <c r="AW60" s="100"/>
      <c r="AX60" s="248"/>
      <c r="AY60" s="100">
        <v>0</v>
      </c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63">
        <v>502</v>
      </c>
      <c r="C61" s="163" t="s">
        <v>1504</v>
      </c>
      <c r="D61" s="164">
        <v>25</v>
      </c>
      <c r="E61" s="356">
        <v>258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50</v>
      </c>
      <c r="J61" s="100">
        <f>SUMIF(data!$D:$D,$B61&amp;$D61,data!$K:$K)</f>
        <v>1250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208</v>
      </c>
      <c r="N61" s="354">
        <f t="shared" si="6"/>
        <v>5200</v>
      </c>
      <c r="O61" s="357">
        <f t="shared" si="7"/>
        <v>83000</v>
      </c>
      <c r="P61" s="350"/>
      <c r="Q61" s="350"/>
      <c r="R61" s="356">
        <f>O61/INTGRATE!$N$293</f>
        <v>3608.695652173913</v>
      </c>
      <c r="S61" s="349">
        <f>IF(R61=0,0,N61/R61)</f>
        <v>1.4409638554216868</v>
      </c>
      <c r="T61" s="472"/>
      <c r="U61" s="139"/>
      <c r="V61" s="956" t="str">
        <f t="shared" si="20"/>
        <v>50225</v>
      </c>
      <c r="W61" s="943">
        <v>546001</v>
      </c>
      <c r="X61" s="455">
        <v>0</v>
      </c>
      <c r="Y61" s="455">
        <v>7250</v>
      </c>
      <c r="Z61" s="100">
        <v>7500</v>
      </c>
      <c r="AA61" s="100">
        <v>8750</v>
      </c>
      <c r="AB61" s="100"/>
      <c r="AC61" s="100">
        <v>0</v>
      </c>
      <c r="AD61" s="100">
        <v>0</v>
      </c>
      <c r="AE61" s="100">
        <v>0</v>
      </c>
      <c r="AF61" s="100">
        <v>11500</v>
      </c>
      <c r="AG61" s="100">
        <v>0</v>
      </c>
      <c r="AH61" s="100">
        <v>6000</v>
      </c>
      <c r="AI61" s="100"/>
      <c r="AJ61" s="100">
        <v>0</v>
      </c>
      <c r="AK61" s="100">
        <v>0</v>
      </c>
      <c r="AL61" s="100">
        <v>5000</v>
      </c>
      <c r="AM61" s="100">
        <v>7500</v>
      </c>
      <c r="AN61" s="100">
        <v>7250</v>
      </c>
      <c r="AO61" s="100">
        <v>3750</v>
      </c>
      <c r="AP61" s="100"/>
      <c r="AQ61" s="100">
        <v>0</v>
      </c>
      <c r="AR61" s="100">
        <v>0</v>
      </c>
      <c r="AS61" s="100">
        <v>0</v>
      </c>
      <c r="AT61" s="100">
        <v>0</v>
      </c>
      <c r="AU61" s="100">
        <v>7250</v>
      </c>
      <c r="AV61" s="100">
        <v>10000</v>
      </c>
      <c r="AW61" s="100"/>
      <c r="AX61" s="248"/>
      <c r="AY61" s="100">
        <v>1250</v>
      </c>
      <c r="AZ61" s="100"/>
      <c r="BA61" s="100"/>
      <c r="BB61" s="100"/>
      <c r="BC61" s="300">
        <f t="shared" si="8"/>
        <v>83000</v>
      </c>
      <c r="BD61" s="896">
        <f t="shared" si="9"/>
        <v>12</v>
      </c>
      <c r="BE61" s="896">
        <f t="shared" si="10"/>
        <v>6916.666666666667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909" t="s">
        <v>81</v>
      </c>
      <c r="E62" s="356"/>
      <c r="F62" s="494">
        <f>+J62</f>
        <v>13820</v>
      </c>
      <c r="G62" s="494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13820</v>
      </c>
      <c r="K62" s="356"/>
      <c r="L62" s="356"/>
      <c r="M62" s="540"/>
      <c r="N62" s="354"/>
      <c r="O62" s="357">
        <f>SUM(X62:BB62)</f>
        <v>105870</v>
      </c>
      <c r="P62" s="350"/>
      <c r="Q62" s="350"/>
      <c r="R62" s="356">
        <f>O62/INTGRATE!$N$293</f>
        <v>4603.04347826087</v>
      </c>
      <c r="S62" s="349">
        <f>IF(R62=0,0,N62/R62)</f>
        <v>0</v>
      </c>
      <c r="T62" s="472"/>
      <c r="U62" s="139"/>
      <c r="V62" s="956" t="str">
        <f>B62&amp;D62</f>
        <v>502SILO</v>
      </c>
      <c r="W62" s="943">
        <v>546001</v>
      </c>
      <c r="X62" s="455">
        <v>13900</v>
      </c>
      <c r="Y62" s="455">
        <v>0</v>
      </c>
      <c r="Z62" s="100">
        <v>0</v>
      </c>
      <c r="AA62" s="100">
        <v>11930</v>
      </c>
      <c r="AB62" s="100"/>
      <c r="AC62" s="100">
        <v>0</v>
      </c>
      <c r="AD62" s="100">
        <v>13990</v>
      </c>
      <c r="AE62" s="100">
        <v>0</v>
      </c>
      <c r="AF62" s="100">
        <v>0</v>
      </c>
      <c r="AG62" s="100">
        <v>0</v>
      </c>
      <c r="AH62" s="100">
        <v>13970</v>
      </c>
      <c r="AI62" s="100"/>
      <c r="AJ62" s="100">
        <v>0</v>
      </c>
      <c r="AK62" s="100">
        <v>0</v>
      </c>
      <c r="AL62" s="100">
        <v>0</v>
      </c>
      <c r="AM62" s="100">
        <v>13890</v>
      </c>
      <c r="AN62" s="100">
        <v>0</v>
      </c>
      <c r="AO62" s="100">
        <v>0</v>
      </c>
      <c r="AP62" s="100"/>
      <c r="AQ62" s="100">
        <v>12850</v>
      </c>
      <c r="AR62" s="100">
        <v>0</v>
      </c>
      <c r="AS62" s="100">
        <v>0</v>
      </c>
      <c r="AT62" s="100">
        <v>0</v>
      </c>
      <c r="AU62" s="100">
        <v>11520</v>
      </c>
      <c r="AV62" s="100">
        <v>0</v>
      </c>
      <c r="AW62" s="100"/>
      <c r="AX62" s="248"/>
      <c r="AY62" s="100">
        <v>13820</v>
      </c>
      <c r="AZ62" s="100"/>
      <c r="BA62" s="100"/>
      <c r="BB62" s="100"/>
      <c r="BC62" s="300">
        <f t="shared" si="8"/>
        <v>105870</v>
      </c>
      <c r="BD62" s="896">
        <f t="shared" si="9"/>
        <v>8</v>
      </c>
      <c r="BE62" s="896">
        <f t="shared" si="10"/>
        <v>13233.75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202">
        <v>521</v>
      </c>
      <c r="C63" s="202" t="s">
        <v>115</v>
      </c>
      <c r="D63" s="203">
        <v>25</v>
      </c>
      <c r="E63" s="356">
        <v>151</v>
      </c>
      <c r="F63" s="100">
        <f>SUMIF(pro!$A:$A,$V:$V,pro!$N:$N)</f>
        <v>0</v>
      </c>
      <c r="G63" s="356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356">
        <f>SUMIF(AJOUT!$A:$A,BRAN!$V:$V,AJOUT!$L:$L)</f>
        <v>0</v>
      </c>
      <c r="L63" s="356">
        <f>SUMIF(CBOUT!$A:$A,BRAN!$V:$V,CBOUT!$G:$G)</f>
        <v>0</v>
      </c>
      <c r="M63" s="540">
        <f t="shared" si="18"/>
        <v>151</v>
      </c>
      <c r="N63" s="354">
        <f t="shared" si="6"/>
        <v>3775</v>
      </c>
      <c r="O63" s="357">
        <f t="shared" si="7"/>
        <v>2350</v>
      </c>
      <c r="P63" s="350"/>
      <c r="Q63" s="350"/>
      <c r="R63" s="356">
        <f>O63/INTGRATE!$N$293</f>
        <v>102.17391304347827</v>
      </c>
      <c r="S63" s="349">
        <f t="shared" si="19"/>
        <v>36.946808510638299</v>
      </c>
      <c r="T63" s="472"/>
      <c r="U63" s="139"/>
      <c r="V63" s="956" t="str">
        <f t="shared" si="20"/>
        <v>52125</v>
      </c>
      <c r="W63" s="943">
        <v>122001</v>
      </c>
      <c r="X63" s="455">
        <v>0</v>
      </c>
      <c r="Y63" s="455">
        <v>0</v>
      </c>
      <c r="Z63" s="100">
        <v>0</v>
      </c>
      <c r="AA63" s="100">
        <v>0</v>
      </c>
      <c r="AB63" s="100"/>
      <c r="AC63" s="100">
        <v>0</v>
      </c>
      <c r="AD63" s="100">
        <v>0</v>
      </c>
      <c r="AE63" s="100">
        <v>0</v>
      </c>
      <c r="AF63" s="100">
        <v>0</v>
      </c>
      <c r="AG63" s="100">
        <v>250</v>
      </c>
      <c r="AH63" s="100">
        <v>0</v>
      </c>
      <c r="AI63" s="100"/>
      <c r="AJ63" s="100">
        <v>100</v>
      </c>
      <c r="AK63" s="100">
        <v>0</v>
      </c>
      <c r="AL63" s="100">
        <v>0</v>
      </c>
      <c r="AM63" s="100">
        <v>1000</v>
      </c>
      <c r="AN63" s="100">
        <v>0</v>
      </c>
      <c r="AO63" s="100">
        <v>0</v>
      </c>
      <c r="AP63" s="100"/>
      <c r="AQ63" s="100">
        <v>0</v>
      </c>
      <c r="AR63" s="100">
        <v>0</v>
      </c>
      <c r="AS63" s="100">
        <v>0</v>
      </c>
      <c r="AT63" s="100">
        <v>1000</v>
      </c>
      <c r="AU63" s="100">
        <v>0</v>
      </c>
      <c r="AV63" s="100">
        <v>0</v>
      </c>
      <c r="AW63" s="100"/>
      <c r="AX63" s="248"/>
      <c r="AY63" s="100">
        <v>0</v>
      </c>
      <c r="AZ63" s="100"/>
      <c r="BA63" s="100"/>
      <c r="BB63" s="100"/>
      <c r="BC63" s="300">
        <f t="shared" si="8"/>
        <v>2350</v>
      </c>
      <c r="BD63" s="896">
        <f t="shared" si="9"/>
        <v>4</v>
      </c>
      <c r="BE63" s="896">
        <f t="shared" si="10"/>
        <v>587.5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 t="s">
        <v>81</v>
      </c>
      <c r="E64" s="494">
        <v>0</v>
      </c>
      <c r="F64" s="494">
        <f>+J64</f>
        <v>0</v>
      </c>
      <c r="G64" s="494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>E64+F64+H64-I64-L64+G64-K64</f>
        <v>0</v>
      </c>
      <c r="N64" s="354">
        <f t="shared" si="6"/>
        <v>0</v>
      </c>
      <c r="O64" s="357">
        <f t="shared" si="7"/>
        <v>0</v>
      </c>
      <c r="P64" s="417"/>
      <c r="Q64" s="417"/>
      <c r="R64" s="390">
        <f>O64/INTGRATE!$N$293</f>
        <v>0</v>
      </c>
      <c r="S64" s="349">
        <f t="shared" si="19"/>
        <v>0</v>
      </c>
      <c r="T64" s="472"/>
      <c r="U64" s="139"/>
      <c r="V64" s="956" t="str">
        <f t="shared" si="20"/>
        <v>521SILO</v>
      </c>
      <c r="W64" s="943">
        <v>122001</v>
      </c>
      <c r="X64" s="455">
        <v>0</v>
      </c>
      <c r="Y64" s="455">
        <v>0</v>
      </c>
      <c r="Z64" s="100">
        <v>0</v>
      </c>
      <c r="AA64" s="100">
        <v>0</v>
      </c>
      <c r="AB64" s="100"/>
      <c r="AC64" s="100">
        <v>0</v>
      </c>
      <c r="AD64" s="100">
        <v>0</v>
      </c>
      <c r="AE64" s="100">
        <v>0</v>
      </c>
      <c r="AF64" s="100">
        <v>0</v>
      </c>
      <c r="AG64" s="100">
        <v>0</v>
      </c>
      <c r="AH64" s="494">
        <v>0</v>
      </c>
      <c r="AI64" s="100"/>
      <c r="AJ64" s="100">
        <v>0</v>
      </c>
      <c r="AK64" s="100">
        <v>0</v>
      </c>
      <c r="AL64" s="100">
        <v>0</v>
      </c>
      <c r="AM64" s="100">
        <v>0</v>
      </c>
      <c r="AN64" s="100">
        <v>0</v>
      </c>
      <c r="AO64" s="494">
        <v>0</v>
      </c>
      <c r="AP64" s="100"/>
      <c r="AQ64" s="494">
        <v>0</v>
      </c>
      <c r="AR64" s="100">
        <v>0</v>
      </c>
      <c r="AS64" s="100">
        <v>0</v>
      </c>
      <c r="AT64" s="100">
        <v>0</v>
      </c>
      <c r="AU64" s="100">
        <v>0</v>
      </c>
      <c r="AV64" s="100">
        <v>0</v>
      </c>
      <c r="AW64" s="100"/>
      <c r="AX64" s="248"/>
      <c r="AY64" s="100">
        <v>0</v>
      </c>
      <c r="AZ64" s="100"/>
      <c r="BA64" s="100"/>
      <c r="BB64" s="100"/>
      <c r="BC64" s="300">
        <f t="shared" si="8"/>
        <v>0</v>
      </c>
      <c r="BD64" s="896">
        <f t="shared" si="9"/>
        <v>0</v>
      </c>
      <c r="BE64" s="896">
        <f t="shared" si="10"/>
        <v>0</v>
      </c>
      <c r="BF64" s="85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60" t="s">
        <v>1829</v>
      </c>
      <c r="C65" s="202" t="s">
        <v>115</v>
      </c>
      <c r="D65" s="203">
        <v>25</v>
      </c>
      <c r="E65" s="91">
        <v>0</v>
      </c>
      <c r="F65" s="100">
        <f>SUMIF(pro!$A:$A,$V:$V,pro!$N:$N)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>IF(R65=0,0,N65/R65)</f>
        <v>0</v>
      </c>
      <c r="T65" s="472"/>
      <c r="U65" s="139"/>
      <c r="V65" s="956" t="str">
        <f t="shared" si="20"/>
        <v>521SPro25</v>
      </c>
      <c r="W65" s="943">
        <v>121701</v>
      </c>
      <c r="X65" s="455">
        <v>0</v>
      </c>
      <c r="Y65" s="455">
        <v>0</v>
      </c>
      <c r="Z65" s="100">
        <v>0</v>
      </c>
      <c r="AA65" s="100">
        <v>0</v>
      </c>
      <c r="AB65" s="100"/>
      <c r="AC65" s="100">
        <v>0</v>
      </c>
      <c r="AD65" s="100">
        <v>0</v>
      </c>
      <c r="AE65" s="100">
        <v>0</v>
      </c>
      <c r="AF65" s="100">
        <v>0</v>
      </c>
      <c r="AG65" s="100">
        <v>0</v>
      </c>
      <c r="AH65" s="494">
        <v>0</v>
      </c>
      <c r="AI65" s="100"/>
      <c r="AJ65" s="100">
        <v>0</v>
      </c>
      <c r="AK65" s="100">
        <v>0</v>
      </c>
      <c r="AL65" s="100">
        <v>0</v>
      </c>
      <c r="AM65" s="100">
        <v>0</v>
      </c>
      <c r="AN65" s="100">
        <v>0</v>
      </c>
      <c r="AO65" s="494">
        <v>0</v>
      </c>
      <c r="AP65" s="100"/>
      <c r="AQ65" s="494">
        <v>0</v>
      </c>
      <c r="AR65" s="100">
        <v>0</v>
      </c>
      <c r="AS65" s="100">
        <v>0</v>
      </c>
      <c r="AT65" s="100">
        <v>0</v>
      </c>
      <c r="AU65" s="100">
        <v>0</v>
      </c>
      <c r="AV65" s="100">
        <v>0</v>
      </c>
      <c r="AW65" s="100"/>
      <c r="AX65" s="248"/>
      <c r="AY65" s="100">
        <v>0</v>
      </c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60" t="s">
        <v>1668</v>
      </c>
      <c r="C66" s="202" t="s">
        <v>115</v>
      </c>
      <c r="D66" s="203">
        <v>25</v>
      </c>
      <c r="E66" s="494">
        <v>0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0</v>
      </c>
      <c r="N66" s="354">
        <f t="shared" si="6"/>
        <v>0</v>
      </c>
      <c r="O66" s="357">
        <f t="shared" si="7"/>
        <v>0</v>
      </c>
      <c r="P66" s="417"/>
      <c r="Q66" s="417"/>
      <c r="R66" s="390">
        <f>O66/INTGRATE!$N$293</f>
        <v>0</v>
      </c>
      <c r="S66" s="349">
        <f t="shared" si="19"/>
        <v>0</v>
      </c>
      <c r="T66" s="472"/>
      <c r="U66" s="139"/>
      <c r="V66" s="956" t="str">
        <f t="shared" si="20"/>
        <v>521Pro25</v>
      </c>
      <c r="W66" s="943">
        <v>122721</v>
      </c>
      <c r="X66" s="455">
        <v>0</v>
      </c>
      <c r="Y66" s="455">
        <v>0</v>
      </c>
      <c r="Z66" s="100">
        <v>0</v>
      </c>
      <c r="AA66" s="100">
        <v>0</v>
      </c>
      <c r="AB66" s="100"/>
      <c r="AC66" s="100">
        <v>0</v>
      </c>
      <c r="AD66" s="100">
        <v>0</v>
      </c>
      <c r="AE66" s="100">
        <v>0</v>
      </c>
      <c r="AF66" s="100">
        <v>0</v>
      </c>
      <c r="AG66" s="100">
        <v>0</v>
      </c>
      <c r="AH66" s="494">
        <v>0</v>
      </c>
      <c r="AI66" s="100"/>
      <c r="AJ66" s="100">
        <v>0</v>
      </c>
      <c r="AK66" s="100">
        <v>0</v>
      </c>
      <c r="AL66" s="100">
        <v>0</v>
      </c>
      <c r="AM66" s="100">
        <v>0</v>
      </c>
      <c r="AN66" s="100">
        <v>0</v>
      </c>
      <c r="AO66" s="494">
        <v>0</v>
      </c>
      <c r="AP66" s="100"/>
      <c r="AQ66" s="494">
        <v>0</v>
      </c>
      <c r="AR66" s="100">
        <v>0</v>
      </c>
      <c r="AS66" s="100">
        <v>0</v>
      </c>
      <c r="AT66" s="100">
        <v>0</v>
      </c>
      <c r="AU66" s="100">
        <v>0</v>
      </c>
      <c r="AV66" s="100">
        <v>0</v>
      </c>
      <c r="AW66" s="100"/>
      <c r="AX66" s="248"/>
      <c r="AY66" s="100">
        <v>0</v>
      </c>
      <c r="AZ66" s="100"/>
      <c r="BA66" s="100"/>
      <c r="BB66" s="100"/>
      <c r="BC66" s="300">
        <f t="shared" si="8"/>
        <v>0</v>
      </c>
      <c r="BD66" s="896">
        <f t="shared" si="9"/>
        <v>0</v>
      </c>
      <c r="BE66" s="896">
        <f t="shared" si="10"/>
        <v>0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60" t="s">
        <v>131</v>
      </c>
      <c r="C67" s="202" t="s">
        <v>115</v>
      </c>
      <c r="D67" s="203" t="s">
        <v>81</v>
      </c>
      <c r="E67" s="390">
        <v>0</v>
      </c>
      <c r="F67" s="494">
        <f>+J67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522(silo)SILO</v>
      </c>
      <c r="W67" s="943">
        <v>123001</v>
      </c>
      <c r="X67" s="455">
        <v>0</v>
      </c>
      <c r="Y67" s="455">
        <v>0</v>
      </c>
      <c r="Z67" s="100">
        <v>0</v>
      </c>
      <c r="AA67" s="100">
        <v>0</v>
      </c>
      <c r="AB67" s="100"/>
      <c r="AC67" s="100">
        <v>0</v>
      </c>
      <c r="AD67" s="100">
        <v>0</v>
      </c>
      <c r="AE67" s="100">
        <v>0</v>
      </c>
      <c r="AF67" s="100">
        <v>0</v>
      </c>
      <c r="AG67" s="100">
        <v>0</v>
      </c>
      <c r="AH67" s="494">
        <v>0</v>
      </c>
      <c r="AI67" s="100"/>
      <c r="AJ67" s="100">
        <v>0</v>
      </c>
      <c r="AK67" s="100">
        <v>0</v>
      </c>
      <c r="AL67" s="100">
        <v>0</v>
      </c>
      <c r="AM67" s="100">
        <v>0</v>
      </c>
      <c r="AN67" s="100">
        <v>0</v>
      </c>
      <c r="AO67" s="494">
        <v>0</v>
      </c>
      <c r="AP67" s="100"/>
      <c r="AQ67" s="494">
        <v>0</v>
      </c>
      <c r="AR67" s="100">
        <v>0</v>
      </c>
      <c r="AS67" s="100">
        <v>0</v>
      </c>
      <c r="AT67" s="100">
        <v>0</v>
      </c>
      <c r="AU67" s="100">
        <v>0</v>
      </c>
      <c r="AV67" s="100">
        <v>0</v>
      </c>
      <c r="AW67" s="100"/>
      <c r="AX67" s="248"/>
      <c r="AY67" s="100">
        <v>0</v>
      </c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>
        <v>522</v>
      </c>
      <c r="C68" s="636" t="s">
        <v>115</v>
      </c>
      <c r="D68" s="203">
        <v>25</v>
      </c>
      <c r="E68" s="642">
        <v>0</v>
      </c>
      <c r="F68" s="100">
        <f>SUMIF(pro!$A:$A,$V:$V,pro!$N:$N)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 t="shared" ref="M68:M83" si="21">E68+F68+H68-I68-L68+G68-K68</f>
        <v>0</v>
      </c>
      <c r="N68" s="354">
        <f t="shared" si="6"/>
        <v>0</v>
      </c>
      <c r="O68" s="357">
        <f t="shared" si="7"/>
        <v>2650</v>
      </c>
      <c r="P68" s="350"/>
      <c r="Q68" s="350"/>
      <c r="R68" s="356">
        <f>O68/INTGRATE!$N$293</f>
        <v>115.21739130434783</v>
      </c>
      <c r="S68" s="349">
        <f t="shared" si="19"/>
        <v>0</v>
      </c>
      <c r="T68" s="472"/>
      <c r="U68" s="139"/>
      <c r="V68" s="956" t="str">
        <f t="shared" si="20"/>
        <v>52225</v>
      </c>
      <c r="W68" s="943">
        <v>123001</v>
      </c>
      <c r="X68" s="455">
        <v>0</v>
      </c>
      <c r="Y68" s="455">
        <v>0</v>
      </c>
      <c r="Z68" s="100">
        <v>1250</v>
      </c>
      <c r="AA68" s="100">
        <v>0</v>
      </c>
      <c r="AB68" s="100"/>
      <c r="AC68" s="100">
        <v>0</v>
      </c>
      <c r="AD68" s="100">
        <v>1400</v>
      </c>
      <c r="AE68" s="100">
        <v>0</v>
      </c>
      <c r="AF68" s="100">
        <v>0</v>
      </c>
      <c r="AG68" s="100">
        <v>0</v>
      </c>
      <c r="AH68" s="100">
        <v>0</v>
      </c>
      <c r="AI68" s="100"/>
      <c r="AJ68" s="100">
        <v>0</v>
      </c>
      <c r="AK68" s="100">
        <v>0</v>
      </c>
      <c r="AL68" s="100">
        <v>0</v>
      </c>
      <c r="AM68" s="100">
        <v>0</v>
      </c>
      <c r="AN68" s="100">
        <v>0</v>
      </c>
      <c r="AO68" s="100">
        <v>0</v>
      </c>
      <c r="AP68" s="100"/>
      <c r="AQ68" s="100">
        <v>0</v>
      </c>
      <c r="AR68" s="100">
        <v>0</v>
      </c>
      <c r="AS68" s="100">
        <v>0</v>
      </c>
      <c r="AT68" s="100">
        <v>0</v>
      </c>
      <c r="AU68" s="100">
        <v>0</v>
      </c>
      <c r="AV68" s="100">
        <v>0</v>
      </c>
      <c r="AW68" s="100"/>
      <c r="AX68" s="248"/>
      <c r="AY68" s="100">
        <v>0</v>
      </c>
      <c r="AZ68" s="100"/>
      <c r="BA68" s="100"/>
      <c r="BB68" s="100"/>
      <c r="BC68" s="300">
        <f t="shared" si="8"/>
        <v>2650</v>
      </c>
      <c r="BD68" s="896">
        <f t="shared" si="9"/>
        <v>2</v>
      </c>
      <c r="BE68" s="896">
        <f t="shared" si="10"/>
        <v>1325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 t="s">
        <v>1616</v>
      </c>
      <c r="C69" s="636" t="s">
        <v>115</v>
      </c>
      <c r="D69" s="203">
        <v>25</v>
      </c>
      <c r="E69" s="642">
        <v>0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si="21"/>
        <v>0</v>
      </c>
      <c r="N69" s="354">
        <f t="shared" si="6"/>
        <v>0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>IF(R69=0,0,N69/R69)</f>
        <v>0</v>
      </c>
      <c r="T69" s="472"/>
      <c r="U69" s="139"/>
      <c r="V69" s="956" t="str">
        <f t="shared" si="20"/>
        <v>522Pro25</v>
      </c>
      <c r="W69" s="943">
        <v>123701</v>
      </c>
      <c r="X69" s="455">
        <v>0</v>
      </c>
      <c r="Y69" s="455">
        <v>0</v>
      </c>
      <c r="Z69" s="100">
        <v>0</v>
      </c>
      <c r="AA69" s="100">
        <v>0</v>
      </c>
      <c r="AB69" s="100"/>
      <c r="AC69" s="100">
        <v>0</v>
      </c>
      <c r="AD69" s="100">
        <v>0</v>
      </c>
      <c r="AE69" s="100">
        <v>0</v>
      </c>
      <c r="AF69" s="100">
        <v>0</v>
      </c>
      <c r="AG69" s="100">
        <v>0</v>
      </c>
      <c r="AH69" s="100">
        <v>0</v>
      </c>
      <c r="AI69" s="100"/>
      <c r="AJ69" s="100">
        <v>0</v>
      </c>
      <c r="AK69" s="100">
        <v>0</v>
      </c>
      <c r="AL69" s="100">
        <v>0</v>
      </c>
      <c r="AM69" s="100">
        <v>0</v>
      </c>
      <c r="AN69" s="100">
        <v>0</v>
      </c>
      <c r="AO69" s="100">
        <v>0</v>
      </c>
      <c r="AP69" s="100"/>
      <c r="AQ69" s="100">
        <v>0</v>
      </c>
      <c r="AR69" s="100">
        <v>0</v>
      </c>
      <c r="AS69" s="100">
        <v>0</v>
      </c>
      <c r="AT69" s="100">
        <v>0</v>
      </c>
      <c r="AU69" s="100">
        <v>0</v>
      </c>
      <c r="AV69" s="100">
        <v>0</v>
      </c>
      <c r="AW69" s="100"/>
      <c r="AX69" s="248"/>
      <c r="AY69" s="100">
        <v>0</v>
      </c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2463</v>
      </c>
      <c r="C70" s="636" t="s">
        <v>115</v>
      </c>
      <c r="D70" s="203" t="s">
        <v>81</v>
      </c>
      <c r="E70" s="642"/>
      <c r="F70" s="100">
        <f>J70</f>
        <v>0</v>
      </c>
      <c r="G70" s="494"/>
      <c r="H70" s="100"/>
      <c r="I70" s="100"/>
      <c r="J70" s="100">
        <f>SUMIF(data!$D:$D,$B70&amp;$D70,data!$K:$K)</f>
        <v>0</v>
      </c>
      <c r="K70" s="356"/>
      <c r="L70" s="356"/>
      <c r="M70" s="540"/>
      <c r="N70" s="354"/>
      <c r="O70" s="357">
        <f t="shared" ref="O70" si="22">SUM(X70:BB70)</f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522PProSILO</v>
      </c>
      <c r="W70" s="943">
        <v>12370832</v>
      </c>
      <c r="X70" s="455">
        <v>0</v>
      </c>
      <c r="Y70" s="455">
        <v>0</v>
      </c>
      <c r="Z70" s="100">
        <v>0</v>
      </c>
      <c r="AA70" s="100">
        <v>0</v>
      </c>
      <c r="AB70" s="100"/>
      <c r="AC70" s="100">
        <v>0</v>
      </c>
      <c r="AD70" s="100">
        <v>0</v>
      </c>
      <c r="AE70" s="100">
        <v>0</v>
      </c>
      <c r="AF70" s="100">
        <v>0</v>
      </c>
      <c r="AG70" s="100">
        <v>0</v>
      </c>
      <c r="AH70" s="100">
        <v>0</v>
      </c>
      <c r="AI70" s="100"/>
      <c r="AJ70" s="100">
        <v>0</v>
      </c>
      <c r="AK70" s="100">
        <v>0</v>
      </c>
      <c r="AL70" s="100">
        <v>0</v>
      </c>
      <c r="AM70" s="100">
        <v>0</v>
      </c>
      <c r="AN70" s="100">
        <v>0</v>
      </c>
      <c r="AO70" s="100">
        <v>0</v>
      </c>
      <c r="AP70" s="100"/>
      <c r="AQ70" s="100">
        <v>0</v>
      </c>
      <c r="AR70" s="100">
        <v>0</v>
      </c>
      <c r="AS70" s="100">
        <v>0</v>
      </c>
      <c r="AT70" s="100">
        <v>0</v>
      </c>
      <c r="AU70" s="100">
        <v>0</v>
      </c>
      <c r="AV70" s="100">
        <v>0</v>
      </c>
      <c r="AW70" s="100"/>
      <c r="AX70" s="248"/>
      <c r="AY70" s="100">
        <v>0</v>
      </c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1892</v>
      </c>
      <c r="C71" s="636" t="s">
        <v>115</v>
      </c>
      <c r="D71" s="203">
        <v>25</v>
      </c>
      <c r="E71" s="642">
        <v>0</v>
      </c>
      <c r="F71" s="100">
        <f>SUMIF(pro!$A:$A,$V:$V,pro!$N:$N)</f>
        <v>0</v>
      </c>
      <c r="G71" s="494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356">
        <f>SUMIF(AJOUT!$A:$A,BRAN!$V:$V,AJOUT!$L:$L)</f>
        <v>0</v>
      </c>
      <c r="L71" s="356">
        <f>SUMIF(CBOUT!$A:$A,BRAN!$V:$V,CBOUT!$G:$G)</f>
        <v>0</v>
      </c>
      <c r="M71" s="540">
        <f>E71+F71+H71-I71-L71+G71-K71</f>
        <v>0</v>
      </c>
      <c r="N71" s="354">
        <f t="shared" si="6"/>
        <v>0</v>
      </c>
      <c r="O71" s="357">
        <f t="shared" si="7"/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524P25</v>
      </c>
      <c r="W71" s="943">
        <v>127008</v>
      </c>
      <c r="X71" s="455">
        <v>0</v>
      </c>
      <c r="Y71" s="455">
        <v>0</v>
      </c>
      <c r="Z71" s="100">
        <v>0</v>
      </c>
      <c r="AA71" s="100">
        <v>0</v>
      </c>
      <c r="AB71" s="100"/>
      <c r="AC71" s="100">
        <v>0</v>
      </c>
      <c r="AD71" s="100">
        <v>0</v>
      </c>
      <c r="AE71" s="100">
        <v>0</v>
      </c>
      <c r="AF71" s="100">
        <v>0</v>
      </c>
      <c r="AG71" s="100">
        <v>0</v>
      </c>
      <c r="AH71" s="100">
        <v>0</v>
      </c>
      <c r="AI71" s="100"/>
      <c r="AJ71" s="100">
        <v>0</v>
      </c>
      <c r="AK71" s="100">
        <v>0</v>
      </c>
      <c r="AL71" s="100">
        <v>0</v>
      </c>
      <c r="AM71" s="100">
        <v>0</v>
      </c>
      <c r="AN71" s="100">
        <v>0</v>
      </c>
      <c r="AO71" s="100">
        <v>0</v>
      </c>
      <c r="AP71" s="100"/>
      <c r="AQ71" s="100">
        <v>0</v>
      </c>
      <c r="AR71" s="100">
        <v>0</v>
      </c>
      <c r="AS71" s="100">
        <v>0</v>
      </c>
      <c r="AT71" s="100">
        <v>0</v>
      </c>
      <c r="AU71" s="100">
        <v>0</v>
      </c>
      <c r="AV71" s="100">
        <v>0</v>
      </c>
      <c r="AW71" s="100"/>
      <c r="AX71" s="248"/>
      <c r="AY71" s="100">
        <v>0</v>
      </c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202">
        <v>524</v>
      </c>
      <c r="C72" s="202" t="s">
        <v>115</v>
      </c>
      <c r="D72" s="203">
        <v>25</v>
      </c>
      <c r="E72" s="356">
        <v>5858</v>
      </c>
      <c r="F72" s="100">
        <f>SUMIF(pro!$A:$A,$V:$V,pro!$N:$N)</f>
        <v>0</v>
      </c>
      <c r="G72" s="356"/>
      <c r="H72" s="100">
        <f>SUMIF(CBIN!$A:$A,BRAN!$V:$V,CBIN!$G:$G)</f>
        <v>0</v>
      </c>
      <c r="I72" s="100">
        <f>SUMIF(data!$D:$D,$B72&amp;$D72,data!$J:$J)</f>
        <v>1675</v>
      </c>
      <c r="J72" s="100">
        <f>SUMIF(data!$D:$D,$B72&amp;$D72,data!$K:$K)</f>
        <v>41875</v>
      </c>
      <c r="K72" s="356">
        <f>SUMIF(AJOUT!$A:$A,BRAN!$V:$V,AJOUT!$L:$L)</f>
        <v>0</v>
      </c>
      <c r="L72" s="356">
        <f>SUMIF(CBOUT!$A:$A,BRAN!$V:$V,CBOUT!$G:$G)</f>
        <v>0</v>
      </c>
      <c r="M72" s="540">
        <f t="shared" si="21"/>
        <v>4183</v>
      </c>
      <c r="N72" s="354">
        <f t="shared" si="6"/>
        <v>104575</v>
      </c>
      <c r="O72" s="357">
        <f t="shared" si="7"/>
        <v>487575</v>
      </c>
      <c r="P72" s="350"/>
      <c r="Q72" s="350"/>
      <c r="R72" s="356">
        <f>O72/INTGRATE!$N$293</f>
        <v>21198.91304347826</v>
      </c>
      <c r="S72" s="349">
        <f t="shared" si="19"/>
        <v>4.9330359431882274</v>
      </c>
      <c r="T72" s="472"/>
      <c r="U72" s="139"/>
      <c r="V72" s="956" t="str">
        <f t="shared" si="20"/>
        <v>52425</v>
      </c>
      <c r="W72" s="943">
        <v>127001</v>
      </c>
      <c r="X72" s="455">
        <v>37450</v>
      </c>
      <c r="Y72" s="455">
        <v>11375</v>
      </c>
      <c r="Z72" s="100">
        <v>21250</v>
      </c>
      <c r="AA72" s="100">
        <v>9050</v>
      </c>
      <c r="AB72" s="100"/>
      <c r="AC72" s="100">
        <v>44650</v>
      </c>
      <c r="AD72" s="100">
        <v>29875</v>
      </c>
      <c r="AE72" s="100">
        <v>10225</v>
      </c>
      <c r="AF72" s="100">
        <v>17800</v>
      </c>
      <c r="AG72" s="100">
        <v>1150</v>
      </c>
      <c r="AH72" s="100">
        <v>16300</v>
      </c>
      <c r="AI72" s="100"/>
      <c r="AJ72" s="100">
        <v>16200</v>
      </c>
      <c r="AK72" s="100">
        <v>36975</v>
      </c>
      <c r="AL72" s="100">
        <v>22625</v>
      </c>
      <c r="AM72" s="100">
        <v>4775</v>
      </c>
      <c r="AN72" s="100">
        <v>19850</v>
      </c>
      <c r="AO72" s="100">
        <v>26300</v>
      </c>
      <c r="AP72" s="100"/>
      <c r="AQ72" s="100">
        <v>20250</v>
      </c>
      <c r="AR72" s="100">
        <v>11500</v>
      </c>
      <c r="AS72" s="100">
        <v>23925</v>
      </c>
      <c r="AT72" s="100">
        <v>16600</v>
      </c>
      <c r="AU72" s="100">
        <v>475</v>
      </c>
      <c r="AV72" s="100">
        <v>47100</v>
      </c>
      <c r="AW72" s="100"/>
      <c r="AX72" s="248"/>
      <c r="AY72" s="100">
        <v>41875</v>
      </c>
      <c r="AZ72" s="100"/>
      <c r="BA72" s="100"/>
      <c r="BB72" s="100"/>
      <c r="BC72" s="300">
        <f t="shared" si="8"/>
        <v>487575</v>
      </c>
      <c r="BD72" s="896">
        <f t="shared" si="9"/>
        <v>23</v>
      </c>
      <c r="BE72" s="896">
        <f t="shared" si="10"/>
        <v>21198.91304347826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60" t="s">
        <v>127</v>
      </c>
      <c r="C73" s="202" t="s">
        <v>115</v>
      </c>
      <c r="D73" s="203" t="s">
        <v>81</v>
      </c>
      <c r="E73" s="390">
        <v>0</v>
      </c>
      <c r="F73" s="494">
        <f>J73</f>
        <v>0</v>
      </c>
      <c r="G73" s="390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1"/>
        <v>0</v>
      </c>
      <c r="N73" s="354">
        <f t="shared" si="6"/>
        <v>0</v>
      </c>
      <c r="O73" s="357">
        <f t="shared" si="7"/>
        <v>0</v>
      </c>
      <c r="P73" s="417"/>
      <c r="Q73" s="417"/>
      <c r="R73" s="390">
        <f>O73/INTGRATE!$N$293</f>
        <v>0</v>
      </c>
      <c r="S73" s="349">
        <f t="shared" si="19"/>
        <v>0</v>
      </c>
      <c r="T73" s="472"/>
      <c r="U73" s="139"/>
      <c r="V73" s="956" t="str">
        <f t="shared" si="20"/>
        <v>524(silo)SILO</v>
      </c>
      <c r="W73" s="943">
        <v>127001</v>
      </c>
      <c r="X73" s="455">
        <v>0</v>
      </c>
      <c r="Y73" s="455">
        <v>0</v>
      </c>
      <c r="Z73" s="100">
        <v>0</v>
      </c>
      <c r="AA73" s="100">
        <v>0</v>
      </c>
      <c r="AB73" s="100"/>
      <c r="AC73" s="100">
        <v>0</v>
      </c>
      <c r="AD73" s="100">
        <v>0</v>
      </c>
      <c r="AE73" s="100">
        <v>0</v>
      </c>
      <c r="AF73" s="100">
        <v>0</v>
      </c>
      <c r="AG73" s="100">
        <v>0</v>
      </c>
      <c r="AH73" s="100">
        <v>0</v>
      </c>
      <c r="AI73" s="100"/>
      <c r="AJ73" s="100">
        <v>0</v>
      </c>
      <c r="AK73" s="100">
        <v>0</v>
      </c>
      <c r="AL73" s="100">
        <v>0</v>
      </c>
      <c r="AM73" s="100">
        <v>0</v>
      </c>
      <c r="AN73" s="100">
        <v>0</v>
      </c>
      <c r="AO73" s="100">
        <v>0</v>
      </c>
      <c r="AP73" s="100"/>
      <c r="AQ73" s="100">
        <v>0</v>
      </c>
      <c r="AR73" s="100">
        <v>0</v>
      </c>
      <c r="AS73" s="100">
        <v>0</v>
      </c>
      <c r="AT73" s="100">
        <v>0</v>
      </c>
      <c r="AU73" s="100">
        <v>0</v>
      </c>
      <c r="AV73" s="100">
        <v>0</v>
      </c>
      <c r="AW73" s="100"/>
      <c r="AX73" s="248"/>
      <c r="AY73" s="100">
        <v>0</v>
      </c>
      <c r="AZ73" s="100"/>
      <c r="BA73" s="100"/>
      <c r="BB73" s="100"/>
      <c r="BC73" s="300">
        <f t="shared" si="8"/>
        <v>0</v>
      </c>
      <c r="BD73" s="896">
        <f t="shared" si="9"/>
        <v>0</v>
      </c>
      <c r="BE73" s="896">
        <f t="shared" si="10"/>
        <v>0</v>
      </c>
      <c r="BF73" s="38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136</v>
      </c>
      <c r="C74" s="360" t="s">
        <v>115</v>
      </c>
      <c r="D74" s="203">
        <v>25</v>
      </c>
      <c r="E74" s="356">
        <v>0</v>
      </c>
      <c r="F74" s="100">
        <f>SUMIF(pro!$A:$A,$V:$V,pro!$N:$N)</f>
        <v>0</v>
      </c>
      <c r="G74" s="416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1"/>
        <v>0</v>
      </c>
      <c r="N74" s="354">
        <f t="shared" si="6"/>
        <v>0</v>
      </c>
      <c r="O74" s="357">
        <f t="shared" si="7"/>
        <v>0</v>
      </c>
      <c r="P74" s="415"/>
      <c r="Q74" s="415"/>
      <c r="R74" s="416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524A25</v>
      </c>
      <c r="W74" s="943">
        <v>127061</v>
      </c>
      <c r="X74" s="455">
        <v>0</v>
      </c>
      <c r="Y74" s="455">
        <v>0</v>
      </c>
      <c r="Z74" s="100">
        <v>0</v>
      </c>
      <c r="AA74" s="100">
        <v>0</v>
      </c>
      <c r="AB74" s="100"/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/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/>
      <c r="AQ74" s="100">
        <v>0</v>
      </c>
      <c r="AR74" s="100">
        <v>0</v>
      </c>
      <c r="AS74" s="100">
        <v>0</v>
      </c>
      <c r="AT74" s="100">
        <v>0</v>
      </c>
      <c r="AU74" s="100">
        <v>0</v>
      </c>
      <c r="AV74" s="100">
        <v>0</v>
      </c>
      <c r="AW74" s="100"/>
      <c r="AX74" s="248"/>
      <c r="AY74" s="100">
        <v>0</v>
      </c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61</v>
      </c>
      <c r="D75" s="97">
        <v>25</v>
      </c>
      <c r="E75" s="356">
        <v>782</v>
      </c>
      <c r="F75" s="100">
        <f>SUMIF(pro!$A:$A,$V:$V,pro!$N:$N)</f>
        <v>0</v>
      </c>
      <c r="G75" s="35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1"/>
        <v>782</v>
      </c>
      <c r="N75" s="354">
        <f t="shared" si="6"/>
        <v>19550</v>
      </c>
      <c r="O75" s="357">
        <f t="shared" si="7"/>
        <v>80500</v>
      </c>
      <c r="P75" s="350"/>
      <c r="Q75" s="350"/>
      <c r="R75" s="356">
        <f>O75/INTGRATE!$N$293</f>
        <v>3500</v>
      </c>
      <c r="S75" s="349">
        <f t="shared" si="19"/>
        <v>5.5857142857142854</v>
      </c>
      <c r="T75" s="472"/>
      <c r="U75" s="139"/>
      <c r="V75" s="956" t="str">
        <f t="shared" si="20"/>
        <v>54025</v>
      </c>
      <c r="W75" s="943">
        <v>204101</v>
      </c>
      <c r="X75" s="455">
        <v>0</v>
      </c>
      <c r="Y75" s="455">
        <v>0</v>
      </c>
      <c r="Z75" s="100">
        <v>0</v>
      </c>
      <c r="AA75" s="100">
        <v>0</v>
      </c>
      <c r="AB75" s="100"/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/>
      <c r="AJ75" s="100">
        <v>0</v>
      </c>
      <c r="AK75" s="100">
        <v>0</v>
      </c>
      <c r="AL75" s="100">
        <v>0</v>
      </c>
      <c r="AM75" s="100">
        <v>7375</v>
      </c>
      <c r="AN75" s="100">
        <v>13750</v>
      </c>
      <c r="AO75" s="100">
        <v>0</v>
      </c>
      <c r="AP75" s="100"/>
      <c r="AQ75" s="100">
        <v>9700</v>
      </c>
      <c r="AR75" s="100">
        <v>4875</v>
      </c>
      <c r="AS75" s="100">
        <v>6500</v>
      </c>
      <c r="AT75" s="100">
        <v>16025</v>
      </c>
      <c r="AU75" s="100">
        <v>9800</v>
      </c>
      <c r="AV75" s="100">
        <v>12475</v>
      </c>
      <c r="AW75" s="100"/>
      <c r="AX75" s="248"/>
      <c r="AY75" s="100">
        <v>0</v>
      </c>
      <c r="AZ75" s="100"/>
      <c r="BA75" s="100"/>
      <c r="BB75" s="100"/>
      <c r="BC75" s="300">
        <f t="shared" si="8"/>
        <v>80500</v>
      </c>
      <c r="BD75" s="896">
        <f t="shared" si="9"/>
        <v>8</v>
      </c>
      <c r="BE75" s="896">
        <f t="shared" si="10"/>
        <v>10062.5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61</v>
      </c>
      <c r="D76" s="97">
        <v>25</v>
      </c>
      <c r="E76" s="356">
        <v>0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1"/>
        <v>0</v>
      </c>
      <c r="N76" s="354">
        <f t="shared" si="6"/>
        <v>0</v>
      </c>
      <c r="O76" s="357">
        <f t="shared" si="7"/>
        <v>0</v>
      </c>
      <c r="P76" s="350"/>
      <c r="Q76" s="350"/>
      <c r="R76" s="356">
        <f>O76/INTGRATE!$N$293</f>
        <v>0</v>
      </c>
      <c r="S76" s="349">
        <f t="shared" si="19"/>
        <v>0</v>
      </c>
      <c r="T76" s="472"/>
      <c r="U76" s="139"/>
      <c r="V76" s="956" t="str">
        <f t="shared" si="20"/>
        <v>54325</v>
      </c>
      <c r="W76" s="943">
        <v>226001</v>
      </c>
      <c r="X76" s="455">
        <v>0</v>
      </c>
      <c r="Y76" s="455">
        <v>0</v>
      </c>
      <c r="Z76" s="100">
        <v>0</v>
      </c>
      <c r="AA76" s="100">
        <v>0</v>
      </c>
      <c r="AB76" s="100"/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/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/>
      <c r="AQ76" s="100">
        <v>0</v>
      </c>
      <c r="AR76" s="100">
        <v>0</v>
      </c>
      <c r="AS76" s="100">
        <v>0</v>
      </c>
      <c r="AT76" s="100">
        <v>0</v>
      </c>
      <c r="AU76" s="100">
        <v>0</v>
      </c>
      <c r="AV76" s="100">
        <v>0</v>
      </c>
      <c r="AW76" s="100"/>
      <c r="AX76" s="248"/>
      <c r="AY76" s="100">
        <v>0</v>
      </c>
      <c r="AZ76" s="100"/>
      <c r="BA76" s="100"/>
      <c r="BB76" s="100"/>
      <c r="BC76" s="300">
        <f t="shared" si="8"/>
        <v>0</v>
      </c>
      <c r="BD76" s="896">
        <f t="shared" si="9"/>
        <v>0</v>
      </c>
      <c r="BE76" s="896">
        <f t="shared" si="10"/>
        <v>0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61</v>
      </c>
      <c r="D77" s="97">
        <v>25</v>
      </c>
      <c r="E77" s="356">
        <v>504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102</v>
      </c>
      <c r="J77" s="100">
        <f>SUMIF(data!$D:$D,$B77&amp;$D77,data!$K:$K)</f>
        <v>2550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1"/>
        <v>402</v>
      </c>
      <c r="N77" s="354">
        <f t="shared" si="6"/>
        <v>10050</v>
      </c>
      <c r="O77" s="357">
        <f t="shared" si="7"/>
        <v>52400</v>
      </c>
      <c r="P77" s="350"/>
      <c r="Q77" s="350"/>
      <c r="R77" s="356">
        <f>O77/INTGRATE!$N$293</f>
        <v>2278.2608695652175</v>
      </c>
      <c r="S77" s="349">
        <f t="shared" si="19"/>
        <v>4.4112595419847329</v>
      </c>
      <c r="T77" s="472"/>
      <c r="U77" s="139"/>
      <c r="V77" s="956" t="str">
        <f t="shared" si="20"/>
        <v>54425</v>
      </c>
      <c r="W77" s="943">
        <v>216201</v>
      </c>
      <c r="X77" s="455">
        <v>625</v>
      </c>
      <c r="Y77" s="455">
        <v>1500</v>
      </c>
      <c r="Z77" s="100">
        <v>0</v>
      </c>
      <c r="AA77" s="100">
        <v>2325</v>
      </c>
      <c r="AB77" s="100"/>
      <c r="AC77" s="100">
        <v>1750</v>
      </c>
      <c r="AD77" s="100">
        <v>1425</v>
      </c>
      <c r="AE77" s="100">
        <v>4800</v>
      </c>
      <c r="AF77" s="100">
        <v>750</v>
      </c>
      <c r="AG77" s="100">
        <v>9250</v>
      </c>
      <c r="AH77" s="100">
        <v>1125</v>
      </c>
      <c r="AI77" s="100"/>
      <c r="AJ77" s="100">
        <v>1000</v>
      </c>
      <c r="AK77" s="100">
        <v>1625</v>
      </c>
      <c r="AL77" s="100">
        <v>875</v>
      </c>
      <c r="AM77" s="100">
        <v>1250</v>
      </c>
      <c r="AN77" s="100">
        <v>1750</v>
      </c>
      <c r="AO77" s="100">
        <v>7900</v>
      </c>
      <c r="AP77" s="100"/>
      <c r="AQ77" s="100">
        <v>250</v>
      </c>
      <c r="AR77" s="100">
        <v>500</v>
      </c>
      <c r="AS77" s="100">
        <v>2625</v>
      </c>
      <c r="AT77" s="100">
        <v>250</v>
      </c>
      <c r="AU77" s="100">
        <v>0</v>
      </c>
      <c r="AV77" s="100">
        <v>8275</v>
      </c>
      <c r="AW77" s="100"/>
      <c r="AX77" s="248"/>
      <c r="AY77" s="100">
        <v>2550</v>
      </c>
      <c r="AZ77" s="100"/>
      <c r="BA77" s="100"/>
      <c r="BB77" s="100"/>
      <c r="BC77" s="300">
        <f t="shared" si="8"/>
        <v>52400</v>
      </c>
      <c r="BD77" s="896">
        <f t="shared" si="9"/>
        <v>21</v>
      </c>
      <c r="BE77" s="896">
        <f t="shared" si="10"/>
        <v>2495.2380952380954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8">
        <v>40</v>
      </c>
      <c r="E78" s="356">
        <v>0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1"/>
        <v>0</v>
      </c>
      <c r="N78" s="354">
        <f>+M78*D78</f>
        <v>0</v>
      </c>
      <c r="O78" s="357">
        <f t="shared" si="7"/>
        <v>0</v>
      </c>
      <c r="P78" s="350"/>
      <c r="Q78" s="350"/>
      <c r="R78" s="356">
        <f>O78/INTGRATE!$N$293</f>
        <v>0</v>
      </c>
      <c r="S78" s="349">
        <f t="shared" si="19"/>
        <v>0</v>
      </c>
      <c r="T78" s="606"/>
      <c r="U78" s="139"/>
      <c r="V78" s="956" t="str">
        <f t="shared" si="20"/>
        <v>54440</v>
      </c>
      <c r="W78" s="943">
        <v>216201</v>
      </c>
      <c r="X78" s="455">
        <v>0</v>
      </c>
      <c r="Y78" s="455">
        <v>0</v>
      </c>
      <c r="Z78" s="100">
        <v>0</v>
      </c>
      <c r="AA78" s="100">
        <v>0</v>
      </c>
      <c r="AB78" s="100"/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/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/>
      <c r="AQ78" s="100">
        <v>0</v>
      </c>
      <c r="AR78" s="100">
        <v>0</v>
      </c>
      <c r="AS78" s="100">
        <v>0</v>
      </c>
      <c r="AT78" s="100">
        <v>0</v>
      </c>
      <c r="AU78" s="100">
        <v>0</v>
      </c>
      <c r="AV78" s="100">
        <v>0</v>
      </c>
      <c r="AW78" s="100"/>
      <c r="AX78" s="248"/>
      <c r="AY78" s="100">
        <v>0</v>
      </c>
      <c r="AZ78" s="100"/>
      <c r="BA78" s="100"/>
      <c r="BB78" s="100"/>
      <c r="BC78" s="300">
        <f t="shared" si="8"/>
        <v>0</v>
      </c>
      <c r="BD78" s="896">
        <f t="shared" si="9"/>
        <v>0</v>
      </c>
      <c r="BE78" s="896">
        <f t="shared" si="10"/>
        <v>0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61</v>
      </c>
      <c r="D79" s="98">
        <v>25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1"/>
        <v>0</v>
      </c>
      <c r="N79" s="354">
        <f t="shared" si="6"/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472"/>
      <c r="U79" s="139"/>
      <c r="V79" s="956" t="str">
        <f t="shared" si="20"/>
        <v>54525</v>
      </c>
      <c r="W79" s="943">
        <v>216201</v>
      </c>
      <c r="X79" s="455">
        <v>0</v>
      </c>
      <c r="Y79" s="455">
        <v>0</v>
      </c>
      <c r="Z79" s="100">
        <v>0</v>
      </c>
      <c r="AA79" s="100">
        <v>0</v>
      </c>
      <c r="AB79" s="100"/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/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/>
      <c r="AQ79" s="100">
        <v>0</v>
      </c>
      <c r="AR79" s="100">
        <v>0</v>
      </c>
      <c r="AS79" s="100">
        <v>0</v>
      </c>
      <c r="AT79" s="100">
        <v>0</v>
      </c>
      <c r="AU79" s="100">
        <v>0</v>
      </c>
      <c r="AV79" s="100">
        <v>0</v>
      </c>
      <c r="AW79" s="100"/>
      <c r="AX79" s="248"/>
      <c r="AY79" s="100">
        <v>0</v>
      </c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40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1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54540</v>
      </c>
      <c r="W80" s="943">
        <v>216251</v>
      </c>
      <c r="X80" s="455">
        <v>0</v>
      </c>
      <c r="Y80" s="455">
        <v>0</v>
      </c>
      <c r="Z80" s="100">
        <v>0</v>
      </c>
      <c r="AA80" s="100">
        <v>0</v>
      </c>
      <c r="AB80" s="100"/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/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/>
      <c r="AQ80" s="100">
        <v>0</v>
      </c>
      <c r="AR80" s="100">
        <v>0</v>
      </c>
      <c r="AS80" s="100">
        <v>0</v>
      </c>
      <c r="AT80" s="100">
        <v>0</v>
      </c>
      <c r="AU80" s="100">
        <v>0</v>
      </c>
      <c r="AV80" s="100">
        <v>0</v>
      </c>
      <c r="AW80" s="100"/>
      <c r="AX80" s="248"/>
      <c r="AY80" s="100">
        <v>0</v>
      </c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205" t="s">
        <v>40</v>
      </c>
      <c r="D81" s="97">
        <v>25</v>
      </c>
      <c r="E81" s="356">
        <v>328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17</v>
      </c>
      <c r="J81" s="100">
        <f>SUMIF(data!$D:$D,$B81&amp;$D81,data!$K:$K)</f>
        <v>425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1"/>
        <v>311</v>
      </c>
      <c r="N81" s="354">
        <f t="shared" si="6"/>
        <v>7775</v>
      </c>
      <c r="O81" s="357">
        <f t="shared" si="7"/>
        <v>52250</v>
      </c>
      <c r="P81" s="350"/>
      <c r="Q81" s="350"/>
      <c r="R81" s="356">
        <f>O81/INTGRATE!$N$293</f>
        <v>2271.7391304347825</v>
      </c>
      <c r="S81" s="349">
        <f t="shared" si="19"/>
        <v>3.4224880382775122</v>
      </c>
      <c r="T81" s="472"/>
      <c r="U81" s="139"/>
      <c r="V81" s="956" t="str">
        <f t="shared" si="20"/>
        <v>54825</v>
      </c>
      <c r="W81" s="943">
        <v>201101</v>
      </c>
      <c r="X81" s="455">
        <v>0</v>
      </c>
      <c r="Y81" s="455">
        <v>6550</v>
      </c>
      <c r="Z81" s="100">
        <v>150</v>
      </c>
      <c r="AA81" s="100">
        <v>4500</v>
      </c>
      <c r="AB81" s="100"/>
      <c r="AC81" s="100">
        <v>1375</v>
      </c>
      <c r="AD81" s="100">
        <v>1825</v>
      </c>
      <c r="AE81" s="100">
        <v>2625</v>
      </c>
      <c r="AF81" s="100">
        <v>0</v>
      </c>
      <c r="AG81" s="100">
        <v>125</v>
      </c>
      <c r="AH81" s="100">
        <v>0</v>
      </c>
      <c r="AI81" s="100"/>
      <c r="AJ81" s="100">
        <v>1550</v>
      </c>
      <c r="AK81" s="100">
        <v>1750</v>
      </c>
      <c r="AL81" s="100">
        <v>8150</v>
      </c>
      <c r="AM81" s="100">
        <v>0</v>
      </c>
      <c r="AN81" s="100">
        <v>4425</v>
      </c>
      <c r="AO81" s="100">
        <v>3625</v>
      </c>
      <c r="AP81" s="100"/>
      <c r="AQ81" s="100">
        <v>250</v>
      </c>
      <c r="AR81" s="100">
        <v>6650</v>
      </c>
      <c r="AS81" s="100">
        <v>4525</v>
      </c>
      <c r="AT81" s="100">
        <v>250</v>
      </c>
      <c r="AU81" s="100">
        <v>2975</v>
      </c>
      <c r="AV81" s="100">
        <v>525</v>
      </c>
      <c r="AW81" s="100"/>
      <c r="AX81" s="248"/>
      <c r="AY81" s="100">
        <v>425</v>
      </c>
      <c r="AZ81" s="100"/>
      <c r="BA81" s="100"/>
      <c r="BB81" s="100"/>
      <c r="BC81" s="300">
        <f t="shared" si="8"/>
        <v>52250</v>
      </c>
      <c r="BD81" s="896">
        <f t="shared" si="9"/>
        <v>19</v>
      </c>
      <c r="BE81" s="896">
        <f t="shared" si="10"/>
        <v>2750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1218</v>
      </c>
      <c r="C82" s="205" t="s">
        <v>40</v>
      </c>
      <c r="D82" s="97">
        <v>25</v>
      </c>
      <c r="E82" s="356">
        <v>0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1"/>
        <v>0</v>
      </c>
      <c r="N82" s="354">
        <f t="shared" si="6"/>
        <v>0</v>
      </c>
      <c r="O82" s="357">
        <f t="shared" si="7"/>
        <v>0</v>
      </c>
      <c r="P82" s="350"/>
      <c r="Q82" s="350"/>
      <c r="R82" s="356">
        <f>O82/INTGRATE!$N$293</f>
        <v>0</v>
      </c>
      <c r="S82" s="349">
        <f t="shared" si="19"/>
        <v>0</v>
      </c>
      <c r="T82" s="472"/>
      <c r="U82" s="139"/>
      <c r="V82" s="956" t="str">
        <f t="shared" si="20"/>
        <v>548M25</v>
      </c>
      <c r="W82" s="943">
        <v>201201</v>
      </c>
      <c r="X82" s="455">
        <v>0</v>
      </c>
      <c r="Y82" s="455">
        <v>0</v>
      </c>
      <c r="Z82" s="100">
        <v>0</v>
      </c>
      <c r="AA82" s="100">
        <v>0</v>
      </c>
      <c r="AB82" s="100"/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/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/>
      <c r="AQ82" s="100">
        <v>0</v>
      </c>
      <c r="AR82" s="100">
        <v>0</v>
      </c>
      <c r="AS82" s="100">
        <v>0</v>
      </c>
      <c r="AT82" s="100">
        <v>0</v>
      </c>
      <c r="AU82" s="100">
        <v>0</v>
      </c>
      <c r="AV82" s="100">
        <v>0</v>
      </c>
      <c r="AW82" s="100"/>
      <c r="AX82" s="248"/>
      <c r="AY82" s="100">
        <v>0</v>
      </c>
      <c r="AZ82" s="100"/>
      <c r="BA82" s="100"/>
      <c r="BB82" s="100"/>
      <c r="BC82" s="300">
        <f t="shared" si="8"/>
        <v>0</v>
      </c>
      <c r="BD82" s="896">
        <f t="shared" si="9"/>
        <v>0</v>
      </c>
      <c r="BE82" s="896">
        <f t="shared" si="10"/>
        <v>0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1219</v>
      </c>
      <c r="C83" s="96" t="s">
        <v>61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1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549M25</v>
      </c>
      <c r="W83" s="943">
        <v>203201</v>
      </c>
      <c r="X83" s="455">
        <v>0</v>
      </c>
      <c r="Y83" s="455">
        <v>0</v>
      </c>
      <c r="Z83" s="100">
        <v>0</v>
      </c>
      <c r="AA83" s="100">
        <v>0</v>
      </c>
      <c r="AB83" s="100"/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/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/>
      <c r="AQ83" s="100">
        <v>0</v>
      </c>
      <c r="AR83" s="100">
        <v>0</v>
      </c>
      <c r="AS83" s="100">
        <v>0</v>
      </c>
      <c r="AT83" s="100">
        <v>0</v>
      </c>
      <c r="AU83" s="100">
        <v>0</v>
      </c>
      <c r="AV83" s="100">
        <v>0</v>
      </c>
      <c r="AW83" s="100"/>
      <c r="AX83" s="248"/>
      <c r="AY83" s="100">
        <v>0</v>
      </c>
      <c r="AZ83" s="100"/>
      <c r="BA83" s="100"/>
      <c r="BB83" s="100"/>
      <c r="BC83" s="300">
        <f t="shared" ref="BC83:BC146" si="23">SUM(X83:BB83)</f>
        <v>0</v>
      </c>
      <c r="BD83" s="896">
        <f t="shared" ref="BD83:BD146" si="24">COUNTIF(X83:BB83,"&gt;0")</f>
        <v>0</v>
      </c>
      <c r="BE83" s="896">
        <f t="shared" ref="BE83:BE146" si="25">IFERROR(BC83/BD83,0)</f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 t="s">
        <v>81</v>
      </c>
      <c r="E84" s="494"/>
      <c r="F84" s="494">
        <f>+J84</f>
        <v>0</v>
      </c>
      <c r="G84" s="494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642">
        <f>SUMIF(AJOUT!$A:$A,BRAN!$V:$V,AJOUT!$L:$L)</f>
        <v>0</v>
      </c>
      <c r="L84" s="642">
        <f>SUMIF(CBOUT!$A:$A,BRAN!$V:$V,CBOUT!$G:$G)</f>
        <v>0</v>
      </c>
      <c r="M84" s="604"/>
      <c r="N84" s="354">
        <f t="shared" si="6"/>
        <v>0</v>
      </c>
      <c r="O84" s="357">
        <f t="shared" si="7"/>
        <v>0</v>
      </c>
      <c r="P84" s="496"/>
      <c r="Q84" s="496"/>
      <c r="R84" s="494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549MSILO</v>
      </c>
      <c r="W84" s="943">
        <v>203201</v>
      </c>
      <c r="X84" s="455">
        <v>0</v>
      </c>
      <c r="Y84" s="455">
        <v>0</v>
      </c>
      <c r="Z84" s="100">
        <v>0</v>
      </c>
      <c r="AA84" s="100">
        <v>0</v>
      </c>
      <c r="AB84" s="100"/>
      <c r="AC84" s="100">
        <v>0</v>
      </c>
      <c r="AD84" s="100">
        <v>0</v>
      </c>
      <c r="AE84" s="100">
        <v>0</v>
      </c>
      <c r="AF84" s="100">
        <v>0</v>
      </c>
      <c r="AG84" s="100">
        <v>0</v>
      </c>
      <c r="AH84" s="494">
        <v>0</v>
      </c>
      <c r="AI84" s="100"/>
      <c r="AJ84" s="100">
        <v>0</v>
      </c>
      <c r="AK84" s="100">
        <v>0</v>
      </c>
      <c r="AL84" s="100">
        <v>0</v>
      </c>
      <c r="AM84" s="100">
        <v>0</v>
      </c>
      <c r="AN84" s="100">
        <v>0</v>
      </c>
      <c r="AO84" s="494">
        <v>0</v>
      </c>
      <c r="AP84" s="100"/>
      <c r="AQ84" s="494">
        <v>0</v>
      </c>
      <c r="AR84" s="100">
        <v>0</v>
      </c>
      <c r="AS84" s="100">
        <v>0</v>
      </c>
      <c r="AT84" s="100">
        <v>0</v>
      </c>
      <c r="AU84" s="100">
        <v>0</v>
      </c>
      <c r="AV84" s="100">
        <v>0</v>
      </c>
      <c r="AW84" s="100"/>
      <c r="AX84" s="248"/>
      <c r="AY84" s="100">
        <v>0</v>
      </c>
      <c r="AZ84" s="100"/>
      <c r="BA84" s="100"/>
      <c r="BB84" s="100"/>
      <c r="BC84" s="300">
        <f t="shared" si="23"/>
        <v>0</v>
      </c>
      <c r="BD84" s="896">
        <f t="shared" si="24"/>
        <v>0</v>
      </c>
      <c r="BE84" s="896">
        <f t="shared" si="25"/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549SILO</v>
      </c>
      <c r="W85" s="943">
        <v>203201</v>
      </c>
      <c r="X85" s="455">
        <v>0</v>
      </c>
      <c r="Y85" s="455">
        <v>0</v>
      </c>
      <c r="Z85" s="100">
        <v>0</v>
      </c>
      <c r="AA85" s="100">
        <v>0</v>
      </c>
      <c r="AB85" s="100"/>
      <c r="AC85" s="100">
        <v>0</v>
      </c>
      <c r="AD85" s="100">
        <v>0</v>
      </c>
      <c r="AE85" s="100">
        <v>0</v>
      </c>
      <c r="AF85" s="100">
        <v>0</v>
      </c>
      <c r="AG85" s="100">
        <v>0</v>
      </c>
      <c r="AH85" s="494">
        <v>0</v>
      </c>
      <c r="AI85" s="100"/>
      <c r="AJ85" s="100">
        <v>0</v>
      </c>
      <c r="AK85" s="100">
        <v>0</v>
      </c>
      <c r="AL85" s="100">
        <v>0</v>
      </c>
      <c r="AM85" s="100">
        <v>0</v>
      </c>
      <c r="AN85" s="100">
        <v>0</v>
      </c>
      <c r="AO85" s="494">
        <v>0</v>
      </c>
      <c r="AP85" s="100"/>
      <c r="AQ85" s="494">
        <v>0</v>
      </c>
      <c r="AR85" s="100">
        <v>0</v>
      </c>
      <c r="AS85" s="100">
        <v>0</v>
      </c>
      <c r="AT85" s="100">
        <v>0</v>
      </c>
      <c r="AU85" s="100">
        <v>0</v>
      </c>
      <c r="AV85" s="100">
        <v>0</v>
      </c>
      <c r="AW85" s="100"/>
      <c r="AX85" s="248"/>
      <c r="AY85" s="100">
        <v>0</v>
      </c>
      <c r="AZ85" s="100"/>
      <c r="BA85" s="100"/>
      <c r="BB85" s="100"/>
      <c r="BC85" s="300">
        <f t="shared" si="23"/>
        <v>0</v>
      </c>
      <c r="BD85" s="896">
        <f t="shared" si="24"/>
        <v>0</v>
      </c>
      <c r="BE85" s="896">
        <f t="shared" si="25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>
        <v>25</v>
      </c>
      <c r="E86" s="356">
        <v>1552</v>
      </c>
      <c r="F86" s="100">
        <f>SUMIF(pro!$A:$A,$V:$V,pro!$N:$N)</f>
        <v>0</v>
      </c>
      <c r="G86" s="356"/>
      <c r="H86" s="100">
        <f>SUMIF(CBIN!$A:$A,BRAN!$V:$V,CBIN!$G:$G)</f>
        <v>0</v>
      </c>
      <c r="I86" s="100">
        <f>SUMIF(data!$D:$D,$B86&amp;$D86,data!$J:$J)</f>
        <v>260</v>
      </c>
      <c r="J86" s="100">
        <f>SUMIF(data!$D:$D,$B86&amp;$D86,data!$K:$K)</f>
        <v>6500</v>
      </c>
      <c r="K86" s="642">
        <f>SUMIF(AJOUT!$A:$A,BRAN!$V:$V,AJOUT!$L:$L)</f>
        <v>0</v>
      </c>
      <c r="L86" s="642">
        <f>SUMIF(CBOUT!$A:$A,BRAN!$V:$V,CBOUT!$G:$G)</f>
        <v>0</v>
      </c>
      <c r="M86" s="540">
        <f>E86+F86+H86-I86-L86+G86-K86</f>
        <v>1292</v>
      </c>
      <c r="N86" s="354">
        <f t="shared" ref="N86:N149" si="26">M86*25</f>
        <v>32300</v>
      </c>
      <c r="O86" s="357">
        <f t="shared" ref="O86:O149" si="27">SUM(X86:BB86)</f>
        <v>141775</v>
      </c>
      <c r="P86" s="350"/>
      <c r="Q86" s="350"/>
      <c r="R86" s="356">
        <f>O86/INTGRATE!$N$293</f>
        <v>6164.130434782609</v>
      </c>
      <c r="S86" s="349">
        <f t="shared" si="19"/>
        <v>5.2399929465702693</v>
      </c>
      <c r="T86" s="606"/>
      <c r="U86" s="139"/>
      <c r="V86" s="956" t="str">
        <f t="shared" si="20"/>
        <v>54925</v>
      </c>
      <c r="W86" s="943">
        <v>203101</v>
      </c>
      <c r="X86" s="455">
        <v>9625</v>
      </c>
      <c r="Y86" s="455">
        <v>11750</v>
      </c>
      <c r="Z86" s="100">
        <v>18150</v>
      </c>
      <c r="AA86" s="100">
        <v>5725</v>
      </c>
      <c r="AB86" s="100"/>
      <c r="AC86" s="100">
        <v>10125</v>
      </c>
      <c r="AD86" s="100">
        <v>6650</v>
      </c>
      <c r="AE86" s="100">
        <v>14325</v>
      </c>
      <c r="AF86" s="100">
        <v>3625</v>
      </c>
      <c r="AG86" s="100">
        <v>8400</v>
      </c>
      <c r="AH86" s="100">
        <v>9750</v>
      </c>
      <c r="AI86" s="100"/>
      <c r="AJ86" s="100">
        <v>7525</v>
      </c>
      <c r="AK86" s="100">
        <v>4550</v>
      </c>
      <c r="AL86" s="100">
        <v>4075</v>
      </c>
      <c r="AM86" s="100">
        <v>750</v>
      </c>
      <c r="AN86" s="100">
        <v>7750</v>
      </c>
      <c r="AO86" s="100">
        <v>7500</v>
      </c>
      <c r="AP86" s="100"/>
      <c r="AQ86" s="100">
        <v>125</v>
      </c>
      <c r="AR86" s="100">
        <v>375</v>
      </c>
      <c r="AS86" s="100">
        <v>0</v>
      </c>
      <c r="AT86" s="100">
        <v>750</v>
      </c>
      <c r="AU86" s="100">
        <v>2850</v>
      </c>
      <c r="AV86" s="100">
        <v>900</v>
      </c>
      <c r="AW86" s="100"/>
      <c r="AX86" s="248"/>
      <c r="AY86" s="100">
        <v>6500</v>
      </c>
      <c r="AZ86" s="100"/>
      <c r="BA86" s="100"/>
      <c r="BB86" s="100"/>
      <c r="BC86" s="300">
        <f t="shared" si="23"/>
        <v>141775</v>
      </c>
      <c r="BD86" s="896">
        <f t="shared" si="24"/>
        <v>22</v>
      </c>
      <c r="BE86" s="896">
        <f t="shared" si="25"/>
        <v>6444.318181818182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869" t="s">
        <v>1825</v>
      </c>
      <c r="C87" s="96" t="s">
        <v>61</v>
      </c>
      <c r="D87" s="870">
        <v>25</v>
      </c>
      <c r="E87" s="356">
        <v>0</v>
      </c>
      <c r="F87" s="100">
        <f>SUMIF(pro!$A:$A,$V:$V,pro!$N:$N)</f>
        <v>0</v>
      </c>
      <c r="G87" s="356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0</v>
      </c>
      <c r="N87" s="354">
        <f t="shared" si="26"/>
        <v>0</v>
      </c>
      <c r="O87" s="357">
        <f t="shared" si="27"/>
        <v>0</v>
      </c>
      <c r="P87" s="350"/>
      <c r="Q87" s="350"/>
      <c r="R87" s="356">
        <f>O87/INTGRATE!$N$293</f>
        <v>0</v>
      </c>
      <c r="S87" s="349">
        <f>IF(R87=0,0,N87/R87)</f>
        <v>0</v>
      </c>
      <c r="T87" s="606"/>
      <c r="U87" s="139"/>
      <c r="V87" s="956" t="str">
        <f t="shared" si="20"/>
        <v>PP2025</v>
      </c>
      <c r="W87" s="943">
        <v>226501</v>
      </c>
      <c r="X87" s="455">
        <v>0</v>
      </c>
      <c r="Y87" s="455">
        <v>0</v>
      </c>
      <c r="Z87" s="100">
        <v>0</v>
      </c>
      <c r="AA87" s="100">
        <v>0</v>
      </c>
      <c r="AB87" s="100"/>
      <c r="AC87" s="100">
        <v>0</v>
      </c>
      <c r="AD87" s="100">
        <v>0</v>
      </c>
      <c r="AE87" s="100">
        <v>0</v>
      </c>
      <c r="AF87" s="100">
        <v>0</v>
      </c>
      <c r="AG87" s="100">
        <v>0</v>
      </c>
      <c r="AH87" s="100">
        <v>0</v>
      </c>
      <c r="AI87" s="100"/>
      <c r="AJ87" s="100">
        <v>0</v>
      </c>
      <c r="AK87" s="100">
        <v>0</v>
      </c>
      <c r="AL87" s="100">
        <v>0</v>
      </c>
      <c r="AM87" s="100">
        <v>0</v>
      </c>
      <c r="AN87" s="100">
        <v>0</v>
      </c>
      <c r="AO87" s="100">
        <v>0</v>
      </c>
      <c r="AP87" s="100"/>
      <c r="AQ87" s="100">
        <v>0</v>
      </c>
      <c r="AR87" s="100">
        <v>0</v>
      </c>
      <c r="AS87" s="100">
        <v>0</v>
      </c>
      <c r="AT87" s="100">
        <v>0</v>
      </c>
      <c r="AU87" s="100">
        <v>0</v>
      </c>
      <c r="AV87" s="100">
        <v>0</v>
      </c>
      <c r="AW87" s="100"/>
      <c r="AX87" s="248"/>
      <c r="AY87" s="100">
        <v>0</v>
      </c>
      <c r="AZ87" s="100"/>
      <c r="BA87" s="100"/>
      <c r="BB87" s="100"/>
      <c r="BC87" s="300">
        <f t="shared" si="23"/>
        <v>0</v>
      </c>
      <c r="BD87" s="896">
        <f t="shared" si="24"/>
        <v>0</v>
      </c>
      <c r="BE87" s="896">
        <f t="shared" si="25"/>
        <v>0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5" t="s">
        <v>583</v>
      </c>
      <c r="C88" s="617" t="s">
        <v>40</v>
      </c>
      <c r="D88" s="168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356">
        <f>SUMIF(AJOUT!$A:$A,BRAN!$V:$V,AJOUT!$L:$L)</f>
        <v>0</v>
      </c>
      <c r="L88" s="356">
        <f>SUMIF(CBOUT!$A:$A,BRAN!$V:$V,CBOUT!$G:$G)</f>
        <v>0</v>
      </c>
      <c r="M88" s="540">
        <f>E88+F88+H88-I88-L88+G88-K88</f>
        <v>0</v>
      </c>
      <c r="N88" s="354">
        <f t="shared" si="26"/>
        <v>0</v>
      </c>
      <c r="O88" s="357">
        <f t="shared" si="27"/>
        <v>0</v>
      </c>
      <c r="P88" s="350"/>
      <c r="Q88" s="350"/>
      <c r="R88" s="356">
        <f>O88/INTGRATE!$N$293</f>
        <v>0</v>
      </c>
      <c r="S88" s="349">
        <f t="shared" si="19"/>
        <v>0</v>
      </c>
      <c r="T88" s="472"/>
      <c r="U88" s="139"/>
      <c r="V88" s="956" t="str">
        <f t="shared" si="20"/>
        <v>550SBox25</v>
      </c>
      <c r="W88" s="943">
        <v>312001</v>
      </c>
      <c r="X88" s="455">
        <v>0</v>
      </c>
      <c r="Y88" s="455">
        <v>0</v>
      </c>
      <c r="Z88" s="100">
        <v>0</v>
      </c>
      <c r="AA88" s="100">
        <v>0</v>
      </c>
      <c r="AB88" s="100"/>
      <c r="AC88" s="100">
        <v>0</v>
      </c>
      <c r="AD88" s="100">
        <v>0</v>
      </c>
      <c r="AE88" s="100">
        <v>0</v>
      </c>
      <c r="AF88" s="100">
        <v>0</v>
      </c>
      <c r="AG88" s="100">
        <v>0</v>
      </c>
      <c r="AH88" s="100">
        <v>0</v>
      </c>
      <c r="AI88" s="100"/>
      <c r="AJ88" s="100">
        <v>0</v>
      </c>
      <c r="AK88" s="100">
        <v>0</v>
      </c>
      <c r="AL88" s="100">
        <v>0</v>
      </c>
      <c r="AM88" s="100">
        <v>0</v>
      </c>
      <c r="AN88" s="100">
        <v>0</v>
      </c>
      <c r="AO88" s="100">
        <v>0</v>
      </c>
      <c r="AP88" s="100"/>
      <c r="AQ88" s="100">
        <v>0</v>
      </c>
      <c r="AR88" s="100">
        <v>0</v>
      </c>
      <c r="AS88" s="100">
        <v>0</v>
      </c>
      <c r="AT88" s="100">
        <v>0</v>
      </c>
      <c r="AU88" s="100">
        <v>0</v>
      </c>
      <c r="AV88" s="100">
        <v>0</v>
      </c>
      <c r="AW88" s="100"/>
      <c r="AX88" s="248"/>
      <c r="AY88" s="100">
        <v>0</v>
      </c>
      <c r="AZ88" s="100"/>
      <c r="BA88" s="100"/>
      <c r="BB88" s="100"/>
      <c r="BC88" s="300">
        <f t="shared" si="23"/>
        <v>0</v>
      </c>
      <c r="BD88" s="896">
        <f t="shared" si="24"/>
        <v>0</v>
      </c>
      <c r="BE88" s="896">
        <f t="shared" si="25"/>
        <v>0</v>
      </c>
      <c r="BH88" s="505"/>
    </row>
    <row r="89" spans="1:151" s="38" customFormat="1" ht="15" customHeight="1">
      <c r="A89" s="91">
        <v>77</v>
      </c>
      <c r="B89" s="175" t="s">
        <v>10</v>
      </c>
      <c r="C89" s="176" t="s">
        <v>40</v>
      </c>
      <c r="D89" s="701" t="s">
        <v>81</v>
      </c>
      <c r="E89" s="494"/>
      <c r="F89" s="494">
        <f>J89</f>
        <v>14010</v>
      </c>
      <c r="G89" s="494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14010</v>
      </c>
      <c r="K89" s="356">
        <f>SUMIF(AJOUT!$A:$A,BRAN!$V:$V,AJOUT!$L:$L)</f>
        <v>0</v>
      </c>
      <c r="L89" s="356">
        <f>SUMIF(CBOUT!$A:$A,BRAN!$V:$V,CBOUT!$G:$G)</f>
        <v>0</v>
      </c>
      <c r="M89" s="604"/>
      <c r="N89" s="354">
        <f t="shared" si="26"/>
        <v>0</v>
      </c>
      <c r="O89" s="357">
        <f t="shared" si="27"/>
        <v>144090</v>
      </c>
      <c r="P89" s="496"/>
      <c r="Q89" s="496"/>
      <c r="R89" s="494">
        <f>O89/INTGRATE!$N$293</f>
        <v>6264.782608695652</v>
      </c>
      <c r="S89" s="349">
        <f t="shared" si="19"/>
        <v>0</v>
      </c>
      <c r="T89" s="472"/>
      <c r="U89" s="139"/>
      <c r="V89" s="956" t="str">
        <f t="shared" si="20"/>
        <v>550SSILO</v>
      </c>
      <c r="W89" s="943">
        <v>312001</v>
      </c>
      <c r="X89" s="455">
        <v>0</v>
      </c>
      <c r="Y89" s="455">
        <v>13940</v>
      </c>
      <c r="Z89" s="100">
        <v>0</v>
      </c>
      <c r="AA89" s="100">
        <v>3570</v>
      </c>
      <c r="AB89" s="100"/>
      <c r="AC89" s="100">
        <v>14250</v>
      </c>
      <c r="AD89" s="100">
        <v>0</v>
      </c>
      <c r="AE89" s="100">
        <v>0</v>
      </c>
      <c r="AF89" s="100">
        <v>14180</v>
      </c>
      <c r="AG89" s="100">
        <v>0</v>
      </c>
      <c r="AH89" s="494">
        <v>3500</v>
      </c>
      <c r="AI89" s="100"/>
      <c r="AJ89" s="100">
        <v>28270</v>
      </c>
      <c r="AK89" s="100">
        <v>0</v>
      </c>
      <c r="AL89" s="100">
        <v>0</v>
      </c>
      <c r="AM89" s="100">
        <v>0</v>
      </c>
      <c r="AN89" s="100">
        <v>14000</v>
      </c>
      <c r="AO89" s="494">
        <v>5170</v>
      </c>
      <c r="AP89" s="100"/>
      <c r="AQ89" s="494">
        <v>0</v>
      </c>
      <c r="AR89" s="100">
        <v>14150</v>
      </c>
      <c r="AS89" s="100">
        <v>0</v>
      </c>
      <c r="AT89" s="100">
        <v>0</v>
      </c>
      <c r="AU89" s="100">
        <v>13980</v>
      </c>
      <c r="AV89" s="100">
        <v>5070</v>
      </c>
      <c r="AW89" s="100"/>
      <c r="AX89" s="248"/>
      <c r="AY89" s="100">
        <v>14010</v>
      </c>
      <c r="AZ89" s="100"/>
      <c r="BA89" s="100"/>
      <c r="BB89" s="100"/>
      <c r="BC89" s="300">
        <f t="shared" si="23"/>
        <v>144090</v>
      </c>
      <c r="BD89" s="896">
        <f t="shared" si="24"/>
        <v>12</v>
      </c>
      <c r="BE89" s="896">
        <f t="shared" si="25"/>
        <v>12007.5</v>
      </c>
      <c r="BH89" s="505"/>
    </row>
    <row r="90" spans="1:151" s="38" customFormat="1" ht="15" customHeight="1">
      <c r="A90" s="91">
        <v>78</v>
      </c>
      <c r="B90" s="175" t="s">
        <v>10</v>
      </c>
      <c r="C90" s="617" t="s">
        <v>40</v>
      </c>
      <c r="D90" s="168">
        <v>25</v>
      </c>
      <c r="E90" s="356">
        <v>68</v>
      </c>
      <c r="F90" s="100">
        <f>SUMIF(pro!$A:$A,$V:$V,pro!$N:$N)</f>
        <v>534</v>
      </c>
      <c r="G90" s="356"/>
      <c r="H90" s="100">
        <f>SUMIF(CBIN!$A:$A,BRAN!$V:$V,CBIN!$G:$G)</f>
        <v>0</v>
      </c>
      <c r="I90" s="100">
        <f>SUMIF(data!$D:$D,$B90&amp;$D90,data!$J:$J)</f>
        <v>145</v>
      </c>
      <c r="J90" s="100">
        <f>SUMIF(data!$D:$D,$B90&amp;$D90,data!$K:$K)</f>
        <v>3625</v>
      </c>
      <c r="K90" s="356">
        <f>SUMIF(AJOUT!$A:$A,BRAN!$V:$V,AJOUT!$L:$L)</f>
        <v>0</v>
      </c>
      <c r="L90" s="356">
        <f>SUMIF(CBOUT!$A:$A,BRAN!$V:$V,CBOUT!$G:$G)</f>
        <v>0</v>
      </c>
      <c r="M90" s="540">
        <f>E90+F90+H90-I90-L90+G90-K90</f>
        <v>457</v>
      </c>
      <c r="N90" s="354">
        <f t="shared" si="26"/>
        <v>11425</v>
      </c>
      <c r="O90" s="357">
        <f t="shared" si="27"/>
        <v>44375</v>
      </c>
      <c r="P90" s="350"/>
      <c r="Q90" s="350"/>
      <c r="R90" s="356">
        <f>O90/INTGRATE!$N$293</f>
        <v>1929.3478260869565</v>
      </c>
      <c r="S90" s="349">
        <f t="shared" si="19"/>
        <v>5.9216901408450706</v>
      </c>
      <c r="T90" s="472"/>
      <c r="U90" s="139"/>
      <c r="V90" s="956" t="str">
        <f t="shared" si="20"/>
        <v>550S25</v>
      </c>
      <c r="W90" s="943">
        <v>312001</v>
      </c>
      <c r="X90" s="455">
        <v>1450</v>
      </c>
      <c r="Y90" s="455">
        <v>275</v>
      </c>
      <c r="Z90" s="100">
        <v>5425</v>
      </c>
      <c r="AA90" s="100">
        <v>8700</v>
      </c>
      <c r="AB90" s="100"/>
      <c r="AC90" s="100">
        <v>1350</v>
      </c>
      <c r="AD90" s="100">
        <v>650</v>
      </c>
      <c r="AE90" s="100">
        <v>1225</v>
      </c>
      <c r="AF90" s="100">
        <v>700</v>
      </c>
      <c r="AG90" s="100">
        <v>650</v>
      </c>
      <c r="AH90" s="100">
        <v>2475</v>
      </c>
      <c r="AI90" s="100"/>
      <c r="AJ90" s="100">
        <v>375</v>
      </c>
      <c r="AK90" s="100">
        <v>2150</v>
      </c>
      <c r="AL90" s="100">
        <v>775</v>
      </c>
      <c r="AM90" s="100">
        <v>1825</v>
      </c>
      <c r="AN90" s="100">
        <v>1125</v>
      </c>
      <c r="AO90" s="100">
        <v>1750</v>
      </c>
      <c r="AP90" s="100"/>
      <c r="AQ90" s="100">
        <v>1625</v>
      </c>
      <c r="AR90" s="100">
        <v>3875</v>
      </c>
      <c r="AS90" s="100">
        <v>600</v>
      </c>
      <c r="AT90" s="100">
        <v>1650</v>
      </c>
      <c r="AU90" s="100">
        <v>875</v>
      </c>
      <c r="AV90" s="100">
        <v>1225</v>
      </c>
      <c r="AW90" s="100"/>
      <c r="AX90" s="248"/>
      <c r="AY90" s="100">
        <v>3625</v>
      </c>
      <c r="AZ90" s="100"/>
      <c r="BA90" s="100"/>
      <c r="BB90" s="100"/>
      <c r="BC90" s="300">
        <f t="shared" si="23"/>
        <v>44375</v>
      </c>
      <c r="BD90" s="896">
        <f t="shared" si="24"/>
        <v>23</v>
      </c>
      <c r="BE90" s="896">
        <f t="shared" si="25"/>
        <v>1929.3478260869565</v>
      </c>
      <c r="BF90" s="85"/>
      <c r="BH90" s="505"/>
    </row>
    <row r="91" spans="1:151" s="38" customFormat="1" ht="15" customHeight="1">
      <c r="A91" s="91">
        <v>79</v>
      </c>
      <c r="B91" s="175" t="s">
        <v>1649</v>
      </c>
      <c r="C91" s="617" t="s">
        <v>40</v>
      </c>
      <c r="D91" s="168">
        <v>25</v>
      </c>
      <c r="E91" s="356">
        <v>0</v>
      </c>
      <c r="F91" s="100">
        <f>SUMIF(pro!$A:$A,$V:$V,pro!$N:$N)</f>
        <v>0</v>
      </c>
      <c r="G91" s="356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0</v>
      </c>
      <c r="N91" s="354">
        <f t="shared" si="26"/>
        <v>0</v>
      </c>
      <c r="O91" s="357">
        <f t="shared" si="27"/>
        <v>37475</v>
      </c>
      <c r="P91" s="350"/>
      <c r="Q91" s="350"/>
      <c r="R91" s="356">
        <f>O91/INTGRATE!$N$293</f>
        <v>1629.3478260869565</v>
      </c>
      <c r="S91" s="349">
        <f>IF(R91=0,0,N91/R91)</f>
        <v>0</v>
      </c>
      <c r="T91" s="472"/>
      <c r="U91" s="139"/>
      <c r="V91" s="956" t="str">
        <f t="shared" si="20"/>
        <v>550SX25</v>
      </c>
      <c r="W91" s="943">
        <v>312008</v>
      </c>
      <c r="X91" s="455">
        <v>0</v>
      </c>
      <c r="Y91" s="455">
        <v>0</v>
      </c>
      <c r="Z91" s="100">
        <v>14600</v>
      </c>
      <c r="AA91" s="100">
        <v>0</v>
      </c>
      <c r="AB91" s="100"/>
      <c r="AC91" s="100">
        <v>0</v>
      </c>
      <c r="AD91" s="100">
        <v>8250</v>
      </c>
      <c r="AE91" s="100">
        <v>0</v>
      </c>
      <c r="AF91" s="100">
        <v>0</v>
      </c>
      <c r="AG91" s="100">
        <v>0</v>
      </c>
      <c r="AH91" s="100">
        <v>0</v>
      </c>
      <c r="AI91" s="100"/>
      <c r="AJ91" s="100">
        <v>0</v>
      </c>
      <c r="AK91" s="100">
        <v>7500</v>
      </c>
      <c r="AL91" s="100">
        <v>0</v>
      </c>
      <c r="AM91" s="100">
        <v>0</v>
      </c>
      <c r="AN91" s="100">
        <v>0</v>
      </c>
      <c r="AO91" s="100">
        <v>0</v>
      </c>
      <c r="AP91" s="100"/>
      <c r="AQ91" s="100">
        <v>0</v>
      </c>
      <c r="AR91" s="100">
        <v>0</v>
      </c>
      <c r="AS91" s="100">
        <v>0</v>
      </c>
      <c r="AT91" s="100">
        <v>0</v>
      </c>
      <c r="AU91" s="100">
        <v>7125</v>
      </c>
      <c r="AV91" s="100">
        <v>0</v>
      </c>
      <c r="AW91" s="100"/>
      <c r="AX91" s="248"/>
      <c r="AY91" s="100">
        <v>0</v>
      </c>
      <c r="AZ91" s="100"/>
      <c r="BA91" s="100"/>
      <c r="BB91" s="100"/>
      <c r="BC91" s="300">
        <f t="shared" si="23"/>
        <v>37475</v>
      </c>
      <c r="BD91" s="896">
        <f t="shared" si="24"/>
        <v>4</v>
      </c>
      <c r="BE91" s="896">
        <f t="shared" si="25"/>
        <v>9368.75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701" t="s">
        <v>81</v>
      </c>
      <c r="E92" s="356"/>
      <c r="F92" s="100">
        <f>+J92</f>
        <v>0</v>
      </c>
      <c r="G92" s="356"/>
      <c r="H92" s="100"/>
      <c r="I92" s="100">
        <f>SUMIF(data!$D:$D,$B92&amp;$D92,data!$J:$J)</f>
        <v>0</v>
      </c>
      <c r="J92" s="100">
        <f>SUMIF(data!$D:$D,$B92&amp;$D92,data!$K:$K)</f>
        <v>0</v>
      </c>
      <c r="K92" s="356"/>
      <c r="L92" s="356"/>
      <c r="M92" s="540"/>
      <c r="N92" s="354"/>
      <c r="O92" s="357">
        <f t="shared" ref="O92:O93" si="28">SUM(X92:BB92)</f>
        <v>7120</v>
      </c>
      <c r="P92" s="350"/>
      <c r="Q92" s="350"/>
      <c r="R92" s="356">
        <f>O92/INTGRATE!$N$293</f>
        <v>309.56521739130437</v>
      </c>
      <c r="S92" s="349">
        <f t="shared" ref="S92:S93" si="29">IF(R92=0,0,N92/R92)</f>
        <v>0</v>
      </c>
      <c r="T92" s="472"/>
      <c r="U92" s="139"/>
      <c r="V92" s="956" t="str">
        <f t="shared" si="20"/>
        <v>550SXSILO</v>
      </c>
      <c r="W92" s="943">
        <v>312008</v>
      </c>
      <c r="X92" s="455">
        <v>7120</v>
      </c>
      <c r="Y92" s="455">
        <v>0</v>
      </c>
      <c r="Z92" s="100">
        <v>0</v>
      </c>
      <c r="AA92" s="100">
        <v>0</v>
      </c>
      <c r="AB92" s="100"/>
      <c r="AC92" s="100">
        <v>0</v>
      </c>
      <c r="AD92" s="100">
        <v>0</v>
      </c>
      <c r="AE92" s="100">
        <v>0</v>
      </c>
      <c r="AF92" s="100">
        <v>0</v>
      </c>
      <c r="AG92" s="100">
        <v>0</v>
      </c>
      <c r="AH92" s="100">
        <v>0</v>
      </c>
      <c r="AI92" s="100"/>
      <c r="AJ92" s="100">
        <v>0</v>
      </c>
      <c r="AK92" s="100">
        <v>0</v>
      </c>
      <c r="AL92" s="100">
        <v>0</v>
      </c>
      <c r="AM92" s="100">
        <v>0</v>
      </c>
      <c r="AN92" s="100">
        <v>0</v>
      </c>
      <c r="AO92" s="100">
        <v>0</v>
      </c>
      <c r="AP92" s="100"/>
      <c r="AQ92" s="100">
        <v>0</v>
      </c>
      <c r="AR92" s="100">
        <v>0</v>
      </c>
      <c r="AS92" s="100">
        <v>0</v>
      </c>
      <c r="AT92" s="100">
        <v>0</v>
      </c>
      <c r="AU92" s="100">
        <v>0</v>
      </c>
      <c r="AV92" s="100">
        <v>0</v>
      </c>
      <c r="AW92" s="100"/>
      <c r="AX92" s="248"/>
      <c r="AY92" s="100">
        <v>0</v>
      </c>
      <c r="AZ92" s="100"/>
      <c r="BA92" s="100"/>
      <c r="BB92" s="100"/>
      <c r="BC92" s="300">
        <f t="shared" si="23"/>
        <v>7120</v>
      </c>
      <c r="BD92" s="896">
        <f t="shared" si="24"/>
        <v>1</v>
      </c>
      <c r="BE92" s="896">
        <f t="shared" si="25"/>
        <v>7120</v>
      </c>
      <c r="BF92" s="85"/>
      <c r="BH92" s="505"/>
    </row>
    <row r="93" spans="1:151" s="38" customFormat="1" ht="15" customHeight="1">
      <c r="A93" s="91">
        <v>81</v>
      </c>
      <c r="B93" s="175" t="s">
        <v>1456</v>
      </c>
      <c r="C93" s="617" t="s">
        <v>40</v>
      </c>
      <c r="D93" s="168">
        <v>25</v>
      </c>
      <c r="E93" s="356">
        <v>77</v>
      </c>
      <c r="F93" s="100">
        <f>SUMIF(pro!$A:$A,$V:$V,pro!$N:$N)</f>
        <v>0</v>
      </c>
      <c r="G93" s="356"/>
      <c r="H93" s="100">
        <f>SUMIF(CBIN!$A:$A,BRAN!$V:$V,CBIN!$G:$G)</f>
        <v>0</v>
      </c>
      <c r="I93" s="100">
        <f>SUMIF(data!$D:$D,$B93&amp;$D93,data!$J:$J)</f>
        <v>71</v>
      </c>
      <c r="J93" s="100">
        <f>SUMIF(data!$D:$D,$B93&amp;$D93,data!$K:$K)</f>
        <v>1775</v>
      </c>
      <c r="K93" s="356">
        <f>SUMIF(AJOUT!$A:$A,BRAN!$V:$V,AJOUT!$L:$L)</f>
        <v>0</v>
      </c>
      <c r="L93" s="356">
        <f>SUMIF(CBOUT!$A:$A,BRAN!$V:$V,CBOUT!$G:$G)</f>
        <v>0</v>
      </c>
      <c r="M93" s="540">
        <f t="shared" ref="M93:M104" si="30">E93+F93+H93-I93-L93+G93-K93</f>
        <v>6</v>
      </c>
      <c r="N93" s="354">
        <f t="shared" si="26"/>
        <v>150</v>
      </c>
      <c r="O93" s="357">
        <f t="shared" si="28"/>
        <v>141325</v>
      </c>
      <c r="P93" s="350"/>
      <c r="Q93" s="350"/>
      <c r="R93" s="356">
        <f>O93/INTGRATE!$N$293</f>
        <v>6144.565217391304</v>
      </c>
      <c r="S93" s="349">
        <f t="shared" si="29"/>
        <v>2.441181673447727E-2</v>
      </c>
      <c r="T93" s="472"/>
      <c r="U93" s="139"/>
      <c r="V93" s="956" t="str">
        <f t="shared" si="20"/>
        <v>550Pro25</v>
      </c>
      <c r="W93" s="943">
        <v>312021</v>
      </c>
      <c r="X93" s="455">
        <v>550</v>
      </c>
      <c r="Y93" s="455">
        <v>23450</v>
      </c>
      <c r="Z93" s="100">
        <v>4375</v>
      </c>
      <c r="AA93" s="100">
        <v>12225</v>
      </c>
      <c r="AB93" s="100"/>
      <c r="AC93" s="100">
        <v>7000</v>
      </c>
      <c r="AD93" s="100">
        <v>150</v>
      </c>
      <c r="AE93" s="100">
        <v>4500</v>
      </c>
      <c r="AF93" s="100">
        <v>1000</v>
      </c>
      <c r="AG93" s="100">
        <v>15550</v>
      </c>
      <c r="AH93" s="100">
        <v>6700</v>
      </c>
      <c r="AI93" s="100"/>
      <c r="AJ93" s="100">
        <v>1200</v>
      </c>
      <c r="AK93" s="100">
        <v>8750</v>
      </c>
      <c r="AL93" s="100">
        <v>0</v>
      </c>
      <c r="AM93" s="100">
        <v>3000</v>
      </c>
      <c r="AN93" s="100">
        <v>3450</v>
      </c>
      <c r="AO93" s="100">
        <v>6750</v>
      </c>
      <c r="AP93" s="100"/>
      <c r="AQ93" s="100">
        <v>7950</v>
      </c>
      <c r="AR93" s="100">
        <v>16500</v>
      </c>
      <c r="AS93" s="100">
        <v>3675</v>
      </c>
      <c r="AT93" s="100">
        <v>775</v>
      </c>
      <c r="AU93" s="100">
        <v>5550</v>
      </c>
      <c r="AV93" s="100">
        <v>6450</v>
      </c>
      <c r="AW93" s="100"/>
      <c r="AX93" s="248"/>
      <c r="AY93" s="100">
        <v>1775</v>
      </c>
      <c r="AZ93" s="100"/>
      <c r="BA93" s="100"/>
      <c r="BB93" s="100"/>
      <c r="BC93" s="300">
        <f t="shared" si="23"/>
        <v>141325</v>
      </c>
      <c r="BD93" s="896">
        <f t="shared" si="24"/>
        <v>22</v>
      </c>
      <c r="BE93" s="896">
        <f t="shared" si="25"/>
        <v>6423.863636363636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701" t="s">
        <v>901</v>
      </c>
      <c r="E94" s="356">
        <v>0</v>
      </c>
      <c r="F94" s="494">
        <f>+J94</f>
        <v>0</v>
      </c>
      <c r="G94" s="356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356">
        <f>SUMIF(AJOUT!$A:$A,BRAN!$V:$V,AJOUT!$L:$L)</f>
        <v>0</v>
      </c>
      <c r="L94" s="356">
        <f>SUMIF(CBOUT!$A:$A,BRAN!$V:$V,CBOUT!$G:$G)</f>
        <v>0</v>
      </c>
      <c r="M94" s="540">
        <v>0</v>
      </c>
      <c r="N94" s="354">
        <f t="shared" si="26"/>
        <v>0</v>
      </c>
      <c r="O94" s="357">
        <f t="shared" si="27"/>
        <v>34250</v>
      </c>
      <c r="P94" s="350"/>
      <c r="Q94" s="350"/>
      <c r="R94" s="356">
        <f>O94/INTGRATE!$N$293</f>
        <v>1489.1304347826087</v>
      </c>
      <c r="S94" s="349">
        <f t="shared" si="19"/>
        <v>0</v>
      </c>
      <c r="T94" s="472"/>
      <c r="U94" s="139"/>
      <c r="V94" s="956" t="str">
        <f t="shared" si="20"/>
        <v>550Prosilo</v>
      </c>
      <c r="W94" s="943">
        <v>312021</v>
      </c>
      <c r="X94" s="455">
        <v>0</v>
      </c>
      <c r="Y94" s="455">
        <v>5980</v>
      </c>
      <c r="Z94" s="100">
        <v>0</v>
      </c>
      <c r="AA94" s="100">
        <v>0</v>
      </c>
      <c r="AB94" s="100"/>
      <c r="AC94" s="100">
        <v>0</v>
      </c>
      <c r="AD94" s="100">
        <v>12250</v>
      </c>
      <c r="AE94" s="100">
        <v>0</v>
      </c>
      <c r="AF94" s="100">
        <v>0</v>
      </c>
      <c r="AG94" s="100">
        <v>0</v>
      </c>
      <c r="AH94" s="100">
        <v>0</v>
      </c>
      <c r="AI94" s="100"/>
      <c r="AJ94" s="100">
        <v>0</v>
      </c>
      <c r="AK94" s="100">
        <v>0</v>
      </c>
      <c r="AL94" s="100">
        <v>0</v>
      </c>
      <c r="AM94" s="100">
        <v>0</v>
      </c>
      <c r="AN94" s="100">
        <v>8030</v>
      </c>
      <c r="AO94" s="494">
        <v>0</v>
      </c>
      <c r="AP94" s="100"/>
      <c r="AQ94" s="100">
        <v>0</v>
      </c>
      <c r="AR94" s="100">
        <v>0</v>
      </c>
      <c r="AS94" s="100">
        <v>7990</v>
      </c>
      <c r="AT94" s="100">
        <v>0</v>
      </c>
      <c r="AU94" s="100">
        <v>0</v>
      </c>
      <c r="AV94" s="100">
        <v>0</v>
      </c>
      <c r="AW94" s="100"/>
      <c r="AX94" s="248"/>
      <c r="AY94" s="100">
        <v>0</v>
      </c>
      <c r="AZ94" s="100"/>
      <c r="BA94" s="100"/>
      <c r="BB94" s="100"/>
      <c r="BC94" s="300">
        <f t="shared" si="23"/>
        <v>34250</v>
      </c>
      <c r="BD94" s="896">
        <f t="shared" si="24"/>
        <v>4</v>
      </c>
      <c r="BE94" s="896">
        <f t="shared" si="25"/>
        <v>8562.5</v>
      </c>
      <c r="BF94" s="85"/>
      <c r="BH94" s="505"/>
    </row>
    <row r="95" spans="1:151" s="38" customFormat="1" ht="15" customHeight="1">
      <c r="A95" s="91">
        <v>83</v>
      </c>
      <c r="B95" s="175" t="s">
        <v>1640</v>
      </c>
      <c r="C95" s="617" t="s">
        <v>40</v>
      </c>
      <c r="D95" s="763">
        <v>25</v>
      </c>
      <c r="E95" s="356">
        <v>0</v>
      </c>
      <c r="F95" s="100">
        <f>SUMIF(pro!$A:$A,$V:$V,pro!$N:$N)</f>
        <v>0</v>
      </c>
      <c r="G95" s="642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f t="shared" si="30"/>
        <v>0</v>
      </c>
      <c r="N95" s="354">
        <f t="shared" si="26"/>
        <v>0</v>
      </c>
      <c r="O95" s="357">
        <f t="shared" si="27"/>
        <v>0</v>
      </c>
      <c r="P95" s="762"/>
      <c r="Q95" s="762"/>
      <c r="R95" s="642">
        <f>O95/INTGRATE!$N$293</f>
        <v>0</v>
      </c>
      <c r="S95" s="349">
        <f t="shared" si="19"/>
        <v>0</v>
      </c>
      <c r="T95" s="472"/>
      <c r="U95" s="139"/>
      <c r="V95" s="956" t="str">
        <f t="shared" si="20"/>
        <v>550XPro25</v>
      </c>
      <c r="W95" s="943">
        <v>312028</v>
      </c>
      <c r="X95" s="455">
        <v>0</v>
      </c>
      <c r="Y95" s="455">
        <v>0</v>
      </c>
      <c r="Z95" s="100">
        <v>0</v>
      </c>
      <c r="AA95" s="100">
        <v>0</v>
      </c>
      <c r="AB95" s="100"/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/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494">
        <v>0</v>
      </c>
      <c r="AP95" s="100"/>
      <c r="AQ95" s="100">
        <v>0</v>
      </c>
      <c r="AR95" s="100">
        <v>0</v>
      </c>
      <c r="AS95" s="100">
        <v>0</v>
      </c>
      <c r="AT95" s="100">
        <v>0</v>
      </c>
      <c r="AU95" s="100">
        <v>0</v>
      </c>
      <c r="AV95" s="100">
        <v>0</v>
      </c>
      <c r="AW95" s="100"/>
      <c r="AX95" s="248"/>
      <c r="AY95" s="100">
        <v>0</v>
      </c>
      <c r="AZ95" s="100"/>
      <c r="BA95" s="100"/>
      <c r="BB95" s="100"/>
      <c r="BC95" s="300">
        <f t="shared" si="23"/>
        <v>0</v>
      </c>
      <c r="BD95" s="896">
        <f t="shared" si="24"/>
        <v>0</v>
      </c>
      <c r="BE95" s="896">
        <f t="shared" si="25"/>
        <v>0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01" t="s">
        <v>901</v>
      </c>
      <c r="E96" s="356"/>
      <c r="F96" s="494">
        <f>+J96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/>
      <c r="N96" s="354">
        <f t="shared" ref="N96:N97" si="31">M96*25</f>
        <v>0</v>
      </c>
      <c r="O96" s="357">
        <f t="shared" ref="O96:O97" si="32">SUM(X96:BB96)</f>
        <v>0</v>
      </c>
      <c r="P96" s="762"/>
      <c r="Q96" s="762"/>
      <c r="R96" s="642">
        <f>O96/INTGRATE!$N$293</f>
        <v>0</v>
      </c>
      <c r="S96" s="349">
        <f t="shared" ref="S96:S97" si="33">IF(R96=0,0,N96/R96)</f>
        <v>0</v>
      </c>
      <c r="T96" s="472"/>
      <c r="U96" s="139"/>
      <c r="V96" s="956" t="str">
        <f t="shared" ref="V96" si="34">B96&amp;D96</f>
        <v>550XProsilo</v>
      </c>
      <c r="W96" s="943">
        <v>312028</v>
      </c>
      <c r="X96" s="455">
        <v>0</v>
      </c>
      <c r="Y96" s="455">
        <v>0</v>
      </c>
      <c r="Z96" s="100">
        <v>0</v>
      </c>
      <c r="AA96" s="100">
        <v>0</v>
      </c>
      <c r="AB96" s="100"/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/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494">
        <v>0</v>
      </c>
      <c r="AP96" s="100"/>
      <c r="AQ96" s="100">
        <v>0</v>
      </c>
      <c r="AR96" s="100">
        <v>0</v>
      </c>
      <c r="AS96" s="100">
        <v>0</v>
      </c>
      <c r="AT96" s="100">
        <v>0</v>
      </c>
      <c r="AU96" s="100">
        <v>0</v>
      </c>
      <c r="AV96" s="100">
        <v>0</v>
      </c>
      <c r="AW96" s="100"/>
      <c r="AX96" s="248"/>
      <c r="AY96" s="100">
        <v>0</v>
      </c>
      <c r="AZ96" s="100"/>
      <c r="BA96" s="100"/>
      <c r="BB96" s="100"/>
      <c r="BC96" s="300">
        <f t="shared" si="23"/>
        <v>0</v>
      </c>
      <c r="BD96" s="896">
        <f t="shared" si="24"/>
        <v>0</v>
      </c>
      <c r="BE96" s="896">
        <f t="shared" si="25"/>
        <v>0</v>
      </c>
      <c r="BF96" s="85"/>
      <c r="BH96" s="505"/>
    </row>
    <row r="97" spans="1:60" s="38" customFormat="1" ht="15" customHeight="1">
      <c r="A97" s="91">
        <v>85</v>
      </c>
      <c r="B97" s="175" t="s">
        <v>1639</v>
      </c>
      <c r="C97" s="617" t="s">
        <v>1314</v>
      </c>
      <c r="D97" s="763">
        <v>25</v>
      </c>
      <c r="E97" s="356">
        <v>0</v>
      </c>
      <c r="F97" s="100">
        <f>SUMIF(pro!$A:$A,$V:$V,pro!$N:$N)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>
        <f t="shared" si="30"/>
        <v>0</v>
      </c>
      <c r="N97" s="354">
        <f t="shared" si="31"/>
        <v>0</v>
      </c>
      <c r="O97" s="357">
        <f t="shared" si="32"/>
        <v>0</v>
      </c>
      <c r="P97" s="762"/>
      <c r="Q97" s="762"/>
      <c r="R97" s="642">
        <f>O97/INTGRATE!$N$293</f>
        <v>0</v>
      </c>
      <c r="S97" s="349">
        <f t="shared" si="33"/>
        <v>0</v>
      </c>
      <c r="T97" s="472"/>
      <c r="U97" s="139"/>
      <c r="V97" s="956" t="str">
        <f t="shared" si="20"/>
        <v>551X25</v>
      </c>
      <c r="W97" s="943">
        <v>314008</v>
      </c>
      <c r="X97" s="455">
        <v>0</v>
      </c>
      <c r="Y97" s="455">
        <v>0</v>
      </c>
      <c r="Z97" s="100">
        <v>0</v>
      </c>
      <c r="AA97" s="100">
        <v>0</v>
      </c>
      <c r="AB97" s="100"/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/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494">
        <v>0</v>
      </c>
      <c r="AP97" s="100"/>
      <c r="AQ97" s="100">
        <v>0</v>
      </c>
      <c r="AR97" s="100">
        <v>0</v>
      </c>
      <c r="AS97" s="100">
        <v>0</v>
      </c>
      <c r="AT97" s="100">
        <v>0</v>
      </c>
      <c r="AU97" s="100">
        <v>0</v>
      </c>
      <c r="AV97" s="100">
        <v>0</v>
      </c>
      <c r="AW97" s="100"/>
      <c r="AX97" s="248"/>
      <c r="AY97" s="100">
        <v>0</v>
      </c>
      <c r="AZ97" s="100"/>
      <c r="BA97" s="100"/>
      <c r="BB97" s="100"/>
      <c r="BC97" s="300">
        <f t="shared" si="23"/>
        <v>0</v>
      </c>
      <c r="BD97" s="896">
        <f t="shared" si="24"/>
        <v>0</v>
      </c>
      <c r="BE97" s="896">
        <f t="shared" si="25"/>
        <v>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01" t="s">
        <v>81</v>
      </c>
      <c r="E98" s="356"/>
      <c r="F98" s="100">
        <f>+J98</f>
        <v>0</v>
      </c>
      <c r="G98" s="642"/>
      <c r="H98" s="100"/>
      <c r="I98" s="100"/>
      <c r="J98" s="100">
        <f>SUMIF(data!$D:$D,$B98&amp;$D98,data!$K:$K)</f>
        <v>0</v>
      </c>
      <c r="K98" s="356"/>
      <c r="L98" s="356"/>
      <c r="M98" s="540"/>
      <c r="N98" s="354">
        <f t="shared" si="26"/>
        <v>0</v>
      </c>
      <c r="O98" s="357">
        <f t="shared" si="27"/>
        <v>6660</v>
      </c>
      <c r="P98" s="762"/>
      <c r="Q98" s="762"/>
      <c r="R98" s="642"/>
      <c r="S98" s="349">
        <f t="shared" si="19"/>
        <v>0</v>
      </c>
      <c r="T98" s="472"/>
      <c r="U98" s="139"/>
      <c r="V98" s="956" t="str">
        <f t="shared" si="20"/>
        <v>551XSILO</v>
      </c>
      <c r="W98" s="943">
        <v>314008</v>
      </c>
      <c r="X98" s="455">
        <v>0</v>
      </c>
      <c r="Y98" s="455">
        <v>0</v>
      </c>
      <c r="Z98" s="100">
        <v>0</v>
      </c>
      <c r="AA98" s="100">
        <v>0</v>
      </c>
      <c r="AB98" s="100"/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/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494">
        <v>0</v>
      </c>
      <c r="AP98" s="100"/>
      <c r="AQ98" s="100">
        <v>6660</v>
      </c>
      <c r="AR98" s="100">
        <v>0</v>
      </c>
      <c r="AS98" s="100">
        <v>0</v>
      </c>
      <c r="AT98" s="100">
        <v>0</v>
      </c>
      <c r="AU98" s="100">
        <v>0</v>
      </c>
      <c r="AV98" s="100">
        <v>0</v>
      </c>
      <c r="AW98" s="100"/>
      <c r="AX98" s="248"/>
      <c r="AY98" s="100">
        <v>0</v>
      </c>
      <c r="AZ98" s="100"/>
      <c r="BA98" s="100"/>
      <c r="BB98" s="100"/>
      <c r="BC98" s="300">
        <f t="shared" si="23"/>
        <v>6660</v>
      </c>
      <c r="BD98" s="896">
        <f t="shared" si="24"/>
        <v>1</v>
      </c>
      <c r="BE98" s="896">
        <f t="shared" si="25"/>
        <v>6660</v>
      </c>
      <c r="BF98" s="85"/>
      <c r="BH98" s="505"/>
    </row>
    <row r="99" spans="1:60" s="38" customFormat="1" ht="15" customHeight="1">
      <c r="A99" s="91">
        <v>87</v>
      </c>
      <c r="B99" s="175" t="s">
        <v>1810</v>
      </c>
      <c r="C99" s="617" t="s">
        <v>1314</v>
      </c>
      <c r="D99" s="763">
        <v>25</v>
      </c>
      <c r="E99" s="356">
        <v>0</v>
      </c>
      <c r="F99" s="100">
        <f>SUMIF(pro!$A:$A,$V:$V,pro!$N:$N)</f>
        <v>0</v>
      </c>
      <c r="G99" s="642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356">
        <f>SUMIF(AJOUT!$A:$A,BRAN!$V:$V,AJOUT!$L:$L)</f>
        <v>0</v>
      </c>
      <c r="L99" s="356">
        <f>SUMIF(CBOUT!$A:$A,BRAN!$V:$V,CBOUT!$G:$G)</f>
        <v>0</v>
      </c>
      <c r="M99" s="540">
        <f>E99+F99+H99-I99-L99+G99-K99</f>
        <v>0</v>
      </c>
      <c r="N99" s="354">
        <f t="shared" si="26"/>
        <v>0</v>
      </c>
      <c r="O99" s="357">
        <f t="shared" si="27"/>
        <v>0</v>
      </c>
      <c r="P99" s="762"/>
      <c r="Q99" s="762"/>
      <c r="R99" s="642">
        <f>O99/INTGRATE!$N$293</f>
        <v>0</v>
      </c>
      <c r="S99" s="349">
        <f>IF(R99=0,0,N99/R99)</f>
        <v>0</v>
      </c>
      <c r="T99" s="472"/>
      <c r="U99" s="139"/>
      <c r="V99" s="956" t="str">
        <f t="shared" si="20"/>
        <v>551X2625</v>
      </c>
      <c r="W99" s="943">
        <v>31400126</v>
      </c>
      <c r="X99" s="455">
        <v>0</v>
      </c>
      <c r="Y99" s="455">
        <v>0</v>
      </c>
      <c r="Z99" s="100">
        <v>0</v>
      </c>
      <c r="AA99" s="100">
        <v>0</v>
      </c>
      <c r="AB99" s="100"/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/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494">
        <v>0</v>
      </c>
      <c r="AP99" s="100"/>
      <c r="AQ99" s="100">
        <v>0</v>
      </c>
      <c r="AR99" s="100">
        <v>0</v>
      </c>
      <c r="AS99" s="100">
        <v>0</v>
      </c>
      <c r="AT99" s="100">
        <v>0</v>
      </c>
      <c r="AU99" s="100">
        <v>0</v>
      </c>
      <c r="AV99" s="100">
        <v>0</v>
      </c>
      <c r="AW99" s="100"/>
      <c r="AX99" s="248"/>
      <c r="AY99" s="100">
        <v>0</v>
      </c>
      <c r="AZ99" s="100"/>
      <c r="BA99" s="100"/>
      <c r="BB99" s="100"/>
      <c r="BC99" s="300">
        <f t="shared" si="23"/>
        <v>0</v>
      </c>
      <c r="BD99" s="896">
        <f t="shared" si="24"/>
        <v>0</v>
      </c>
      <c r="BE99" s="896">
        <f t="shared" si="25"/>
        <v>0</v>
      </c>
      <c r="BF99" s="85"/>
      <c r="BH99" s="505"/>
    </row>
    <row r="100" spans="1:60" s="38" customFormat="1" ht="15" customHeight="1">
      <c r="A100" s="91">
        <v>88</v>
      </c>
      <c r="B100" s="175" t="s">
        <v>1666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>M100*25</f>
        <v>0</v>
      </c>
      <c r="O100" s="357">
        <f>SUM(X100:BB100)</f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551XPRO25</v>
      </c>
      <c r="W100" s="943">
        <v>314028</v>
      </c>
      <c r="X100" s="455">
        <v>0</v>
      </c>
      <c r="Y100" s="455">
        <v>0</v>
      </c>
      <c r="Z100" s="100">
        <v>0</v>
      </c>
      <c r="AA100" s="100">
        <v>0</v>
      </c>
      <c r="AB100" s="100"/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/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494">
        <v>0</v>
      </c>
      <c r="AP100" s="100"/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/>
      <c r="AX100" s="248"/>
      <c r="AY100" s="100">
        <v>0</v>
      </c>
      <c r="AZ100" s="100"/>
      <c r="BA100" s="100"/>
      <c r="BB100" s="100"/>
      <c r="BC100" s="300">
        <f t="shared" si="23"/>
        <v>0</v>
      </c>
      <c r="BD100" s="896">
        <f t="shared" si="24"/>
        <v>0</v>
      </c>
      <c r="BE100" s="896">
        <f t="shared" si="25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01" t="s">
        <v>81</v>
      </c>
      <c r="E101" s="356">
        <v>0</v>
      </c>
      <c r="F101" s="494">
        <f>+J101</f>
        <v>0</v>
      </c>
      <c r="G101" s="494"/>
      <c r="H101" s="100">
        <f>SUMIF(CBIN!$A:$A,BRAN!$V:$V,CBIN!$G:$G)</f>
        <v>0</v>
      </c>
      <c r="I101" s="494">
        <f>SUMIF(data!$D:$D,$B101&amp;$D101,data!$J:$J)</f>
        <v>0</v>
      </c>
      <c r="J101" s="494">
        <f>SUMIF(data!$D:$D,$B101&amp;$D101,data!$K:$K)</f>
        <v>0</v>
      </c>
      <c r="K101" s="356">
        <f>SUMIF(AJOUT!$A:$A,BRAN!$V:$V,AJOUT!$L:$L)</f>
        <v>0</v>
      </c>
      <c r="L101" s="494">
        <f>SUMIF(CBOUT!$A:$A,BRAN!$V:$V,CBOUT!$G:$G)</f>
        <v>0</v>
      </c>
      <c r="M101" s="604">
        <v>0</v>
      </c>
      <c r="N101" s="354">
        <f t="shared" si="26"/>
        <v>0</v>
      </c>
      <c r="O101" s="357">
        <f t="shared" si="27"/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551XPROSILO</v>
      </c>
      <c r="W101" s="943">
        <v>314028</v>
      </c>
      <c r="X101" s="455">
        <v>0</v>
      </c>
      <c r="Y101" s="455">
        <v>0</v>
      </c>
      <c r="Z101" s="100">
        <v>0</v>
      </c>
      <c r="AA101" s="100">
        <v>0</v>
      </c>
      <c r="AB101" s="100"/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/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494">
        <v>0</v>
      </c>
      <c r="AP101" s="100"/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/>
      <c r="AX101" s="248"/>
      <c r="AY101" s="100">
        <v>0</v>
      </c>
      <c r="AZ101" s="100"/>
      <c r="BA101" s="100"/>
      <c r="BB101" s="100"/>
      <c r="BC101" s="300">
        <f t="shared" si="23"/>
        <v>0</v>
      </c>
      <c r="BD101" s="896">
        <f t="shared" si="24"/>
        <v>0</v>
      </c>
      <c r="BE101" s="896">
        <f t="shared" si="25"/>
        <v>0</v>
      </c>
      <c r="BF101" s="85"/>
      <c r="BH101" s="505"/>
    </row>
    <row r="102" spans="1:60" s="38" customFormat="1" ht="15" customHeight="1">
      <c r="A102" s="91">
        <v>90</v>
      </c>
      <c r="B102" s="175">
        <v>551</v>
      </c>
      <c r="C102" s="617" t="s">
        <v>1314</v>
      </c>
      <c r="D102" s="701" t="s">
        <v>81</v>
      </c>
      <c r="E102" s="494">
        <v>0</v>
      </c>
      <c r="F102" s="494">
        <f>+J102</f>
        <v>9980</v>
      </c>
      <c r="G102" s="494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9980</v>
      </c>
      <c r="K102" s="356">
        <f>SUMIF(AJOUT!$A:$A,BRAN!$V:$V,AJOUT!$L:$L)</f>
        <v>0</v>
      </c>
      <c r="L102" s="356">
        <f>SUMIF(CBOUT!$A:$A,BRAN!$V:$V,CBOUT!$G:$G)</f>
        <v>0</v>
      </c>
      <c r="M102" s="540">
        <v>0</v>
      </c>
      <c r="N102" s="354">
        <f t="shared" si="26"/>
        <v>0</v>
      </c>
      <c r="O102" s="357">
        <f t="shared" si="27"/>
        <v>73530</v>
      </c>
      <c r="P102" s="496"/>
      <c r="Q102" s="496"/>
      <c r="R102" s="494">
        <f>O102/INTGRATE!$N$293</f>
        <v>3196.9565217391305</v>
      </c>
      <c r="S102" s="349">
        <f t="shared" si="19"/>
        <v>0</v>
      </c>
      <c r="T102" s="472"/>
      <c r="U102" s="139"/>
      <c r="V102" s="956" t="str">
        <f t="shared" si="20"/>
        <v>551SILO</v>
      </c>
      <c r="W102" s="943">
        <v>314001</v>
      </c>
      <c r="X102" s="455">
        <v>9690</v>
      </c>
      <c r="Y102" s="455">
        <v>0</v>
      </c>
      <c r="Z102" s="100">
        <v>4810</v>
      </c>
      <c r="AA102" s="100">
        <v>0</v>
      </c>
      <c r="AB102" s="100"/>
      <c r="AC102" s="100">
        <v>0</v>
      </c>
      <c r="AD102" s="100">
        <v>0</v>
      </c>
      <c r="AE102" s="100">
        <v>13460</v>
      </c>
      <c r="AF102" s="100">
        <v>0</v>
      </c>
      <c r="AG102" s="100">
        <v>4970</v>
      </c>
      <c r="AH102" s="494">
        <v>0</v>
      </c>
      <c r="AI102" s="100"/>
      <c r="AJ102" s="100">
        <v>0</v>
      </c>
      <c r="AK102" s="100">
        <v>0</v>
      </c>
      <c r="AL102" s="100">
        <v>4030</v>
      </c>
      <c r="AM102" s="100">
        <v>0</v>
      </c>
      <c r="AN102" s="100">
        <v>4820</v>
      </c>
      <c r="AO102" s="494">
        <v>0</v>
      </c>
      <c r="AP102" s="100"/>
      <c r="AQ102" s="494">
        <v>8490</v>
      </c>
      <c r="AR102" s="100">
        <v>0</v>
      </c>
      <c r="AS102" s="100">
        <v>4900</v>
      </c>
      <c r="AT102" s="100">
        <v>4970</v>
      </c>
      <c r="AU102" s="100">
        <v>0</v>
      </c>
      <c r="AV102" s="100">
        <v>3410</v>
      </c>
      <c r="AW102" s="100"/>
      <c r="AX102" s="248"/>
      <c r="AY102" s="100">
        <v>9980</v>
      </c>
      <c r="AZ102" s="100"/>
      <c r="BA102" s="100"/>
      <c r="BB102" s="100"/>
      <c r="BC102" s="300">
        <f t="shared" si="23"/>
        <v>73530</v>
      </c>
      <c r="BD102" s="896">
        <f t="shared" si="24"/>
        <v>11</v>
      </c>
      <c r="BE102" s="896">
        <f t="shared" si="25"/>
        <v>6684.545454545455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168">
        <v>25</v>
      </c>
      <c r="E103" s="100">
        <v>1767</v>
      </c>
      <c r="F103" s="100">
        <f>SUMIF(pro!$A:$A,$V:$V,pro!$N:$N)</f>
        <v>311</v>
      </c>
      <c r="G103" s="356"/>
      <c r="H103" s="100">
        <f>SUMIF(CBIN!$A:$A,BRAN!$V:$V,CBIN!$G:$G)</f>
        <v>0</v>
      </c>
      <c r="I103" s="100">
        <f>SUMIF(data!$D:$D,$B103&amp;$D103,data!$J:$J)</f>
        <v>618</v>
      </c>
      <c r="J103" s="100">
        <f>SUMIF(data!$D:$D,$B103&amp;$D103,data!$K:$K)</f>
        <v>15450</v>
      </c>
      <c r="K103" s="356">
        <f>SUMIF(AJOUT!$A:$A,BRAN!$V:$V,AJOUT!$L:$L)</f>
        <v>0</v>
      </c>
      <c r="L103" s="356">
        <f>SUMIF(CBOUT!$A:$A,BRAN!$V:$V,CBOUT!$G:$G)</f>
        <v>0</v>
      </c>
      <c r="M103" s="540">
        <f t="shared" si="30"/>
        <v>1460</v>
      </c>
      <c r="N103" s="354">
        <f t="shared" si="26"/>
        <v>36500</v>
      </c>
      <c r="O103" s="357">
        <f t="shared" si="27"/>
        <v>239675</v>
      </c>
      <c r="P103" s="350"/>
      <c r="Q103" s="350"/>
      <c r="R103" s="356">
        <f>O103/INTGRATE!$N$293</f>
        <v>10420.652173913044</v>
      </c>
      <c r="S103" s="349">
        <f t="shared" si="19"/>
        <v>3.5026598518827576</v>
      </c>
      <c r="T103" s="471"/>
      <c r="U103" s="139"/>
      <c r="V103" s="956" t="str">
        <f t="shared" si="20"/>
        <v>55125</v>
      </c>
      <c r="W103" s="943">
        <v>314001</v>
      </c>
      <c r="X103" s="455">
        <v>9800</v>
      </c>
      <c r="Y103" s="455">
        <v>7750</v>
      </c>
      <c r="Z103" s="100">
        <v>12000</v>
      </c>
      <c r="AA103" s="100">
        <v>20550</v>
      </c>
      <c r="AB103" s="100"/>
      <c r="AC103" s="100">
        <v>7350</v>
      </c>
      <c r="AD103" s="100">
        <v>5675</v>
      </c>
      <c r="AE103" s="100">
        <v>15750</v>
      </c>
      <c r="AF103" s="100">
        <v>6250</v>
      </c>
      <c r="AG103" s="100">
        <v>5175</v>
      </c>
      <c r="AH103" s="100">
        <v>15850</v>
      </c>
      <c r="AI103" s="100"/>
      <c r="AJ103" s="100">
        <v>4200</v>
      </c>
      <c r="AK103" s="100">
        <v>11425</v>
      </c>
      <c r="AL103" s="100">
        <v>2125</v>
      </c>
      <c r="AM103" s="100">
        <v>8200</v>
      </c>
      <c r="AN103" s="100">
        <v>12925</v>
      </c>
      <c r="AO103" s="100">
        <v>16725</v>
      </c>
      <c r="AP103" s="100"/>
      <c r="AQ103" s="100">
        <v>3825</v>
      </c>
      <c r="AR103" s="100">
        <v>8700</v>
      </c>
      <c r="AS103" s="100">
        <v>10800</v>
      </c>
      <c r="AT103" s="100">
        <v>13400</v>
      </c>
      <c r="AU103" s="100">
        <v>13675</v>
      </c>
      <c r="AV103" s="100">
        <v>12075</v>
      </c>
      <c r="AW103" s="100"/>
      <c r="AX103" s="248"/>
      <c r="AY103" s="100">
        <v>15450</v>
      </c>
      <c r="AZ103" s="100"/>
      <c r="BA103" s="100"/>
      <c r="BB103" s="100"/>
      <c r="BC103" s="300">
        <f t="shared" si="23"/>
        <v>239675</v>
      </c>
      <c r="BD103" s="896">
        <f t="shared" si="24"/>
        <v>23</v>
      </c>
      <c r="BE103" s="896">
        <f t="shared" si="25"/>
        <v>10420.652173913044</v>
      </c>
      <c r="BF103" s="85"/>
      <c r="BH103" s="505"/>
    </row>
    <row r="104" spans="1:60" s="38" customFormat="1" ht="15" customHeight="1">
      <c r="A104" s="91">
        <v>92</v>
      </c>
      <c r="B104" s="175" t="s">
        <v>1468</v>
      </c>
      <c r="C104" s="617" t="s">
        <v>1314</v>
      </c>
      <c r="D104" s="168">
        <v>25</v>
      </c>
      <c r="E104" s="100">
        <v>372</v>
      </c>
      <c r="F104" s="100">
        <f>SUMIF(pro!$A:$A,$V:$V,pro!$N:$N)</f>
        <v>0</v>
      </c>
      <c r="G104" s="356"/>
      <c r="H104" s="100">
        <f>SUMIF(CBIN!$A:$A,BRAN!$V:$V,CBIN!$G:$G)</f>
        <v>0</v>
      </c>
      <c r="I104" s="100">
        <f>SUMIF(data!$D:$D,$B104&amp;$D104,data!$J:$J)</f>
        <v>347</v>
      </c>
      <c r="J104" s="100">
        <f>SUMIF(data!$D:$D,$B104&amp;$D104,data!$K:$K)</f>
        <v>8675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0"/>
        <v>25</v>
      </c>
      <c r="N104" s="354">
        <f t="shared" si="26"/>
        <v>625</v>
      </c>
      <c r="O104" s="357">
        <f t="shared" si="27"/>
        <v>91775</v>
      </c>
      <c r="P104" s="350"/>
      <c r="Q104" s="350"/>
      <c r="R104" s="356">
        <f>O104/INTGRATE!$N$293</f>
        <v>3990.217391304348</v>
      </c>
      <c r="S104" s="349">
        <f t="shared" si="19"/>
        <v>0.15663307000817214</v>
      </c>
      <c r="T104" s="472"/>
      <c r="U104" s="139"/>
      <c r="V104" s="956" t="str">
        <f t="shared" si="20"/>
        <v>551Pro25</v>
      </c>
      <c r="W104" s="943">
        <v>314021</v>
      </c>
      <c r="X104" s="455">
        <v>150</v>
      </c>
      <c r="Y104" s="455">
        <v>0</v>
      </c>
      <c r="Z104" s="100">
        <v>0</v>
      </c>
      <c r="AA104" s="100">
        <v>1875</v>
      </c>
      <c r="AB104" s="100"/>
      <c r="AC104" s="100">
        <v>9125</v>
      </c>
      <c r="AD104" s="100">
        <v>1075</v>
      </c>
      <c r="AE104" s="100">
        <v>1125</v>
      </c>
      <c r="AF104" s="100">
        <v>675</v>
      </c>
      <c r="AG104" s="100">
        <v>13500</v>
      </c>
      <c r="AH104" s="100">
        <v>1750</v>
      </c>
      <c r="AI104" s="100"/>
      <c r="AJ104" s="100">
        <v>8750</v>
      </c>
      <c r="AK104" s="100">
        <v>250</v>
      </c>
      <c r="AL104" s="100">
        <v>11875</v>
      </c>
      <c r="AM104" s="100">
        <v>400</v>
      </c>
      <c r="AN104" s="100">
        <v>1125</v>
      </c>
      <c r="AO104" s="100">
        <v>7500</v>
      </c>
      <c r="AP104" s="100"/>
      <c r="AQ104" s="100">
        <v>750</v>
      </c>
      <c r="AR104" s="100">
        <v>8900</v>
      </c>
      <c r="AS104" s="100">
        <v>0</v>
      </c>
      <c r="AT104" s="100">
        <v>1400</v>
      </c>
      <c r="AU104" s="100">
        <v>10325</v>
      </c>
      <c r="AV104" s="100">
        <v>2550</v>
      </c>
      <c r="AW104" s="100"/>
      <c r="AX104" s="248"/>
      <c r="AY104" s="100">
        <v>8675</v>
      </c>
      <c r="AZ104" s="100"/>
      <c r="BA104" s="100"/>
      <c r="BB104" s="100"/>
      <c r="BC104" s="300">
        <f t="shared" si="23"/>
        <v>91775</v>
      </c>
      <c r="BD104" s="896">
        <f t="shared" si="24"/>
        <v>20</v>
      </c>
      <c r="BE104" s="896">
        <f t="shared" si="25"/>
        <v>4588.75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701" t="s">
        <v>901</v>
      </c>
      <c r="E105" s="100">
        <v>0</v>
      </c>
      <c r="F105" s="494">
        <f>+J105</f>
        <v>0</v>
      </c>
      <c r="G105" s="494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356">
        <f>SUMIF(AJOUT!$A:$A,BRAN!$V:$V,AJOUT!$L:$L)</f>
        <v>0</v>
      </c>
      <c r="L105" s="356">
        <f>SUMIF(CBOUT!$A:$A,BRAN!$V:$V,CBOUT!$G:$G)</f>
        <v>0</v>
      </c>
      <c r="M105" s="604">
        <v>0</v>
      </c>
      <c r="N105" s="354">
        <f t="shared" si="26"/>
        <v>0</v>
      </c>
      <c r="O105" s="357">
        <f t="shared" si="27"/>
        <v>13170</v>
      </c>
      <c r="P105" s="350"/>
      <c r="Q105" s="350"/>
      <c r="R105" s="356">
        <f>O105/INTGRATE!$N$293</f>
        <v>572.60869565217388</v>
      </c>
      <c r="S105" s="349">
        <f t="shared" si="19"/>
        <v>0</v>
      </c>
      <c r="T105" s="471"/>
      <c r="U105" s="139"/>
      <c r="V105" s="956" t="str">
        <f t="shared" si="20"/>
        <v>551Prosilo</v>
      </c>
      <c r="W105" s="943">
        <v>314021</v>
      </c>
      <c r="X105" s="455">
        <v>0</v>
      </c>
      <c r="Y105" s="455">
        <v>0</v>
      </c>
      <c r="Z105" s="100">
        <v>0</v>
      </c>
      <c r="AA105" s="100">
        <v>0</v>
      </c>
      <c r="AB105" s="100"/>
      <c r="AC105" s="100">
        <v>0</v>
      </c>
      <c r="AD105" s="100">
        <v>0</v>
      </c>
      <c r="AE105" s="100">
        <v>0</v>
      </c>
      <c r="AF105" s="100">
        <v>0</v>
      </c>
      <c r="AG105" s="100">
        <v>0</v>
      </c>
      <c r="AH105" s="100">
        <v>0</v>
      </c>
      <c r="AI105" s="100"/>
      <c r="AJ105" s="100">
        <v>0</v>
      </c>
      <c r="AK105" s="100">
        <v>13170</v>
      </c>
      <c r="AL105" s="100">
        <v>0</v>
      </c>
      <c r="AM105" s="100">
        <v>0</v>
      </c>
      <c r="AN105" s="100">
        <v>0</v>
      </c>
      <c r="AO105" s="494">
        <v>0</v>
      </c>
      <c r="AP105" s="100"/>
      <c r="AQ105" s="100">
        <v>0</v>
      </c>
      <c r="AR105" s="100">
        <v>0</v>
      </c>
      <c r="AS105" s="100">
        <v>0</v>
      </c>
      <c r="AT105" s="100">
        <v>0</v>
      </c>
      <c r="AU105" s="100">
        <v>0</v>
      </c>
      <c r="AV105" s="100">
        <v>0</v>
      </c>
      <c r="AW105" s="100"/>
      <c r="AX105" s="248"/>
      <c r="AY105" s="100">
        <v>0</v>
      </c>
      <c r="AZ105" s="100"/>
      <c r="BA105" s="100"/>
      <c r="BB105" s="100"/>
      <c r="BC105" s="300">
        <f t="shared" si="23"/>
        <v>13170</v>
      </c>
      <c r="BD105" s="896">
        <f t="shared" si="24"/>
        <v>1</v>
      </c>
      <c r="BE105" s="896">
        <f t="shared" si="25"/>
        <v>13170</v>
      </c>
      <c r="BF105" s="85"/>
      <c r="BH105" s="505"/>
    </row>
    <row r="106" spans="1:60" s="38" customFormat="1" ht="15" customHeight="1">
      <c r="A106" s="91">
        <v>94</v>
      </c>
      <c r="B106" s="175" t="s">
        <v>2640</v>
      </c>
      <c r="C106" s="617" t="s">
        <v>1314</v>
      </c>
      <c r="D106" s="763">
        <v>25</v>
      </c>
      <c r="E106" s="100">
        <v>0</v>
      </c>
      <c r="F106" s="100">
        <f>SUMIF(pro!$A:$A,$V:$V,pro!$N:$N)</f>
        <v>0</v>
      </c>
      <c r="G106" s="494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356">
        <v>0</v>
      </c>
      <c r="L106" s="356">
        <f>SUMIF(CBOUT!$A:$A,BRAN!$V:$V,CBOUT!$G:$G)</f>
        <v>0</v>
      </c>
      <c r="M106" s="540">
        <f>E106+F106+H106-I106-L106+G106-K106</f>
        <v>0</v>
      </c>
      <c r="N106" s="354">
        <f t="shared" ref="N106" si="35">M106*25</f>
        <v>0</v>
      </c>
      <c r="O106" s="357">
        <f t="shared" ref="O106" si="36">SUM(X106:BB106)</f>
        <v>19375</v>
      </c>
      <c r="P106" s="350"/>
      <c r="Q106" s="350"/>
      <c r="R106" s="356">
        <f>O106/INTGRATE!$N$293</f>
        <v>842.39130434782612</v>
      </c>
      <c r="S106" s="349">
        <f t="shared" ref="S106" si="37">IF(R106=0,0,N106/R106)</f>
        <v>0</v>
      </c>
      <c r="T106" s="471"/>
      <c r="U106" s="139"/>
      <c r="V106" s="956" t="str">
        <f t="shared" si="20"/>
        <v>551GPX25</v>
      </c>
      <c r="W106" s="943">
        <v>314018</v>
      </c>
      <c r="X106" s="455">
        <v>7000</v>
      </c>
      <c r="Y106" s="455">
        <v>0</v>
      </c>
      <c r="Z106" s="100">
        <v>5550</v>
      </c>
      <c r="AA106" s="100">
        <v>5575</v>
      </c>
      <c r="AB106" s="100"/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/>
      <c r="AJ106" s="100">
        <v>0</v>
      </c>
      <c r="AK106" s="100">
        <v>0</v>
      </c>
      <c r="AL106" s="100">
        <v>0</v>
      </c>
      <c r="AM106" s="100">
        <v>1250</v>
      </c>
      <c r="AN106" s="100">
        <v>0</v>
      </c>
      <c r="AO106" s="494">
        <v>0</v>
      </c>
      <c r="AP106" s="100"/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/>
      <c r="AX106" s="248"/>
      <c r="AY106" s="100">
        <v>0</v>
      </c>
      <c r="AZ106" s="100"/>
      <c r="BA106" s="100"/>
      <c r="BB106" s="100"/>
      <c r="BC106" s="300">
        <f t="shared" si="23"/>
        <v>19375</v>
      </c>
      <c r="BD106" s="896">
        <f t="shared" si="24"/>
        <v>4</v>
      </c>
      <c r="BE106" s="896">
        <f t="shared" si="25"/>
        <v>4843.75</v>
      </c>
      <c r="BF106" s="85"/>
      <c r="BH106" s="505"/>
    </row>
    <row r="107" spans="1:60" s="38" customFormat="1" ht="15" customHeight="1">
      <c r="A107" s="91">
        <v>95</v>
      </c>
      <c r="B107" s="175" t="s">
        <v>103</v>
      </c>
      <c r="C107" s="617" t="s">
        <v>1314</v>
      </c>
      <c r="D107" s="168" t="s">
        <v>81</v>
      </c>
      <c r="E107" s="494">
        <v>0</v>
      </c>
      <c r="F107" s="494">
        <f>+J107</f>
        <v>0</v>
      </c>
      <c r="G107" s="494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356">
        <f>SUMIF(AJOUT!$A:$A,BRAN!$V:$V,AJOUT!$L:$L)</f>
        <v>0</v>
      </c>
      <c r="L107" s="356">
        <f>SUMIF(CBOUT!$A:$A,BRAN!$V:$V,CBOUT!$G:$G)</f>
        <v>0</v>
      </c>
      <c r="M107" s="604">
        <v>0</v>
      </c>
      <c r="N107" s="354">
        <f t="shared" si="26"/>
        <v>0</v>
      </c>
      <c r="O107" s="357">
        <f t="shared" si="27"/>
        <v>14000</v>
      </c>
      <c r="P107" s="496"/>
      <c r="Q107" s="496"/>
      <c r="R107" s="494">
        <f>O107/INTGRATE!$N$293</f>
        <v>608.695652173913</v>
      </c>
      <c r="S107" s="349">
        <f t="shared" ref="S107:S149" si="38">IF(R107=0,0,N107/R107)</f>
        <v>0</v>
      </c>
      <c r="T107" s="472"/>
      <c r="U107" s="139"/>
      <c r="V107" s="956" t="str">
        <f t="shared" ref="V107:V150" si="39">B107&amp;D107</f>
        <v>551GPSILO</v>
      </c>
      <c r="W107" s="943">
        <v>31400127</v>
      </c>
      <c r="X107" s="455">
        <v>0</v>
      </c>
      <c r="Y107" s="455">
        <v>0</v>
      </c>
      <c r="Z107" s="100">
        <v>0</v>
      </c>
      <c r="AA107" s="100">
        <v>0</v>
      </c>
      <c r="AB107" s="100"/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494">
        <v>0</v>
      </c>
      <c r="AI107" s="100"/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494">
        <v>0</v>
      </c>
      <c r="AP107" s="100"/>
      <c r="AQ107" s="494">
        <v>0</v>
      </c>
      <c r="AR107" s="100">
        <v>0</v>
      </c>
      <c r="AS107" s="100">
        <v>0</v>
      </c>
      <c r="AT107" s="100">
        <v>0</v>
      </c>
      <c r="AU107" s="100">
        <v>14000</v>
      </c>
      <c r="AV107" s="100">
        <v>0</v>
      </c>
      <c r="AW107" s="100"/>
      <c r="AX107" s="248"/>
      <c r="AY107" s="100">
        <v>0</v>
      </c>
      <c r="AZ107" s="100"/>
      <c r="BA107" s="100"/>
      <c r="BB107" s="100"/>
      <c r="BC107" s="300">
        <f t="shared" si="23"/>
        <v>14000</v>
      </c>
      <c r="BD107" s="896">
        <f t="shared" si="24"/>
        <v>1</v>
      </c>
      <c r="BE107" s="896">
        <f t="shared" si="25"/>
        <v>14000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>
        <v>25</v>
      </c>
      <c r="E108" s="100">
        <v>12</v>
      </c>
      <c r="F108" s="100">
        <f>SUMIF(pro!$A:$A,$V:$V,pro!$N:$N)</f>
        <v>0</v>
      </c>
      <c r="G108" s="356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540">
        <f>E108+F108+H108-I108-L108+G108-K108</f>
        <v>12</v>
      </c>
      <c r="N108" s="354">
        <f t="shared" si="26"/>
        <v>300</v>
      </c>
      <c r="O108" s="357">
        <f t="shared" si="27"/>
        <v>31050</v>
      </c>
      <c r="P108" s="350"/>
      <c r="Q108" s="350"/>
      <c r="R108" s="356">
        <f>O108/INTGRATE!$N$293</f>
        <v>1350</v>
      </c>
      <c r="S108" s="349">
        <f t="shared" si="38"/>
        <v>0.22222222222222221</v>
      </c>
      <c r="T108" s="630"/>
      <c r="U108" s="139"/>
      <c r="V108" s="956" t="str">
        <f t="shared" si="39"/>
        <v>551GP25</v>
      </c>
      <c r="W108" s="943">
        <v>314011</v>
      </c>
      <c r="X108" s="455">
        <v>1250</v>
      </c>
      <c r="Y108" s="455">
        <v>0</v>
      </c>
      <c r="Z108" s="100">
        <v>2400</v>
      </c>
      <c r="AA108" s="100">
        <v>250</v>
      </c>
      <c r="AB108" s="100"/>
      <c r="AC108" s="100">
        <v>125</v>
      </c>
      <c r="AD108" s="100">
        <v>0</v>
      </c>
      <c r="AE108" s="100">
        <v>0</v>
      </c>
      <c r="AF108" s="100">
        <v>0</v>
      </c>
      <c r="AG108" s="100">
        <v>625</v>
      </c>
      <c r="AH108" s="100">
        <v>3000</v>
      </c>
      <c r="AI108" s="100"/>
      <c r="AJ108" s="100">
        <v>0</v>
      </c>
      <c r="AK108" s="100">
        <v>2750</v>
      </c>
      <c r="AL108" s="100">
        <v>0</v>
      </c>
      <c r="AM108" s="100">
        <v>2075</v>
      </c>
      <c r="AN108" s="100">
        <v>0</v>
      </c>
      <c r="AO108" s="100">
        <v>3750</v>
      </c>
      <c r="AP108" s="100"/>
      <c r="AQ108" s="100">
        <v>0</v>
      </c>
      <c r="AR108" s="100">
        <v>625</v>
      </c>
      <c r="AS108" s="100">
        <v>3750</v>
      </c>
      <c r="AT108" s="100">
        <v>750</v>
      </c>
      <c r="AU108" s="100">
        <v>7200</v>
      </c>
      <c r="AV108" s="100">
        <v>2500</v>
      </c>
      <c r="AW108" s="100"/>
      <c r="AX108" s="248"/>
      <c r="AY108" s="100">
        <v>0</v>
      </c>
      <c r="AZ108" s="100"/>
      <c r="BA108" s="100"/>
      <c r="BB108" s="100"/>
      <c r="BC108" s="300">
        <f t="shared" si="23"/>
        <v>31050</v>
      </c>
      <c r="BD108" s="896">
        <f t="shared" si="24"/>
        <v>14</v>
      </c>
      <c r="BE108" s="896">
        <f t="shared" si="25"/>
        <v>2217.8571428571427</v>
      </c>
      <c r="BF108" s="85"/>
      <c r="BH108" s="505"/>
    </row>
    <row r="109" spans="1:60" s="38" customFormat="1" ht="15" customHeight="1">
      <c r="A109" s="91">
        <v>97</v>
      </c>
      <c r="B109" s="94">
        <v>552</v>
      </c>
      <c r="C109" s="94" t="s">
        <v>61</v>
      </c>
      <c r="D109" s="91">
        <v>25</v>
      </c>
      <c r="E109" s="100">
        <v>2845</v>
      </c>
      <c r="F109" s="100">
        <f>SUMIF(pro!$A:$A,$V:$V,pro!$N:$N)</f>
        <v>0</v>
      </c>
      <c r="G109" s="356"/>
      <c r="H109" s="100">
        <f>SUMIF(CBIN!$A:$A,BRAN!$V:$V,CBIN!$G:$G)</f>
        <v>0</v>
      </c>
      <c r="I109" s="100">
        <f>SUMIF(data!$D:$D,$B109&amp;$D109,data!$J:$J)</f>
        <v>2025</v>
      </c>
      <c r="J109" s="100">
        <f>SUMIF(data!$D:$D,$B109&amp;$D109,data!$K:$K)</f>
        <v>50625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820</v>
      </c>
      <c r="N109" s="354">
        <f t="shared" si="26"/>
        <v>20500</v>
      </c>
      <c r="O109" s="357">
        <f t="shared" si="27"/>
        <v>785175</v>
      </c>
      <c r="P109" s="350"/>
      <c r="Q109" s="350"/>
      <c r="R109" s="356">
        <f>O109/INTGRATE!$N$293</f>
        <v>34138.043478260872</v>
      </c>
      <c r="S109" s="349">
        <f t="shared" si="38"/>
        <v>0.60050307256344126</v>
      </c>
      <c r="T109" s="472"/>
      <c r="U109" s="139"/>
      <c r="V109" s="956" t="str">
        <f t="shared" si="39"/>
        <v>55225</v>
      </c>
      <c r="W109" s="943">
        <v>321001</v>
      </c>
      <c r="X109" s="455">
        <v>39400</v>
      </c>
      <c r="Y109" s="455">
        <v>22800</v>
      </c>
      <c r="Z109" s="100">
        <v>47375</v>
      </c>
      <c r="AA109" s="100">
        <v>35975</v>
      </c>
      <c r="AB109" s="100"/>
      <c r="AC109" s="100">
        <v>45650</v>
      </c>
      <c r="AD109" s="100">
        <v>29150</v>
      </c>
      <c r="AE109" s="100">
        <v>21100</v>
      </c>
      <c r="AF109" s="100">
        <v>63875</v>
      </c>
      <c r="AG109" s="100">
        <v>35750</v>
      </c>
      <c r="AH109" s="100">
        <v>12025</v>
      </c>
      <c r="AI109" s="100"/>
      <c r="AJ109" s="100">
        <v>35350</v>
      </c>
      <c r="AK109" s="100">
        <v>34750</v>
      </c>
      <c r="AL109" s="100">
        <v>27600</v>
      </c>
      <c r="AM109" s="100">
        <v>12425</v>
      </c>
      <c r="AN109" s="100">
        <v>26750</v>
      </c>
      <c r="AO109" s="100">
        <v>29675</v>
      </c>
      <c r="AP109" s="100"/>
      <c r="AQ109" s="100">
        <v>22625</v>
      </c>
      <c r="AR109" s="100">
        <v>49825</v>
      </c>
      <c r="AS109" s="100">
        <v>34225</v>
      </c>
      <c r="AT109" s="100">
        <v>25850</v>
      </c>
      <c r="AU109" s="100">
        <v>46650</v>
      </c>
      <c r="AV109" s="100">
        <v>35725</v>
      </c>
      <c r="AW109" s="100"/>
      <c r="AX109" s="248"/>
      <c r="AY109" s="100">
        <v>50625</v>
      </c>
      <c r="AZ109" s="100"/>
      <c r="BA109" s="100"/>
      <c r="BB109" s="100"/>
      <c r="BC109" s="300">
        <f t="shared" si="23"/>
        <v>785175</v>
      </c>
      <c r="BD109" s="896">
        <f t="shared" si="24"/>
        <v>23</v>
      </c>
      <c r="BE109" s="896">
        <f t="shared" si="25"/>
        <v>34138.043478260872</v>
      </c>
      <c r="BF109" s="85"/>
      <c r="BH109" s="505"/>
    </row>
    <row r="110" spans="1:60" s="38" customFormat="1" ht="15" customHeight="1">
      <c r="A110" s="91">
        <v>98</v>
      </c>
      <c r="B110" s="94" t="s">
        <v>1461</v>
      </c>
      <c r="C110" s="94" t="s">
        <v>61</v>
      </c>
      <c r="D110" s="604" t="s">
        <v>81</v>
      </c>
      <c r="E110" s="100"/>
      <c r="F110" s="494">
        <f>+J110</f>
        <v>0</v>
      </c>
      <c r="G110" s="356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356"/>
      <c r="L110" s="356"/>
      <c r="M110" s="540"/>
      <c r="N110" s="354">
        <f t="shared" si="26"/>
        <v>0</v>
      </c>
      <c r="O110" s="357">
        <f t="shared" si="27"/>
        <v>0</v>
      </c>
      <c r="P110" s="350"/>
      <c r="Q110" s="350"/>
      <c r="R110" s="356">
        <f>O110/INTGRATE!$N$293</f>
        <v>0</v>
      </c>
      <c r="S110" s="349">
        <f t="shared" si="38"/>
        <v>0</v>
      </c>
      <c r="T110" s="472"/>
      <c r="U110" s="139"/>
      <c r="V110" s="956" t="str">
        <f>B110&amp;D110</f>
        <v>552ProSILO</v>
      </c>
      <c r="W110" s="943">
        <v>321021</v>
      </c>
      <c r="X110" s="455">
        <v>0</v>
      </c>
      <c r="Y110" s="455">
        <v>0</v>
      </c>
      <c r="Z110" s="100">
        <v>0</v>
      </c>
      <c r="AA110" s="100">
        <v>0</v>
      </c>
      <c r="AB110" s="100"/>
      <c r="AC110" s="100">
        <v>0</v>
      </c>
      <c r="AD110" s="100">
        <v>0</v>
      </c>
      <c r="AE110" s="100">
        <v>0</v>
      </c>
      <c r="AF110" s="100">
        <v>0</v>
      </c>
      <c r="AG110" s="100">
        <v>0</v>
      </c>
      <c r="AH110" s="100">
        <v>0</v>
      </c>
      <c r="AI110" s="100"/>
      <c r="AJ110" s="100">
        <v>0</v>
      </c>
      <c r="AK110" s="100">
        <v>0</v>
      </c>
      <c r="AL110" s="100">
        <v>0</v>
      </c>
      <c r="AM110" s="100">
        <v>0</v>
      </c>
      <c r="AN110" s="100">
        <v>0</v>
      </c>
      <c r="AO110" s="494">
        <v>0</v>
      </c>
      <c r="AP110" s="100"/>
      <c r="AQ110" s="100">
        <v>0</v>
      </c>
      <c r="AR110" s="100">
        <v>0</v>
      </c>
      <c r="AS110" s="100">
        <v>0</v>
      </c>
      <c r="AT110" s="100">
        <v>0</v>
      </c>
      <c r="AU110" s="100">
        <v>0</v>
      </c>
      <c r="AV110" s="100">
        <v>0</v>
      </c>
      <c r="AW110" s="100"/>
      <c r="AX110" s="248"/>
      <c r="AY110" s="100">
        <v>0</v>
      </c>
      <c r="AZ110" s="100"/>
      <c r="BA110" s="100"/>
      <c r="BB110" s="100"/>
      <c r="BC110" s="300">
        <f t="shared" si="23"/>
        <v>0</v>
      </c>
      <c r="BD110" s="896">
        <f t="shared" si="24"/>
        <v>0</v>
      </c>
      <c r="BE110" s="896">
        <f t="shared" si="25"/>
        <v>0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91">
        <v>25</v>
      </c>
      <c r="E111" s="100">
        <v>686</v>
      </c>
      <c r="F111" s="100">
        <f>SUMIF(pro!$A:$A,$V:$V,pro!$N:$N)</f>
        <v>0</v>
      </c>
      <c r="G111" s="356"/>
      <c r="H111" s="100">
        <f>SUMIF(CBIN!$A:$A,BRAN!$V:$V,CBIN!$G:$G)</f>
        <v>0</v>
      </c>
      <c r="I111" s="100">
        <f>SUMIF(data!$D:$D,$B111&amp;$D111,data!$J:$J)</f>
        <v>213</v>
      </c>
      <c r="J111" s="100">
        <f>SUMIF(data!$D:$D,$B111&amp;$D111,data!$K:$K)</f>
        <v>5325</v>
      </c>
      <c r="K111" s="356">
        <f>SUMIF(AJOUT!$A:$A,BRAN!$V:$V,AJOUT!$L:$L)</f>
        <v>0</v>
      </c>
      <c r="L111" s="356">
        <f>SUMIF(CBOUT!$A:$A,BRAN!$V:$V,CBOUT!$G:$G)</f>
        <v>0</v>
      </c>
      <c r="M111" s="540">
        <f>E111+F111+H111-I111-L111+G111-K111</f>
        <v>473</v>
      </c>
      <c r="N111" s="354">
        <f t="shared" si="26"/>
        <v>11825</v>
      </c>
      <c r="O111" s="357">
        <f t="shared" si="27"/>
        <v>56375</v>
      </c>
      <c r="P111" s="350"/>
      <c r="Q111" s="350"/>
      <c r="R111" s="356">
        <f>O111/INTGRATE!$N$293</f>
        <v>2451.086956521739</v>
      </c>
      <c r="S111" s="349">
        <f>IF(R111=0,0,N111/R111)</f>
        <v>4.8243902439024389</v>
      </c>
      <c r="T111" s="531"/>
      <c r="U111" s="139"/>
      <c r="V111" s="956" t="str">
        <f t="shared" si="39"/>
        <v>552Pro25</v>
      </c>
      <c r="W111" s="943">
        <v>321012</v>
      </c>
      <c r="X111" s="455">
        <v>0</v>
      </c>
      <c r="Y111" s="455">
        <v>0</v>
      </c>
      <c r="Z111" s="100">
        <v>1125</v>
      </c>
      <c r="AA111" s="100">
        <v>11100</v>
      </c>
      <c r="AB111" s="100"/>
      <c r="AC111" s="100">
        <v>2500</v>
      </c>
      <c r="AD111" s="100">
        <v>0</v>
      </c>
      <c r="AE111" s="100">
        <v>5300</v>
      </c>
      <c r="AF111" s="100">
        <v>0</v>
      </c>
      <c r="AG111" s="100">
        <v>250</v>
      </c>
      <c r="AH111" s="100">
        <v>4375</v>
      </c>
      <c r="AI111" s="100"/>
      <c r="AJ111" s="100">
        <v>1250</v>
      </c>
      <c r="AK111" s="100">
        <v>1750</v>
      </c>
      <c r="AL111" s="100">
        <v>1750</v>
      </c>
      <c r="AM111" s="100">
        <v>1625</v>
      </c>
      <c r="AN111" s="100">
        <v>1450</v>
      </c>
      <c r="AO111" s="100">
        <v>3500</v>
      </c>
      <c r="AP111" s="100"/>
      <c r="AQ111" s="100">
        <v>3450</v>
      </c>
      <c r="AR111" s="100">
        <v>3125</v>
      </c>
      <c r="AS111" s="100">
        <v>0</v>
      </c>
      <c r="AT111" s="100">
        <v>0</v>
      </c>
      <c r="AU111" s="100">
        <v>4500</v>
      </c>
      <c r="AV111" s="100">
        <v>4000</v>
      </c>
      <c r="AW111" s="100"/>
      <c r="AX111" s="248"/>
      <c r="AY111" s="100">
        <v>5325</v>
      </c>
      <c r="AZ111" s="100"/>
      <c r="BA111" s="100"/>
      <c r="BB111" s="100"/>
      <c r="BC111" s="300">
        <f t="shared" si="23"/>
        <v>56375</v>
      </c>
      <c r="BD111" s="896">
        <f t="shared" si="24"/>
        <v>17</v>
      </c>
      <c r="BE111" s="896">
        <f t="shared" si="25"/>
        <v>3316.1764705882351</v>
      </c>
      <c r="BF111" s="85"/>
      <c r="BH111" s="505"/>
    </row>
    <row r="112" spans="1:60" s="38" customFormat="1" ht="15" customHeight="1">
      <c r="A112" s="91">
        <v>100</v>
      </c>
      <c r="B112" s="94">
        <v>552</v>
      </c>
      <c r="C112" s="123" t="s">
        <v>61</v>
      </c>
      <c r="D112" s="604" t="s">
        <v>81</v>
      </c>
      <c r="E112" s="100">
        <v>0</v>
      </c>
      <c r="F112" s="494">
        <f>+J112</f>
        <v>0</v>
      </c>
      <c r="G112" s="494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356">
        <f>SUMIF(AJOUT!$A:$A,BRAN!$V:$V,AJOUT!$L:$L)</f>
        <v>0</v>
      </c>
      <c r="L112" s="356">
        <f>SUMIF(CBOUT!$A:$A,BRAN!$V:$V,CBOUT!$G:$G)</f>
        <v>0</v>
      </c>
      <c r="M112" s="604">
        <v>0</v>
      </c>
      <c r="N112" s="354">
        <f t="shared" si="26"/>
        <v>0</v>
      </c>
      <c r="O112" s="357">
        <f t="shared" si="27"/>
        <v>198380</v>
      </c>
      <c r="P112" s="496"/>
      <c r="Q112" s="496"/>
      <c r="R112" s="494">
        <f>O112/INTGRATE!$N$293</f>
        <v>8625.217391304348</v>
      </c>
      <c r="S112" s="349">
        <f t="shared" si="38"/>
        <v>0</v>
      </c>
      <c r="T112" s="472"/>
      <c r="U112" s="139"/>
      <c r="V112" s="956" t="str">
        <f t="shared" si="39"/>
        <v>552SILO</v>
      </c>
      <c r="W112" s="943">
        <v>321012</v>
      </c>
      <c r="X112" s="455">
        <v>21240</v>
      </c>
      <c r="Y112" s="455">
        <v>0</v>
      </c>
      <c r="Z112" s="100">
        <v>10000</v>
      </c>
      <c r="AA112" s="100">
        <v>9950</v>
      </c>
      <c r="AB112" s="100"/>
      <c r="AC112" s="100">
        <v>14850</v>
      </c>
      <c r="AD112" s="100">
        <v>0</v>
      </c>
      <c r="AE112" s="100">
        <v>4760</v>
      </c>
      <c r="AF112" s="100">
        <v>0</v>
      </c>
      <c r="AG112" s="100">
        <v>10030</v>
      </c>
      <c r="AH112" s="494">
        <v>10010</v>
      </c>
      <c r="AI112" s="100"/>
      <c r="AJ112" s="100">
        <v>0</v>
      </c>
      <c r="AK112" s="100">
        <v>28650</v>
      </c>
      <c r="AL112" s="100">
        <v>0</v>
      </c>
      <c r="AM112" s="100">
        <v>0</v>
      </c>
      <c r="AN112" s="100">
        <v>32420</v>
      </c>
      <c r="AO112" s="494">
        <v>0</v>
      </c>
      <c r="AP112" s="100"/>
      <c r="AQ112" s="494">
        <v>9790</v>
      </c>
      <c r="AR112" s="100">
        <v>31860</v>
      </c>
      <c r="AS112" s="100">
        <v>0</v>
      </c>
      <c r="AT112" s="100">
        <v>0</v>
      </c>
      <c r="AU112" s="100">
        <v>9940</v>
      </c>
      <c r="AV112" s="100">
        <v>4880</v>
      </c>
      <c r="AW112" s="100"/>
      <c r="AX112" s="248"/>
      <c r="AY112" s="100">
        <v>0</v>
      </c>
      <c r="AZ112" s="100"/>
      <c r="BA112" s="100"/>
      <c r="BB112" s="100"/>
      <c r="BC112" s="300">
        <f t="shared" si="23"/>
        <v>198380</v>
      </c>
      <c r="BD112" s="896">
        <f t="shared" si="24"/>
        <v>13</v>
      </c>
      <c r="BE112" s="896">
        <f t="shared" si="25"/>
        <v>15260</v>
      </c>
      <c r="BF112" s="85"/>
      <c r="BH112" s="505"/>
    </row>
    <row r="113" spans="1:60" s="38" customFormat="1" ht="15" customHeight="1">
      <c r="A113" s="91">
        <v>101</v>
      </c>
      <c r="B113" s="94" t="s">
        <v>1864</v>
      </c>
      <c r="C113" s="123" t="s">
        <v>1314</v>
      </c>
      <c r="D113" s="587">
        <v>25</v>
      </c>
      <c r="E113" s="100">
        <v>1</v>
      </c>
      <c r="F113" s="100">
        <f>SUMIF(pro!$A:$A,$V:$V,pro!$N:$N)</f>
        <v>0</v>
      </c>
      <c r="G113" s="356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356">
        <f>SUMIF(AJOUT!$A:$A,BRAN!$V:$V,AJOUT!$L:$L)</f>
        <v>0</v>
      </c>
      <c r="L113" s="356">
        <f>SUMIF(CBOUT!$A:$A,BRAN!$V:$V,CBOUT!$G:$G)</f>
        <v>0</v>
      </c>
      <c r="M113" s="540">
        <f>E113+F113+H113-I113-L113+G113-K113</f>
        <v>1</v>
      </c>
      <c r="N113" s="354">
        <f t="shared" si="26"/>
        <v>25</v>
      </c>
      <c r="O113" s="357">
        <f t="shared" si="27"/>
        <v>30050</v>
      </c>
      <c r="P113" s="350"/>
      <c r="Q113" s="350"/>
      <c r="R113" s="356">
        <f>O113/INTGRATE!$N$293</f>
        <v>1306.5217391304348</v>
      </c>
      <c r="S113" s="349">
        <f>IF(R113=0,0,N113/R113)</f>
        <v>1.913477537437604E-2</v>
      </c>
      <c r="T113" s="472"/>
      <c r="U113" s="139"/>
      <c r="V113" s="956" t="str">
        <f t="shared" si="39"/>
        <v>552E25</v>
      </c>
      <c r="W113" s="943">
        <v>321072</v>
      </c>
      <c r="X113" s="455">
        <v>0</v>
      </c>
      <c r="Y113" s="455">
        <v>250</v>
      </c>
      <c r="Z113" s="100">
        <v>1125</v>
      </c>
      <c r="AA113" s="100">
        <v>4750</v>
      </c>
      <c r="AB113" s="100"/>
      <c r="AC113" s="100">
        <v>200</v>
      </c>
      <c r="AD113" s="100">
        <v>0</v>
      </c>
      <c r="AE113" s="100">
        <v>1500</v>
      </c>
      <c r="AF113" s="100">
        <v>500</v>
      </c>
      <c r="AG113" s="100">
        <v>2625</v>
      </c>
      <c r="AH113" s="494">
        <v>2950</v>
      </c>
      <c r="AI113" s="100"/>
      <c r="AJ113" s="100">
        <v>250</v>
      </c>
      <c r="AK113" s="100">
        <v>0</v>
      </c>
      <c r="AL113" s="100">
        <v>0</v>
      </c>
      <c r="AM113" s="100">
        <v>0</v>
      </c>
      <c r="AN113" s="100">
        <v>2800</v>
      </c>
      <c r="AO113" s="494">
        <v>4000</v>
      </c>
      <c r="AP113" s="100"/>
      <c r="AQ113" s="494">
        <v>1500</v>
      </c>
      <c r="AR113" s="100">
        <v>750</v>
      </c>
      <c r="AS113" s="100">
        <v>0</v>
      </c>
      <c r="AT113" s="100">
        <v>3300</v>
      </c>
      <c r="AU113" s="100">
        <v>0</v>
      </c>
      <c r="AV113" s="100">
        <v>3550</v>
      </c>
      <c r="AW113" s="100"/>
      <c r="AX113" s="248"/>
      <c r="AY113" s="100">
        <v>0</v>
      </c>
      <c r="AZ113" s="100"/>
      <c r="BA113" s="100"/>
      <c r="BB113" s="100"/>
      <c r="BC113" s="300">
        <f t="shared" si="23"/>
        <v>30050</v>
      </c>
      <c r="BD113" s="896">
        <f t="shared" si="24"/>
        <v>15</v>
      </c>
      <c r="BE113" s="896">
        <f t="shared" si="25"/>
        <v>2003.3333333333333</v>
      </c>
      <c r="BF113" s="85"/>
      <c r="BH113" s="505"/>
    </row>
    <row r="114" spans="1:60" s="38" customFormat="1" ht="15" customHeight="1">
      <c r="A114" s="91">
        <v>102</v>
      </c>
      <c r="B114" s="94" t="s">
        <v>1869</v>
      </c>
      <c r="C114" s="616" t="s">
        <v>61</v>
      </c>
      <c r="D114" s="703" t="s">
        <v>81</v>
      </c>
      <c r="E114" s="100"/>
      <c r="F114" s="100">
        <f>J114</f>
        <v>0</v>
      </c>
      <c r="G114" s="356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356"/>
      <c r="L114" s="356"/>
      <c r="M114" s="540"/>
      <c r="N114" s="354">
        <f t="shared" si="26"/>
        <v>0</v>
      </c>
      <c r="O114" s="357">
        <f t="shared" ref="O114:O115" si="40">SUM(X114:BB114)</f>
        <v>0</v>
      </c>
      <c r="P114" s="350"/>
      <c r="Q114" s="350"/>
      <c r="R114" s="356">
        <f>O114/INTGRATE!$N$293</f>
        <v>0</v>
      </c>
      <c r="S114" s="349">
        <f t="shared" ref="S114:S115" si="41">IF(R114=0,0,N114/R114)</f>
        <v>0</v>
      </c>
      <c r="T114" s="472"/>
      <c r="U114" s="139"/>
      <c r="V114" s="956" t="str">
        <f t="shared" si="39"/>
        <v>552XSILO</v>
      </c>
      <c r="W114" s="943"/>
      <c r="X114" s="455">
        <v>0</v>
      </c>
      <c r="Y114" s="455">
        <v>0</v>
      </c>
      <c r="Z114" s="100">
        <v>0</v>
      </c>
      <c r="AA114" s="100">
        <v>0</v>
      </c>
      <c r="AB114" s="100"/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494">
        <v>0</v>
      </c>
      <c r="AI114" s="100"/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494">
        <v>0</v>
      </c>
      <c r="AP114" s="100"/>
      <c r="AQ114" s="494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/>
      <c r="AX114" s="248"/>
      <c r="AY114" s="100">
        <v>0</v>
      </c>
      <c r="AZ114" s="100"/>
      <c r="BA114" s="100"/>
      <c r="BB114" s="100"/>
      <c r="BC114" s="300">
        <f t="shared" si="23"/>
        <v>0</v>
      </c>
      <c r="BD114" s="896">
        <f t="shared" si="24"/>
        <v>0</v>
      </c>
      <c r="BE114" s="896">
        <f t="shared" si="25"/>
        <v>0</v>
      </c>
      <c r="BF114" s="85"/>
      <c r="BH114" s="505"/>
    </row>
    <row r="115" spans="1:60" s="38" customFormat="1" ht="15" customHeight="1">
      <c r="A115" s="91">
        <v>103</v>
      </c>
      <c r="B115" s="94" t="s">
        <v>123</v>
      </c>
      <c r="C115" s="616" t="s">
        <v>1314</v>
      </c>
      <c r="D115" s="703" t="s">
        <v>81</v>
      </c>
      <c r="E115" s="100"/>
      <c r="F115" s="494">
        <f>J115</f>
        <v>0</v>
      </c>
      <c r="G115" s="356"/>
      <c r="H115" s="100"/>
      <c r="I115" s="100"/>
      <c r="J115" s="100">
        <f>SUMIF(data!$D:$D,$B115&amp;$D115,data!$K:$K)</f>
        <v>0</v>
      </c>
      <c r="K115" s="356"/>
      <c r="L115" s="356"/>
      <c r="M115" s="540"/>
      <c r="N115" s="354"/>
      <c r="O115" s="357">
        <f t="shared" si="40"/>
        <v>0</v>
      </c>
      <c r="P115" s="350"/>
      <c r="Q115" s="350"/>
      <c r="R115" s="356">
        <f>O115/INTGRATE!$N$293</f>
        <v>0</v>
      </c>
      <c r="S115" s="349">
        <f t="shared" si="41"/>
        <v>0</v>
      </c>
      <c r="T115" s="472"/>
      <c r="U115" s="139"/>
      <c r="V115" s="956" t="str">
        <f t="shared" ref="V115" si="42">B115&amp;D115</f>
        <v>552MSILO</v>
      </c>
      <c r="W115" s="943">
        <v>321012</v>
      </c>
      <c r="X115" s="455">
        <v>0</v>
      </c>
      <c r="Y115" s="455">
        <v>0</v>
      </c>
      <c r="Z115" s="100">
        <v>0</v>
      </c>
      <c r="AA115" s="100">
        <v>0</v>
      </c>
      <c r="AB115" s="100"/>
      <c r="AC115" s="100">
        <v>0</v>
      </c>
      <c r="AD115" s="100">
        <v>0</v>
      </c>
      <c r="AE115" s="100">
        <v>0</v>
      </c>
      <c r="AF115" s="100">
        <v>0</v>
      </c>
      <c r="AG115" s="100">
        <v>0</v>
      </c>
      <c r="AH115" s="494">
        <v>0</v>
      </c>
      <c r="AI115" s="100"/>
      <c r="AJ115" s="100">
        <v>0</v>
      </c>
      <c r="AK115" s="100">
        <v>0</v>
      </c>
      <c r="AL115" s="100">
        <v>0</v>
      </c>
      <c r="AM115" s="100">
        <v>0</v>
      </c>
      <c r="AN115" s="100">
        <v>0</v>
      </c>
      <c r="AO115" s="494">
        <v>0</v>
      </c>
      <c r="AP115" s="100"/>
      <c r="AQ115" s="494">
        <v>0</v>
      </c>
      <c r="AR115" s="100">
        <v>0</v>
      </c>
      <c r="AS115" s="100">
        <v>0</v>
      </c>
      <c r="AT115" s="100">
        <v>0</v>
      </c>
      <c r="AU115" s="100">
        <v>0</v>
      </c>
      <c r="AV115" s="100">
        <v>0</v>
      </c>
      <c r="AW115" s="100"/>
      <c r="AX115" s="248"/>
      <c r="AY115" s="100">
        <v>0</v>
      </c>
      <c r="AZ115" s="100"/>
      <c r="BA115" s="100"/>
      <c r="BB115" s="100"/>
      <c r="BC115" s="300">
        <f t="shared" si="23"/>
        <v>0</v>
      </c>
      <c r="BD115" s="896">
        <f t="shared" si="24"/>
        <v>0</v>
      </c>
      <c r="BE115" s="896">
        <f t="shared" si="25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91">
        <v>25</v>
      </c>
      <c r="E116" s="356">
        <v>315</v>
      </c>
      <c r="F116" s="100">
        <f>SUMIF(pro!$A:$A,$V:$V,pro!$N:$N)</f>
        <v>0</v>
      </c>
      <c r="G116" s="356"/>
      <c r="H116" s="100">
        <f>SUMIF(CBIN!$A:$A,BRAN!$V:$V,CBIN!$G:$G)</f>
        <v>0</v>
      </c>
      <c r="I116" s="100">
        <f>SUMIF(data!$D:$D,$B116&amp;$D116,data!$J:$J)</f>
        <v>314</v>
      </c>
      <c r="J116" s="100">
        <f>SUMIF(data!$D:$D,$B116&amp;$D116,data!$K:$K)</f>
        <v>7850</v>
      </c>
      <c r="K116" s="356">
        <f>SUMIF(AJOUT!$A:$A,BRAN!$V:$V,AJOUT!$L:$L)</f>
        <v>0</v>
      </c>
      <c r="L116" s="356">
        <f>SUMIF(CBOUT!$A:$A,BRAN!$V:$V,CBOUT!$G:$G)</f>
        <v>0</v>
      </c>
      <c r="M116" s="540">
        <f>E116+F116+H116-I116-L116+G116-K116</f>
        <v>1</v>
      </c>
      <c r="N116" s="354">
        <f t="shared" si="26"/>
        <v>25</v>
      </c>
      <c r="O116" s="357">
        <f t="shared" si="27"/>
        <v>317450</v>
      </c>
      <c r="P116" s="350"/>
      <c r="Q116" s="350"/>
      <c r="R116" s="356">
        <f>O116/INTGRATE!$N$293</f>
        <v>13802.173913043478</v>
      </c>
      <c r="S116" s="349">
        <f t="shared" si="38"/>
        <v>1.8113088675381951E-3</v>
      </c>
      <c r="T116" s="472"/>
      <c r="U116" s="139"/>
      <c r="V116" s="956" t="str">
        <f t="shared" si="39"/>
        <v>552M25</v>
      </c>
      <c r="W116" s="943">
        <v>321012</v>
      </c>
      <c r="X116" s="455">
        <v>8350</v>
      </c>
      <c r="Y116" s="455">
        <v>17975</v>
      </c>
      <c r="Z116" s="100">
        <v>20375</v>
      </c>
      <c r="AA116" s="100">
        <v>29250</v>
      </c>
      <c r="AB116" s="100"/>
      <c r="AC116" s="100">
        <v>2000</v>
      </c>
      <c r="AD116" s="100">
        <v>8000</v>
      </c>
      <c r="AE116" s="100">
        <v>7900</v>
      </c>
      <c r="AF116" s="100">
        <v>4125</v>
      </c>
      <c r="AG116" s="100">
        <v>15525</v>
      </c>
      <c r="AH116" s="100">
        <v>14575</v>
      </c>
      <c r="AI116" s="100"/>
      <c r="AJ116" s="100">
        <v>3250</v>
      </c>
      <c r="AK116" s="100">
        <v>9000</v>
      </c>
      <c r="AL116" s="100">
        <v>12525</v>
      </c>
      <c r="AM116" s="100">
        <v>3650</v>
      </c>
      <c r="AN116" s="100">
        <v>22800</v>
      </c>
      <c r="AO116" s="100">
        <v>31625</v>
      </c>
      <c r="AP116" s="100"/>
      <c r="AQ116" s="100">
        <v>1550</v>
      </c>
      <c r="AR116" s="100">
        <v>6500</v>
      </c>
      <c r="AS116" s="100">
        <v>15175</v>
      </c>
      <c r="AT116" s="100">
        <v>11750</v>
      </c>
      <c r="AU116" s="100">
        <v>23400</v>
      </c>
      <c r="AV116" s="100">
        <v>40300</v>
      </c>
      <c r="AW116" s="100"/>
      <c r="AX116" s="248"/>
      <c r="AY116" s="100">
        <v>7850</v>
      </c>
      <c r="AZ116" s="100"/>
      <c r="BA116" s="100"/>
      <c r="BB116" s="100"/>
      <c r="BC116" s="300">
        <f t="shared" si="23"/>
        <v>317450</v>
      </c>
      <c r="BD116" s="896">
        <f t="shared" si="24"/>
        <v>23</v>
      </c>
      <c r="BE116" s="896">
        <f t="shared" si="25"/>
        <v>13802.173913043478</v>
      </c>
      <c r="BH116" s="505"/>
    </row>
    <row r="117" spans="1:60" s="38" customFormat="1" ht="15" customHeight="1">
      <c r="A117" s="91">
        <v>105</v>
      </c>
      <c r="B117" s="175" t="s">
        <v>1384</v>
      </c>
      <c r="C117" s="617" t="s">
        <v>1314</v>
      </c>
      <c r="D117" s="168">
        <v>25</v>
      </c>
      <c r="E117" s="356">
        <v>287</v>
      </c>
      <c r="F117" s="100">
        <f>SUMIF(pro!$A:$A,$V:$V,pro!$N:$N)</f>
        <v>0</v>
      </c>
      <c r="G117" s="356"/>
      <c r="H117" s="100">
        <f>SUMIF(CBIN!$A:$A,BRAN!$V:$V,CBIN!$G:$G)</f>
        <v>0</v>
      </c>
      <c r="I117" s="100">
        <f>SUMIF(data!$D:$D,$B117&amp;$D117,data!$J:$J)</f>
        <v>90</v>
      </c>
      <c r="J117" s="100">
        <f>SUMIF(data!$D:$D,$B117&amp;$D117,data!$K:$K)</f>
        <v>2250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197</v>
      </c>
      <c r="N117" s="354">
        <f t="shared" si="26"/>
        <v>4925</v>
      </c>
      <c r="O117" s="357">
        <f t="shared" si="27"/>
        <v>15350</v>
      </c>
      <c r="P117" s="350"/>
      <c r="Q117" s="350"/>
      <c r="R117" s="356">
        <f>O117/INTGRATE!$N$293</f>
        <v>667.39130434782612</v>
      </c>
      <c r="S117" s="349">
        <f t="shared" si="38"/>
        <v>7.379478827361563</v>
      </c>
      <c r="T117" s="472"/>
      <c r="U117" s="139"/>
      <c r="V117" s="956" t="str">
        <f t="shared" si="39"/>
        <v>552MX25</v>
      </c>
      <c r="W117" s="943">
        <v>321018</v>
      </c>
      <c r="X117" s="455">
        <v>0</v>
      </c>
      <c r="Y117" s="455">
        <v>2000</v>
      </c>
      <c r="Z117" s="100">
        <v>1500</v>
      </c>
      <c r="AA117" s="100">
        <v>975</v>
      </c>
      <c r="AB117" s="100"/>
      <c r="AC117" s="100">
        <v>0</v>
      </c>
      <c r="AD117" s="100">
        <v>500</v>
      </c>
      <c r="AE117" s="100">
        <v>0</v>
      </c>
      <c r="AF117" s="100">
        <v>0</v>
      </c>
      <c r="AG117" s="100">
        <v>0</v>
      </c>
      <c r="AH117" s="100">
        <v>625</v>
      </c>
      <c r="AI117" s="100"/>
      <c r="AJ117" s="100">
        <v>0</v>
      </c>
      <c r="AK117" s="100">
        <v>2500</v>
      </c>
      <c r="AL117" s="100">
        <v>125</v>
      </c>
      <c r="AM117" s="100">
        <v>0</v>
      </c>
      <c r="AN117" s="100">
        <v>2375</v>
      </c>
      <c r="AO117" s="100">
        <v>1000</v>
      </c>
      <c r="AP117" s="100"/>
      <c r="AQ117" s="100">
        <v>0</v>
      </c>
      <c r="AR117" s="100">
        <v>750</v>
      </c>
      <c r="AS117" s="100">
        <v>750</v>
      </c>
      <c r="AT117" s="100">
        <v>0</v>
      </c>
      <c r="AU117" s="100">
        <v>0</v>
      </c>
      <c r="AV117" s="100">
        <v>0</v>
      </c>
      <c r="AW117" s="100"/>
      <c r="AX117" s="248"/>
      <c r="AY117" s="100">
        <v>2250</v>
      </c>
      <c r="AZ117" s="100"/>
      <c r="BA117" s="100"/>
      <c r="BB117" s="100"/>
      <c r="BC117" s="300">
        <f t="shared" si="23"/>
        <v>15350</v>
      </c>
      <c r="BD117" s="896">
        <f t="shared" si="24"/>
        <v>12</v>
      </c>
      <c r="BE117" s="896">
        <f t="shared" si="25"/>
        <v>1279.1666666666667</v>
      </c>
      <c r="BH117" s="505"/>
    </row>
    <row r="118" spans="1:60" s="38" customFormat="1" ht="14.25" customHeight="1">
      <c r="A118" s="91">
        <v>106</v>
      </c>
      <c r="B118" s="94" t="s">
        <v>25</v>
      </c>
      <c r="C118" s="92" t="s">
        <v>1314</v>
      </c>
      <c r="D118" s="604" t="s">
        <v>81</v>
      </c>
      <c r="E118" s="494"/>
      <c r="F118" s="494">
        <f>+J118</f>
        <v>27300</v>
      </c>
      <c r="G118" s="494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27300</v>
      </c>
      <c r="K118" s="356">
        <f>SUMIF(AJOUT!$A:$A,BRAN!$V:$V,AJOUT!$L:$L)</f>
        <v>0</v>
      </c>
      <c r="L118" s="356">
        <f>SUMIF(CBOUT!$A:$A,BRAN!$V:$V,CBOUT!$G:$G)</f>
        <v>0</v>
      </c>
      <c r="M118" s="604"/>
      <c r="N118" s="354">
        <f t="shared" si="26"/>
        <v>0</v>
      </c>
      <c r="O118" s="357">
        <f t="shared" si="27"/>
        <v>180280</v>
      </c>
      <c r="P118" s="496"/>
      <c r="Q118" s="496"/>
      <c r="R118" s="494">
        <f>O118/INTGRATE!$N$293</f>
        <v>7838.260869565217</v>
      </c>
      <c r="S118" s="349">
        <f t="shared" si="38"/>
        <v>0</v>
      </c>
      <c r="T118" s="584"/>
      <c r="U118" s="139"/>
      <c r="V118" s="956" t="str">
        <f t="shared" si="39"/>
        <v>552SSILO</v>
      </c>
      <c r="W118" s="943">
        <v>32000890</v>
      </c>
      <c r="X118" s="455">
        <v>8450</v>
      </c>
      <c r="Y118" s="455">
        <v>0</v>
      </c>
      <c r="Z118" s="100">
        <v>0</v>
      </c>
      <c r="AA118" s="100">
        <v>4940</v>
      </c>
      <c r="AB118" s="100"/>
      <c r="AC118" s="100">
        <v>13970</v>
      </c>
      <c r="AD118" s="100">
        <v>16960</v>
      </c>
      <c r="AE118" s="100">
        <v>0</v>
      </c>
      <c r="AF118" s="100">
        <v>13950</v>
      </c>
      <c r="AG118" s="100">
        <v>0</v>
      </c>
      <c r="AH118" s="494">
        <v>4940</v>
      </c>
      <c r="AI118" s="100"/>
      <c r="AJ118" s="100">
        <v>18430</v>
      </c>
      <c r="AK118" s="100">
        <v>0</v>
      </c>
      <c r="AL118" s="100">
        <v>14380</v>
      </c>
      <c r="AM118" s="100">
        <v>0</v>
      </c>
      <c r="AN118" s="100">
        <v>0</v>
      </c>
      <c r="AO118" s="494">
        <v>9980</v>
      </c>
      <c r="AP118" s="100"/>
      <c r="AQ118" s="494">
        <v>9970</v>
      </c>
      <c r="AR118" s="100">
        <v>0</v>
      </c>
      <c r="AS118" s="100">
        <v>13640</v>
      </c>
      <c r="AT118" s="100">
        <v>0</v>
      </c>
      <c r="AU118" s="100">
        <v>0</v>
      </c>
      <c r="AV118" s="100">
        <v>23370</v>
      </c>
      <c r="AW118" s="100"/>
      <c r="AX118" s="248"/>
      <c r="AY118" s="100">
        <v>27300</v>
      </c>
      <c r="AZ118" s="100"/>
      <c r="BA118" s="100"/>
      <c r="BB118" s="100"/>
      <c r="BC118" s="300">
        <f t="shared" si="23"/>
        <v>180280</v>
      </c>
      <c r="BD118" s="896">
        <f t="shared" si="24"/>
        <v>13</v>
      </c>
      <c r="BE118" s="896">
        <f t="shared" si="25"/>
        <v>13867.692307692309</v>
      </c>
      <c r="BH118" s="505"/>
    </row>
    <row r="119" spans="1:60" s="38" customFormat="1" ht="14.25" customHeight="1">
      <c r="A119" s="91">
        <v>107</v>
      </c>
      <c r="B119" s="94" t="s">
        <v>25</v>
      </c>
      <c r="C119" s="616" t="s">
        <v>1314</v>
      </c>
      <c r="D119" s="91">
        <v>25</v>
      </c>
      <c r="E119" s="100">
        <v>6220</v>
      </c>
      <c r="F119" s="100">
        <f>SUMIF(pro!$A:$A,$V:$V,pro!$N:$N)</f>
        <v>0</v>
      </c>
      <c r="G119" s="356"/>
      <c r="H119" s="100">
        <f>SUMIF(CBIN!$A:$A,BRAN!$V:$V,CBIN!$G:$G)</f>
        <v>0</v>
      </c>
      <c r="I119" s="100">
        <f>SUMIF(data!$D:$D,$B119&amp;$D119,data!$J:$J)</f>
        <v>1762</v>
      </c>
      <c r="J119" s="100">
        <f>SUMIF(data!$D:$D,$B119&amp;$D119,data!$K:$K)</f>
        <v>44050</v>
      </c>
      <c r="K119" s="356">
        <f>SUMIF(AJOUT!$A:$A,BRAN!$V:$V,AJOUT!$L:$L)</f>
        <v>0</v>
      </c>
      <c r="L119" s="356">
        <f>SUMIF(CBOUT!$A:$A,BRAN!$V:$V,CBOUT!$G:$G)</f>
        <v>0</v>
      </c>
      <c r="M119" s="540">
        <f>E119+F119+H119-I119-L119+G119-K119</f>
        <v>4458</v>
      </c>
      <c r="N119" s="354">
        <f t="shared" si="26"/>
        <v>111450</v>
      </c>
      <c r="O119" s="357">
        <f t="shared" si="27"/>
        <v>781475</v>
      </c>
      <c r="P119" s="350"/>
      <c r="Q119" s="350"/>
      <c r="R119" s="356">
        <f>O119/INTGRATE!$N$293</f>
        <v>33977.17391304348</v>
      </c>
      <c r="S119" s="349">
        <f t="shared" si="38"/>
        <v>3.2801433187242073</v>
      </c>
      <c r="T119" s="606"/>
      <c r="U119" s="139"/>
      <c r="V119" s="956" t="str">
        <f t="shared" si="39"/>
        <v>552S25</v>
      </c>
      <c r="W119" s="943">
        <v>320001</v>
      </c>
      <c r="X119" s="455">
        <v>36125</v>
      </c>
      <c r="Y119" s="455">
        <v>41500</v>
      </c>
      <c r="Z119" s="100">
        <v>37575</v>
      </c>
      <c r="AA119" s="100">
        <v>56775</v>
      </c>
      <c r="AB119" s="100"/>
      <c r="AC119" s="100">
        <v>52400</v>
      </c>
      <c r="AD119" s="100">
        <v>45400</v>
      </c>
      <c r="AE119" s="100">
        <v>29200</v>
      </c>
      <c r="AF119" s="100">
        <v>26400</v>
      </c>
      <c r="AG119" s="100">
        <v>19025</v>
      </c>
      <c r="AH119" s="100">
        <v>48125</v>
      </c>
      <c r="AI119" s="100"/>
      <c r="AJ119" s="100">
        <v>38400</v>
      </c>
      <c r="AK119" s="100">
        <v>26000</v>
      </c>
      <c r="AL119" s="100">
        <v>4875</v>
      </c>
      <c r="AM119" s="100">
        <v>53825</v>
      </c>
      <c r="AN119" s="100">
        <v>37175</v>
      </c>
      <c r="AO119" s="100">
        <v>25125</v>
      </c>
      <c r="AP119" s="100"/>
      <c r="AQ119" s="100">
        <v>33850</v>
      </c>
      <c r="AR119" s="100">
        <v>19200</v>
      </c>
      <c r="AS119" s="100">
        <v>39300</v>
      </c>
      <c r="AT119" s="100">
        <v>14850</v>
      </c>
      <c r="AU119" s="100">
        <v>24275</v>
      </c>
      <c r="AV119" s="100">
        <v>28025</v>
      </c>
      <c r="AW119" s="100"/>
      <c r="AX119" s="248"/>
      <c r="AY119" s="100">
        <v>44050</v>
      </c>
      <c r="AZ119" s="100"/>
      <c r="BA119" s="100"/>
      <c r="BB119" s="100"/>
      <c r="BC119" s="300">
        <f t="shared" si="23"/>
        <v>781475</v>
      </c>
      <c r="BD119" s="896">
        <f t="shared" si="24"/>
        <v>23</v>
      </c>
      <c r="BE119" s="896">
        <f t="shared" si="25"/>
        <v>33977.17391304348</v>
      </c>
      <c r="BF119" s="387"/>
      <c r="BH119" s="505"/>
    </row>
    <row r="120" spans="1:60" s="38" customFormat="1" ht="14.25" customHeight="1">
      <c r="A120" s="91">
        <v>108</v>
      </c>
      <c r="B120" s="94" t="s">
        <v>1453</v>
      </c>
      <c r="C120" s="92" t="s">
        <v>1314</v>
      </c>
      <c r="D120" s="604" t="s">
        <v>81</v>
      </c>
      <c r="E120" s="494"/>
      <c r="F120" s="494">
        <f>+J120</f>
        <v>0</v>
      </c>
      <c r="G120" s="494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356">
        <f>SUMIF(AJOUT!$A:$A,BRAN!$V:$V,AJOUT!$L:$L)</f>
        <v>0</v>
      </c>
      <c r="L120" s="356"/>
      <c r="M120" s="604"/>
      <c r="N120" s="354">
        <f t="shared" si="26"/>
        <v>0</v>
      </c>
      <c r="O120" s="357">
        <f t="shared" si="27"/>
        <v>0</v>
      </c>
      <c r="P120" s="496"/>
      <c r="Q120" s="496"/>
      <c r="R120" s="494">
        <f>O120/INTGRATE!$N$293</f>
        <v>0</v>
      </c>
      <c r="S120" s="349">
        <f>IF(R120=0,0,N120/R120)</f>
        <v>0</v>
      </c>
      <c r="T120" s="584"/>
      <c r="U120" s="139"/>
      <c r="V120" s="956" t="str">
        <f>B120&amp;D120</f>
        <v>552SProSILO</v>
      </c>
      <c r="W120" s="943">
        <v>320021</v>
      </c>
      <c r="X120" s="455">
        <v>0</v>
      </c>
      <c r="Y120" s="455">
        <v>0</v>
      </c>
      <c r="Z120" s="100">
        <v>0</v>
      </c>
      <c r="AA120" s="100">
        <v>0</v>
      </c>
      <c r="AB120" s="100"/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494">
        <v>0</v>
      </c>
      <c r="AI120" s="100"/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494">
        <v>0</v>
      </c>
      <c r="AP120" s="100"/>
      <c r="AQ120" s="494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/>
      <c r="AX120" s="248"/>
      <c r="AY120" s="100">
        <v>0</v>
      </c>
      <c r="AZ120" s="100"/>
      <c r="BA120" s="100"/>
      <c r="BB120" s="100"/>
      <c r="BC120" s="300">
        <f t="shared" si="23"/>
        <v>0</v>
      </c>
      <c r="BD120" s="896">
        <f t="shared" si="24"/>
        <v>0</v>
      </c>
      <c r="BE120" s="896">
        <f t="shared" si="25"/>
        <v>0</v>
      </c>
      <c r="BH120" s="505"/>
    </row>
    <row r="121" spans="1:60" s="38" customFormat="1" ht="14.25" customHeight="1">
      <c r="A121" s="91">
        <v>109</v>
      </c>
      <c r="B121" s="94" t="s">
        <v>1453</v>
      </c>
      <c r="C121" s="616" t="s">
        <v>1314</v>
      </c>
      <c r="D121" s="91">
        <v>25</v>
      </c>
      <c r="E121" s="100">
        <v>1286</v>
      </c>
      <c r="F121" s="100">
        <f>SUMIF(pro!$A:$A,$V:$V,pro!$N:$N)</f>
        <v>0</v>
      </c>
      <c r="G121" s="356"/>
      <c r="H121" s="100">
        <f>SUMIF(CBIN!$A:$A,BRAN!$V:$V,CBIN!$G:$G)</f>
        <v>0</v>
      </c>
      <c r="I121" s="100">
        <f>SUMIF(data!$D:$D,$B121&amp;$D121,data!$J:$J)</f>
        <v>320</v>
      </c>
      <c r="J121" s="100">
        <f>SUMIF(data!$D:$D,$B121&amp;$D121,data!$K:$K)</f>
        <v>8000</v>
      </c>
      <c r="K121" s="356">
        <f>SUMIF(AJOUT!$A:$A,BRAN!$V:$V,AJOUT!$L:$L)</f>
        <v>0</v>
      </c>
      <c r="L121" s="356">
        <f>SUMIF(CBOUT!$A:$A,BRAN!$V:$V,CBOUT!$G:$G)</f>
        <v>0</v>
      </c>
      <c r="M121" s="540">
        <f>E121+F121+H121-I121-L121+G121-K121</f>
        <v>966</v>
      </c>
      <c r="N121" s="354">
        <f t="shared" si="26"/>
        <v>24150</v>
      </c>
      <c r="O121" s="357">
        <f t="shared" si="27"/>
        <v>147925</v>
      </c>
      <c r="P121" s="350"/>
      <c r="Q121" s="350"/>
      <c r="R121" s="356">
        <f>O121/INTGRATE!$N$293</f>
        <v>6431.521739130435</v>
      </c>
      <c r="S121" s="349">
        <f t="shared" si="38"/>
        <v>3.7549433834713537</v>
      </c>
      <c r="T121" s="531"/>
      <c r="U121" s="139"/>
      <c r="V121" s="956" t="str">
        <f t="shared" si="39"/>
        <v>552SPro25</v>
      </c>
      <c r="W121" s="943">
        <v>320021</v>
      </c>
      <c r="X121" s="455">
        <v>9925</v>
      </c>
      <c r="Y121" s="455">
        <v>4725</v>
      </c>
      <c r="Z121" s="100">
        <v>7250</v>
      </c>
      <c r="AA121" s="100">
        <v>11500</v>
      </c>
      <c r="AB121" s="100"/>
      <c r="AC121" s="100">
        <v>4375</v>
      </c>
      <c r="AD121" s="100">
        <v>6125</v>
      </c>
      <c r="AE121" s="100">
        <v>4200</v>
      </c>
      <c r="AF121" s="100">
        <v>5375</v>
      </c>
      <c r="AG121" s="100">
        <v>5250</v>
      </c>
      <c r="AH121" s="100">
        <v>10925</v>
      </c>
      <c r="AI121" s="100"/>
      <c r="AJ121" s="100">
        <v>2625</v>
      </c>
      <c r="AK121" s="100">
        <v>7000</v>
      </c>
      <c r="AL121" s="100">
        <v>3375</v>
      </c>
      <c r="AM121" s="100">
        <v>8250</v>
      </c>
      <c r="AN121" s="100">
        <v>2250</v>
      </c>
      <c r="AO121" s="100">
        <v>14125</v>
      </c>
      <c r="AP121" s="100"/>
      <c r="AQ121" s="100">
        <v>2375</v>
      </c>
      <c r="AR121" s="100">
        <v>1250</v>
      </c>
      <c r="AS121" s="100">
        <v>5450</v>
      </c>
      <c r="AT121" s="100">
        <v>2375</v>
      </c>
      <c r="AU121" s="100">
        <v>8750</v>
      </c>
      <c r="AV121" s="100">
        <v>12450</v>
      </c>
      <c r="AW121" s="100"/>
      <c r="AX121" s="248"/>
      <c r="AY121" s="100">
        <v>8000</v>
      </c>
      <c r="AZ121" s="100"/>
      <c r="BA121" s="100"/>
      <c r="BB121" s="100"/>
      <c r="BC121" s="300">
        <f t="shared" si="23"/>
        <v>147925</v>
      </c>
      <c r="BD121" s="896">
        <f t="shared" si="24"/>
        <v>23</v>
      </c>
      <c r="BE121" s="896">
        <f t="shared" si="25"/>
        <v>6431.521739130435</v>
      </c>
      <c r="BF121" s="387"/>
      <c r="BH121" s="505"/>
    </row>
    <row r="122" spans="1:60" s="38" customFormat="1" ht="15" customHeight="1">
      <c r="A122" s="91">
        <v>110</v>
      </c>
      <c r="B122" s="175" t="s">
        <v>1330</v>
      </c>
      <c r="C122" s="617" t="s">
        <v>1314</v>
      </c>
      <c r="D122" s="168">
        <v>25</v>
      </c>
      <c r="E122" s="100">
        <v>1198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565</v>
      </c>
      <c r="J122" s="100">
        <f>SUMIF(data!$D:$D,$B122&amp;$D122,data!$K:$K)</f>
        <v>14125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633</v>
      </c>
      <c r="N122" s="354">
        <f t="shared" si="26"/>
        <v>15825</v>
      </c>
      <c r="O122" s="357">
        <f t="shared" si="27"/>
        <v>239100</v>
      </c>
      <c r="P122" s="350"/>
      <c r="Q122" s="350"/>
      <c r="R122" s="356">
        <f>O122/INTGRATE!$N$293</f>
        <v>10395.652173913044</v>
      </c>
      <c r="S122" s="349">
        <f t="shared" si="38"/>
        <v>1.5222710163111668</v>
      </c>
      <c r="T122" s="472"/>
      <c r="U122" s="139"/>
      <c r="V122" s="956" t="str">
        <f t="shared" si="39"/>
        <v>552SX25</v>
      </c>
      <c r="W122" s="943">
        <v>320008</v>
      </c>
      <c r="X122" s="455">
        <v>375</v>
      </c>
      <c r="Y122" s="455">
        <v>6875</v>
      </c>
      <c r="Z122" s="100">
        <v>4250</v>
      </c>
      <c r="AA122" s="100">
        <v>16500</v>
      </c>
      <c r="AB122" s="100"/>
      <c r="AC122" s="100">
        <v>2500</v>
      </c>
      <c r="AD122" s="100">
        <v>750</v>
      </c>
      <c r="AE122" s="100">
        <v>28000</v>
      </c>
      <c r="AF122" s="100">
        <v>5000</v>
      </c>
      <c r="AG122" s="100">
        <v>3500</v>
      </c>
      <c r="AH122" s="100">
        <v>18000</v>
      </c>
      <c r="AI122" s="100"/>
      <c r="AJ122" s="100">
        <v>500</v>
      </c>
      <c r="AK122" s="100">
        <v>8500</v>
      </c>
      <c r="AL122" s="100">
        <v>6375</v>
      </c>
      <c r="AM122" s="100">
        <v>10750</v>
      </c>
      <c r="AN122" s="100">
        <v>23875</v>
      </c>
      <c r="AO122" s="100">
        <v>0</v>
      </c>
      <c r="AP122" s="100"/>
      <c r="AQ122" s="100">
        <v>8375</v>
      </c>
      <c r="AR122" s="100">
        <v>13400</v>
      </c>
      <c r="AS122" s="100">
        <v>13125</v>
      </c>
      <c r="AT122" s="100">
        <v>5500</v>
      </c>
      <c r="AU122" s="100">
        <v>35950</v>
      </c>
      <c r="AV122" s="100">
        <v>12875</v>
      </c>
      <c r="AW122" s="100"/>
      <c r="AX122" s="248"/>
      <c r="AY122" s="100">
        <v>14125</v>
      </c>
      <c r="AZ122" s="100"/>
      <c r="BA122" s="100"/>
      <c r="BB122" s="100"/>
      <c r="BC122" s="300">
        <f t="shared" si="23"/>
        <v>239100</v>
      </c>
      <c r="BD122" s="896">
        <f t="shared" si="24"/>
        <v>22</v>
      </c>
      <c r="BE122" s="896">
        <f t="shared" si="25"/>
        <v>10868.181818181818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701" t="s">
        <v>81</v>
      </c>
      <c r="E123" s="100">
        <v>0</v>
      </c>
      <c r="F123" s="494">
        <f>+J123</f>
        <v>0</v>
      </c>
      <c r="G123" s="494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356">
        <f>SUMIF(AJOUT!$A:$A,BRAN!$V:$V,AJOUT!$L:$L)</f>
        <v>0</v>
      </c>
      <c r="L123" s="356">
        <f>SUMIF(CBOUT!$A:$A,BRAN!$V:$V,CBOUT!$G:$G)</f>
        <v>0</v>
      </c>
      <c r="M123" s="540">
        <v>0</v>
      </c>
      <c r="N123" s="354">
        <f t="shared" si="26"/>
        <v>0</v>
      </c>
      <c r="O123" s="357">
        <f t="shared" si="27"/>
        <v>0</v>
      </c>
      <c r="P123" s="350"/>
      <c r="Q123" s="350"/>
      <c r="R123" s="356">
        <f>O123/INTGRATE!$N$293</f>
        <v>0</v>
      </c>
      <c r="S123" s="349">
        <f t="shared" si="38"/>
        <v>0</v>
      </c>
      <c r="T123" s="472"/>
      <c r="U123" s="139"/>
      <c r="V123" s="956" t="str">
        <f>B123&amp;D123</f>
        <v>552SXSILO</v>
      </c>
      <c r="W123" s="943">
        <v>320008</v>
      </c>
      <c r="X123" s="455">
        <v>0</v>
      </c>
      <c r="Y123" s="455">
        <v>0</v>
      </c>
      <c r="Z123" s="100">
        <v>0</v>
      </c>
      <c r="AA123" s="100">
        <v>0</v>
      </c>
      <c r="AB123" s="100"/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494">
        <v>0</v>
      </c>
      <c r="AI123" s="100"/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494">
        <v>0</v>
      </c>
      <c r="AP123" s="100"/>
      <c r="AQ123" s="494">
        <v>0</v>
      </c>
      <c r="AR123" s="100">
        <v>0</v>
      </c>
      <c r="AS123" s="100">
        <v>0</v>
      </c>
      <c r="AT123" s="100">
        <v>0</v>
      </c>
      <c r="AU123" s="100">
        <v>0</v>
      </c>
      <c r="AV123" s="100">
        <v>0</v>
      </c>
      <c r="AW123" s="100"/>
      <c r="AX123" s="248"/>
      <c r="AY123" s="100">
        <v>0</v>
      </c>
      <c r="AZ123" s="100"/>
      <c r="BA123" s="100"/>
      <c r="BB123" s="100"/>
      <c r="BC123" s="300">
        <f t="shared" si="23"/>
        <v>0</v>
      </c>
      <c r="BD123" s="896">
        <f t="shared" si="24"/>
        <v>0</v>
      </c>
      <c r="BE123" s="896">
        <f t="shared" si="25"/>
        <v>0</v>
      </c>
      <c r="BF123" s="387"/>
      <c r="BH123" s="505"/>
    </row>
    <row r="124" spans="1:60" s="38" customFormat="1" ht="15" customHeight="1">
      <c r="A124" s="91">
        <v>112</v>
      </c>
      <c r="B124" s="175" t="s">
        <v>1494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/>
      <c r="M124" s="540">
        <v>0</v>
      </c>
      <c r="N124" s="354">
        <f t="shared" si="26"/>
        <v>0</v>
      </c>
      <c r="O124" s="357">
        <f t="shared" si="27"/>
        <v>0</v>
      </c>
      <c r="P124" s="350"/>
      <c r="Q124" s="350"/>
      <c r="R124" s="356">
        <f>O124/INTGRATE!$N$293</f>
        <v>0</v>
      </c>
      <c r="S124" s="349">
        <f>IF(R124=0,0,N124/R124)</f>
        <v>0</v>
      </c>
      <c r="T124" s="472"/>
      <c r="U124" s="139"/>
      <c r="V124" s="956" t="str">
        <f>B124&amp;D124</f>
        <v>552SXProSILO</v>
      </c>
      <c r="W124" s="943"/>
      <c r="X124" s="455">
        <v>0</v>
      </c>
      <c r="Y124" s="455">
        <v>0</v>
      </c>
      <c r="Z124" s="100">
        <v>0</v>
      </c>
      <c r="AA124" s="100">
        <v>0</v>
      </c>
      <c r="AB124" s="100"/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494">
        <v>0</v>
      </c>
      <c r="AI124" s="100"/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494">
        <v>0</v>
      </c>
      <c r="AP124" s="100"/>
      <c r="AQ124" s="494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/>
      <c r="AX124" s="248"/>
      <c r="AY124" s="100">
        <v>0</v>
      </c>
      <c r="AZ124" s="100"/>
      <c r="BA124" s="100"/>
      <c r="BB124" s="100"/>
      <c r="BC124" s="300">
        <f t="shared" si="23"/>
        <v>0</v>
      </c>
      <c r="BD124" s="896">
        <f t="shared" si="24"/>
        <v>0</v>
      </c>
      <c r="BE124" s="896">
        <f t="shared" si="25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>
        <v>25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>
        <f>SUMIF(CBOUT!$A:$A,BRAN!$V:$V,CBOUT!$G:$G)</f>
        <v>0</v>
      </c>
      <c r="M125" s="540">
        <v>0</v>
      </c>
      <c r="N125" s="354">
        <f t="shared" si="26"/>
        <v>0</v>
      </c>
      <c r="O125" s="357">
        <f t="shared" si="27"/>
        <v>0</v>
      </c>
      <c r="P125" s="350"/>
      <c r="Q125" s="350"/>
      <c r="R125" s="356">
        <f>O125/INTGRATE!$N$293</f>
        <v>0</v>
      </c>
      <c r="S125" s="349">
        <f t="shared" si="38"/>
        <v>0</v>
      </c>
      <c r="T125" s="472"/>
      <c r="U125" s="139"/>
      <c r="V125" s="956" t="str">
        <f>B125&amp;D125</f>
        <v>552SXPro25</v>
      </c>
      <c r="W125" s="943"/>
      <c r="X125" s="455">
        <v>0</v>
      </c>
      <c r="Y125" s="455">
        <v>0</v>
      </c>
      <c r="Z125" s="100">
        <v>0</v>
      </c>
      <c r="AA125" s="100">
        <v>0</v>
      </c>
      <c r="AB125" s="100"/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494">
        <v>0</v>
      </c>
      <c r="AI125" s="100"/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494">
        <v>0</v>
      </c>
      <c r="AP125" s="100"/>
      <c r="AQ125" s="494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/>
      <c r="AX125" s="248"/>
      <c r="AY125" s="100">
        <v>0</v>
      </c>
      <c r="AZ125" s="100"/>
      <c r="BA125" s="100"/>
      <c r="BB125" s="100"/>
      <c r="BC125" s="300">
        <f t="shared" si="23"/>
        <v>0</v>
      </c>
      <c r="BD125" s="896">
        <f t="shared" si="24"/>
        <v>0</v>
      </c>
      <c r="BE125" s="896">
        <f t="shared" si="25"/>
        <v>0</v>
      </c>
      <c r="BF125" s="387"/>
      <c r="BH125" s="505"/>
    </row>
    <row r="126" spans="1:60" s="38" customFormat="1" ht="15" customHeight="1">
      <c r="A126" s="91">
        <v>114</v>
      </c>
      <c r="B126" s="94">
        <v>553</v>
      </c>
      <c r="C126" s="94" t="s">
        <v>61</v>
      </c>
      <c r="D126" s="91">
        <v>25</v>
      </c>
      <c r="E126" s="100">
        <v>1083</v>
      </c>
      <c r="F126" s="100">
        <f>SUMIF(pro!$A:$A,$V:$V,pro!$N:$N)</f>
        <v>0</v>
      </c>
      <c r="G126" s="356"/>
      <c r="H126" s="100">
        <f>SUMIF(CBIN!$A:$A,BRAN!$V:$V,CBIN!$G:$G)</f>
        <v>0</v>
      </c>
      <c r="I126" s="100">
        <f>SUMIF(data!$D:$D,$B126&amp;$D126,data!$J:$J)</f>
        <v>862</v>
      </c>
      <c r="J126" s="100">
        <f>SUMIF(data!$D:$D,$B126&amp;$D126,data!$K:$K)</f>
        <v>21550</v>
      </c>
      <c r="K126" s="356">
        <f>SUMIF(AJOUT!$A:$A,BRAN!$V:$V,AJOUT!$L:$L)</f>
        <v>0</v>
      </c>
      <c r="L126" s="356">
        <f>SUMIF(CBOUT!$A:$A,BRAN!$V:$V,CBOUT!$G:$G)</f>
        <v>0</v>
      </c>
      <c r="M126" s="540">
        <f>E126+F126+H126-I126-L126+G126-K126</f>
        <v>221</v>
      </c>
      <c r="N126" s="354">
        <f t="shared" si="26"/>
        <v>5525</v>
      </c>
      <c r="O126" s="357">
        <f t="shared" si="27"/>
        <v>207875</v>
      </c>
      <c r="P126" s="350"/>
      <c r="Q126" s="350"/>
      <c r="R126" s="356">
        <f>O126/INTGRATE!$N$293</f>
        <v>9038.04347826087</v>
      </c>
      <c r="S126" s="349">
        <f t="shared" si="38"/>
        <v>0.61130487071557427</v>
      </c>
      <c r="T126" s="472"/>
      <c r="U126" s="139"/>
      <c r="V126" s="956" t="str">
        <f t="shared" si="39"/>
        <v>55325</v>
      </c>
      <c r="W126" s="943">
        <v>332301</v>
      </c>
      <c r="X126" s="455">
        <v>10600</v>
      </c>
      <c r="Y126" s="455">
        <v>9625</v>
      </c>
      <c r="Z126" s="100">
        <v>11575</v>
      </c>
      <c r="AA126" s="100">
        <v>9050</v>
      </c>
      <c r="AB126" s="100"/>
      <c r="AC126" s="100">
        <v>5750</v>
      </c>
      <c r="AD126" s="100">
        <v>19375</v>
      </c>
      <c r="AE126" s="100">
        <v>5175</v>
      </c>
      <c r="AF126" s="100">
        <v>4525</v>
      </c>
      <c r="AG126" s="100">
        <v>11750</v>
      </c>
      <c r="AH126" s="100">
        <v>8825</v>
      </c>
      <c r="AI126" s="100"/>
      <c r="AJ126" s="100">
        <v>4125</v>
      </c>
      <c r="AK126" s="100">
        <v>8125</v>
      </c>
      <c r="AL126" s="100">
        <v>4000</v>
      </c>
      <c r="AM126" s="100">
        <v>9700</v>
      </c>
      <c r="AN126" s="100">
        <v>15125</v>
      </c>
      <c r="AO126" s="100">
        <v>3000</v>
      </c>
      <c r="AP126" s="100"/>
      <c r="AQ126" s="100">
        <v>8250</v>
      </c>
      <c r="AR126" s="100">
        <v>13175</v>
      </c>
      <c r="AS126" s="100">
        <v>4750</v>
      </c>
      <c r="AT126" s="100">
        <v>5375</v>
      </c>
      <c r="AU126" s="100">
        <v>7900</v>
      </c>
      <c r="AV126" s="100">
        <v>6550</v>
      </c>
      <c r="AW126" s="100"/>
      <c r="AX126" s="248"/>
      <c r="AY126" s="100">
        <v>21550</v>
      </c>
      <c r="AZ126" s="100"/>
      <c r="BA126" s="100"/>
      <c r="BB126" s="100"/>
      <c r="BC126" s="300">
        <f t="shared" si="23"/>
        <v>207875</v>
      </c>
      <c r="BD126" s="896">
        <f t="shared" si="24"/>
        <v>23</v>
      </c>
      <c r="BE126" s="896">
        <f t="shared" si="25"/>
        <v>9038.04347826087</v>
      </c>
      <c r="BH126" s="505"/>
    </row>
    <row r="127" spans="1:60" s="38" customFormat="1" ht="15" customHeight="1">
      <c r="A127" s="91">
        <v>115</v>
      </c>
      <c r="B127" s="94">
        <v>553</v>
      </c>
      <c r="C127" s="176" t="s">
        <v>61</v>
      </c>
      <c r="D127" s="604" t="s">
        <v>81</v>
      </c>
      <c r="E127" s="494">
        <v>0</v>
      </c>
      <c r="F127" s="494">
        <f>+J127</f>
        <v>0</v>
      </c>
      <c r="G127" s="494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356">
        <f>SUMIF(AJOUT!$A:$A,BRAN!$V:$V,AJOUT!$L:$L)</f>
        <v>0</v>
      </c>
      <c r="L127" s="356">
        <f>SUMIF(CBOUT!$A:$A,BRAN!$V:$V,CBOUT!$G:$G)</f>
        <v>0</v>
      </c>
      <c r="M127" s="604">
        <v>0</v>
      </c>
      <c r="N127" s="354">
        <f t="shared" si="26"/>
        <v>0</v>
      </c>
      <c r="O127" s="357">
        <f t="shared" si="27"/>
        <v>0</v>
      </c>
      <c r="P127" s="496"/>
      <c r="Q127" s="496"/>
      <c r="R127" s="494">
        <f>O127/INTGRATE!$N$293</f>
        <v>0</v>
      </c>
      <c r="S127" s="349">
        <f t="shared" si="38"/>
        <v>0</v>
      </c>
      <c r="T127" s="472"/>
      <c r="U127" s="139"/>
      <c r="V127" s="956" t="str">
        <f t="shared" si="39"/>
        <v>553SILO</v>
      </c>
      <c r="W127" s="943">
        <v>332301</v>
      </c>
      <c r="X127" s="455">
        <v>0</v>
      </c>
      <c r="Y127" s="455">
        <v>0</v>
      </c>
      <c r="Z127" s="100">
        <v>0</v>
      </c>
      <c r="AA127" s="100">
        <v>0</v>
      </c>
      <c r="AB127" s="100"/>
      <c r="AC127" s="100">
        <v>0</v>
      </c>
      <c r="AD127" s="100">
        <v>0</v>
      </c>
      <c r="AE127" s="100">
        <v>0</v>
      </c>
      <c r="AF127" s="100">
        <v>0</v>
      </c>
      <c r="AG127" s="100">
        <v>0</v>
      </c>
      <c r="AH127" s="494">
        <v>0</v>
      </c>
      <c r="AI127" s="100"/>
      <c r="AJ127" s="100">
        <v>0</v>
      </c>
      <c r="AK127" s="100">
        <v>0</v>
      </c>
      <c r="AL127" s="100">
        <v>0</v>
      </c>
      <c r="AM127" s="100">
        <v>0</v>
      </c>
      <c r="AN127" s="100">
        <v>0</v>
      </c>
      <c r="AO127" s="494">
        <v>0</v>
      </c>
      <c r="AP127" s="100"/>
      <c r="AQ127" s="494">
        <v>0</v>
      </c>
      <c r="AR127" s="100">
        <v>0</v>
      </c>
      <c r="AS127" s="100">
        <v>0</v>
      </c>
      <c r="AT127" s="100">
        <v>0</v>
      </c>
      <c r="AU127" s="100">
        <v>0</v>
      </c>
      <c r="AV127" s="100">
        <v>0</v>
      </c>
      <c r="AW127" s="100"/>
      <c r="AX127" s="248"/>
      <c r="AY127" s="100">
        <v>0</v>
      </c>
      <c r="AZ127" s="100"/>
      <c r="BA127" s="100"/>
      <c r="BB127" s="100"/>
      <c r="BC127" s="300">
        <f t="shared" si="23"/>
        <v>0</v>
      </c>
      <c r="BD127" s="896">
        <f t="shared" si="24"/>
        <v>0</v>
      </c>
      <c r="BE127" s="896">
        <f t="shared" si="25"/>
        <v>0</v>
      </c>
      <c r="BH127" s="505"/>
    </row>
    <row r="128" spans="1:60" s="38" customFormat="1" ht="15" customHeight="1">
      <c r="A128" s="91">
        <v>116</v>
      </c>
      <c r="B128" s="94" t="s">
        <v>68</v>
      </c>
      <c r="C128" s="176" t="s">
        <v>61</v>
      </c>
      <c r="D128" s="604" t="s">
        <v>81</v>
      </c>
      <c r="E128" s="494">
        <v>0</v>
      </c>
      <c r="F128" s="494">
        <f>+J128</f>
        <v>13550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13550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26"/>
        <v>0</v>
      </c>
      <c r="O128" s="357">
        <f t="shared" si="27"/>
        <v>142800</v>
      </c>
      <c r="P128" s="496"/>
      <c r="Q128" s="496"/>
      <c r="R128" s="494">
        <f>O128/INTGRATE!$N$293</f>
        <v>6208.695652173913</v>
      </c>
      <c r="S128" s="349">
        <f t="shared" si="38"/>
        <v>0</v>
      </c>
      <c r="T128" s="472"/>
      <c r="U128" s="139"/>
      <c r="V128" s="956" t="str">
        <f t="shared" si="39"/>
        <v>553SSILO</v>
      </c>
      <c r="W128" s="943">
        <v>332302</v>
      </c>
      <c r="X128" s="455">
        <v>0</v>
      </c>
      <c r="Y128" s="455">
        <v>18330</v>
      </c>
      <c r="Z128" s="100">
        <v>8770</v>
      </c>
      <c r="AA128" s="100">
        <v>0</v>
      </c>
      <c r="AB128" s="100"/>
      <c r="AC128" s="100">
        <v>0</v>
      </c>
      <c r="AD128" s="100">
        <v>0</v>
      </c>
      <c r="AE128" s="100">
        <v>0</v>
      </c>
      <c r="AF128" s="100">
        <v>18430</v>
      </c>
      <c r="AG128" s="100">
        <v>3450</v>
      </c>
      <c r="AH128" s="494">
        <v>0</v>
      </c>
      <c r="AI128" s="100"/>
      <c r="AJ128" s="100">
        <v>0</v>
      </c>
      <c r="AK128" s="100">
        <v>4770</v>
      </c>
      <c r="AL128" s="100">
        <v>0</v>
      </c>
      <c r="AM128" s="100">
        <v>0</v>
      </c>
      <c r="AN128" s="100">
        <v>9850</v>
      </c>
      <c r="AO128" s="494">
        <v>3370</v>
      </c>
      <c r="AP128" s="100"/>
      <c r="AQ128" s="494">
        <v>25400</v>
      </c>
      <c r="AR128" s="100">
        <v>0</v>
      </c>
      <c r="AS128" s="100">
        <v>0</v>
      </c>
      <c r="AT128" s="100">
        <v>13540</v>
      </c>
      <c r="AU128" s="100">
        <v>8460</v>
      </c>
      <c r="AV128" s="100">
        <v>14880</v>
      </c>
      <c r="AW128" s="100"/>
      <c r="AX128" s="248"/>
      <c r="AY128" s="100">
        <v>13550</v>
      </c>
      <c r="AZ128" s="100"/>
      <c r="BA128" s="100"/>
      <c r="BB128" s="100"/>
      <c r="BC128" s="300">
        <f t="shared" si="23"/>
        <v>142800</v>
      </c>
      <c r="BD128" s="896">
        <f t="shared" si="24"/>
        <v>12</v>
      </c>
      <c r="BE128" s="896">
        <f t="shared" si="25"/>
        <v>11900</v>
      </c>
      <c r="BH128" s="505"/>
    </row>
    <row r="129" spans="1:151" s="38" customFormat="1" ht="15" customHeight="1">
      <c r="A129" s="91">
        <v>117</v>
      </c>
      <c r="B129" s="94" t="s">
        <v>1480</v>
      </c>
      <c r="C129" s="167" t="s">
        <v>1483</v>
      </c>
      <c r="D129" s="703">
        <v>25</v>
      </c>
      <c r="E129" s="642">
        <v>0</v>
      </c>
      <c r="F129" s="100">
        <f>SUMIF(pro!$A:$A,$V:$V,pro!$N:$N)</f>
        <v>0</v>
      </c>
      <c r="G129" s="356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540">
        <f>E129+F129+H129-I129-L129+G129-K129</f>
        <v>0</v>
      </c>
      <c r="N129" s="354">
        <f t="shared" si="26"/>
        <v>0</v>
      </c>
      <c r="O129" s="357">
        <f t="shared" si="27"/>
        <v>7850</v>
      </c>
      <c r="P129" s="350"/>
      <c r="Q129" s="350"/>
      <c r="R129" s="356">
        <f>O129/INTGRATE!$N$293</f>
        <v>341.30434782608694</v>
      </c>
      <c r="S129" s="349">
        <f>IF(R129=0,0,N129/R129)</f>
        <v>0</v>
      </c>
      <c r="T129" s="472"/>
      <c r="U129" s="139"/>
      <c r="V129" s="956" t="str">
        <f>B129&amp;D129</f>
        <v>553SPro25</v>
      </c>
      <c r="W129" s="943">
        <v>332121</v>
      </c>
      <c r="X129" s="455">
        <v>0</v>
      </c>
      <c r="Y129" s="455">
        <v>0</v>
      </c>
      <c r="Z129" s="100">
        <v>0</v>
      </c>
      <c r="AA129" s="100">
        <v>0</v>
      </c>
      <c r="AB129" s="100"/>
      <c r="AC129" s="100">
        <v>0</v>
      </c>
      <c r="AD129" s="100">
        <v>0</v>
      </c>
      <c r="AE129" s="100">
        <v>0</v>
      </c>
      <c r="AF129" s="100">
        <v>7850</v>
      </c>
      <c r="AG129" s="100">
        <v>0</v>
      </c>
      <c r="AH129" s="494">
        <v>0</v>
      </c>
      <c r="AI129" s="100"/>
      <c r="AJ129" s="100">
        <v>0</v>
      </c>
      <c r="AK129" s="100">
        <v>0</v>
      </c>
      <c r="AL129" s="100">
        <v>0</v>
      </c>
      <c r="AM129" s="100">
        <v>0</v>
      </c>
      <c r="AN129" s="100">
        <v>0</v>
      </c>
      <c r="AO129" s="100">
        <v>0</v>
      </c>
      <c r="AP129" s="100"/>
      <c r="AQ129" s="100">
        <v>0</v>
      </c>
      <c r="AR129" s="100">
        <v>0</v>
      </c>
      <c r="AS129" s="100">
        <v>0</v>
      </c>
      <c r="AT129" s="100">
        <v>0</v>
      </c>
      <c r="AU129" s="100">
        <v>0</v>
      </c>
      <c r="AV129" s="100">
        <v>0</v>
      </c>
      <c r="AW129" s="100"/>
      <c r="AX129" s="248"/>
      <c r="AY129" s="100">
        <v>0</v>
      </c>
      <c r="AZ129" s="100"/>
      <c r="BA129" s="100"/>
      <c r="BB129" s="100"/>
      <c r="BC129" s="300">
        <f t="shared" si="23"/>
        <v>7850</v>
      </c>
      <c r="BD129" s="896">
        <f t="shared" si="24"/>
        <v>1</v>
      </c>
      <c r="BE129" s="896">
        <f t="shared" si="25"/>
        <v>7850</v>
      </c>
      <c r="BH129" s="505"/>
    </row>
    <row r="130" spans="1:151" s="38" customFormat="1" ht="15" customHeight="1">
      <c r="A130" s="91">
        <v>118</v>
      </c>
      <c r="B130" s="94" t="s">
        <v>1480</v>
      </c>
      <c r="C130" s="176" t="s">
        <v>61</v>
      </c>
      <c r="D130" s="604" t="s">
        <v>81</v>
      </c>
      <c r="E130" s="642"/>
      <c r="F130" s="494">
        <f>+J130</f>
        <v>0</v>
      </c>
      <c r="G130" s="494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/>
      <c r="L130" s="356"/>
      <c r="M130" s="540"/>
      <c r="N130" s="354">
        <f t="shared" si="26"/>
        <v>0</v>
      </c>
      <c r="O130" s="357">
        <f t="shared" si="27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553SProSILO</v>
      </c>
      <c r="W130" s="943">
        <v>332121</v>
      </c>
      <c r="X130" s="455">
        <v>0</v>
      </c>
      <c r="Y130" s="455">
        <v>0</v>
      </c>
      <c r="Z130" s="100">
        <v>0</v>
      </c>
      <c r="AA130" s="100">
        <v>0</v>
      </c>
      <c r="AB130" s="100"/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494">
        <v>0</v>
      </c>
      <c r="AI130" s="100"/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494">
        <v>0</v>
      </c>
      <c r="AP130" s="100"/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/>
      <c r="AX130" s="248"/>
      <c r="AY130" s="100">
        <v>0</v>
      </c>
      <c r="AZ130" s="100"/>
      <c r="BA130" s="100"/>
      <c r="BB130" s="100"/>
      <c r="BC130" s="300">
        <f t="shared" si="23"/>
        <v>0</v>
      </c>
      <c r="BD130" s="896">
        <f t="shared" si="24"/>
        <v>0</v>
      </c>
      <c r="BE130" s="896">
        <f t="shared" si="25"/>
        <v>0</v>
      </c>
      <c r="BH130" s="505"/>
    </row>
    <row r="131" spans="1:151" s="38" customFormat="1" ht="15" customHeight="1">
      <c r="A131" s="91">
        <v>119</v>
      </c>
      <c r="B131" s="94" t="s">
        <v>68</v>
      </c>
      <c r="C131" s="94" t="s">
        <v>61</v>
      </c>
      <c r="D131" s="91">
        <v>25</v>
      </c>
      <c r="E131" s="356">
        <v>1734</v>
      </c>
      <c r="F131" s="100">
        <f>SUMIF(pro!$A:$A,$V:$V,pro!$N:$N)</f>
        <v>0</v>
      </c>
      <c r="G131" s="356"/>
      <c r="H131" s="100">
        <f>SUMIF(CBIN!$A:$A,BRAN!$V:$V,CBIN!$G:$G)</f>
        <v>0</v>
      </c>
      <c r="I131" s="100">
        <f>SUMIF(data!$D:$D,$B131&amp;$D131,data!$J:$J)</f>
        <v>596</v>
      </c>
      <c r="J131" s="100">
        <f>SUMIF(data!$D:$D,$B131&amp;$D131,data!$K:$K)</f>
        <v>14900</v>
      </c>
      <c r="K131" s="356">
        <f>SUMIF(AJOUT!$A:$A,BRAN!$V:$V,AJOUT!$L:$L)</f>
        <v>0</v>
      </c>
      <c r="L131" s="356">
        <f>SUMIF(CBOUT!$A:$A,BRAN!$V:$V,CBOUT!$G:$G)</f>
        <v>0</v>
      </c>
      <c r="M131" s="540">
        <f>E131+F131+H131-I131-L131+G131-K131</f>
        <v>1138</v>
      </c>
      <c r="N131" s="354">
        <f t="shared" si="26"/>
        <v>28450</v>
      </c>
      <c r="O131" s="357">
        <f t="shared" si="27"/>
        <v>242150</v>
      </c>
      <c r="P131" s="350"/>
      <c r="Q131" s="350"/>
      <c r="R131" s="356">
        <f>O131/INTGRATE!$N$293</f>
        <v>10528.260869565218</v>
      </c>
      <c r="S131" s="349">
        <f t="shared" si="38"/>
        <v>2.7022506710716496</v>
      </c>
      <c r="T131" s="472"/>
      <c r="U131" s="139"/>
      <c r="V131" s="956" t="str">
        <f t="shared" si="39"/>
        <v>553S25</v>
      </c>
      <c r="W131" s="943">
        <v>332101</v>
      </c>
      <c r="X131" s="455">
        <v>8875</v>
      </c>
      <c r="Y131" s="455">
        <v>16625</v>
      </c>
      <c r="Z131" s="100">
        <v>16350</v>
      </c>
      <c r="AA131" s="100">
        <v>14375</v>
      </c>
      <c r="AB131" s="100"/>
      <c r="AC131" s="100">
        <v>12250</v>
      </c>
      <c r="AD131" s="100">
        <v>8125</v>
      </c>
      <c r="AE131" s="100">
        <v>11150</v>
      </c>
      <c r="AF131" s="100">
        <v>3000</v>
      </c>
      <c r="AG131" s="100">
        <v>7250</v>
      </c>
      <c r="AH131" s="100">
        <v>3500</v>
      </c>
      <c r="AI131" s="100"/>
      <c r="AJ131" s="100">
        <v>10250</v>
      </c>
      <c r="AK131" s="100">
        <v>9000</v>
      </c>
      <c r="AL131" s="100">
        <v>10000</v>
      </c>
      <c r="AM131" s="100">
        <v>14050</v>
      </c>
      <c r="AN131" s="100">
        <v>5000</v>
      </c>
      <c r="AO131" s="100">
        <v>13500</v>
      </c>
      <c r="AP131" s="100"/>
      <c r="AQ131" s="100">
        <v>7250</v>
      </c>
      <c r="AR131" s="100">
        <v>7750</v>
      </c>
      <c r="AS131" s="100">
        <v>19125</v>
      </c>
      <c r="AT131" s="100">
        <v>0</v>
      </c>
      <c r="AU131" s="100">
        <v>23825</v>
      </c>
      <c r="AV131" s="100">
        <v>6000</v>
      </c>
      <c r="AW131" s="100"/>
      <c r="AX131" s="248"/>
      <c r="AY131" s="100">
        <v>14900</v>
      </c>
      <c r="AZ131" s="100"/>
      <c r="BA131" s="100"/>
      <c r="BB131" s="100"/>
      <c r="BC131" s="300">
        <f t="shared" si="23"/>
        <v>242150</v>
      </c>
      <c r="BD131" s="896">
        <f t="shared" si="24"/>
        <v>22</v>
      </c>
      <c r="BE131" s="896">
        <f t="shared" si="25"/>
        <v>11006.818181818182</v>
      </c>
      <c r="BH131" s="505"/>
    </row>
    <row r="132" spans="1:151" s="38" customFormat="1" ht="15" customHeight="1">
      <c r="A132" s="91">
        <v>120</v>
      </c>
      <c r="B132" s="177">
        <v>562</v>
      </c>
      <c r="C132" s="178" t="s">
        <v>61</v>
      </c>
      <c r="D132" s="179">
        <v>25</v>
      </c>
      <c r="E132" s="356">
        <v>0</v>
      </c>
      <c r="F132" s="100">
        <f>SUMIF(pro!$A:$A,$V:$V,pro!$N:$N)</f>
        <v>550</v>
      </c>
      <c r="G132" s="356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550</v>
      </c>
      <c r="N132" s="354">
        <f t="shared" si="26"/>
        <v>13750</v>
      </c>
      <c r="O132" s="357">
        <f t="shared" si="27"/>
        <v>143225</v>
      </c>
      <c r="P132" s="356"/>
      <c r="Q132" s="356"/>
      <c r="R132" s="356">
        <f>O132/INTGRATE!$N$293</f>
        <v>6227.173913043478</v>
      </c>
      <c r="S132" s="349">
        <f t="shared" si="38"/>
        <v>2.2080642345959154</v>
      </c>
      <c r="T132" s="472"/>
      <c r="U132" s="139"/>
      <c r="V132" s="956" t="str">
        <f t="shared" si="39"/>
        <v>56225</v>
      </c>
      <c r="W132" s="943">
        <v>362001</v>
      </c>
      <c r="X132" s="455">
        <v>0</v>
      </c>
      <c r="Y132" s="455">
        <v>24000</v>
      </c>
      <c r="Z132" s="100">
        <v>0</v>
      </c>
      <c r="AA132" s="100">
        <v>0</v>
      </c>
      <c r="AB132" s="100"/>
      <c r="AC132" s="100">
        <v>0</v>
      </c>
      <c r="AD132" s="100">
        <v>0</v>
      </c>
      <c r="AE132" s="100">
        <v>24000</v>
      </c>
      <c r="AF132" s="100">
        <v>23200</v>
      </c>
      <c r="AG132" s="100">
        <v>0</v>
      </c>
      <c r="AH132" s="100">
        <v>0</v>
      </c>
      <c r="AI132" s="100"/>
      <c r="AJ132" s="100">
        <v>0</v>
      </c>
      <c r="AK132" s="100">
        <v>0</v>
      </c>
      <c r="AL132" s="100">
        <v>24450</v>
      </c>
      <c r="AM132" s="100">
        <v>0</v>
      </c>
      <c r="AN132" s="100">
        <v>0</v>
      </c>
      <c r="AO132" s="100">
        <v>0</v>
      </c>
      <c r="AP132" s="100"/>
      <c r="AQ132" s="100">
        <v>24025</v>
      </c>
      <c r="AR132" s="100">
        <v>0</v>
      </c>
      <c r="AS132" s="100">
        <v>0</v>
      </c>
      <c r="AT132" s="100">
        <v>23550</v>
      </c>
      <c r="AU132" s="100">
        <v>0</v>
      </c>
      <c r="AV132" s="100">
        <v>0</v>
      </c>
      <c r="AW132" s="100"/>
      <c r="AX132" s="248"/>
      <c r="AY132" s="100">
        <v>0</v>
      </c>
      <c r="AZ132" s="100"/>
      <c r="BA132" s="100"/>
      <c r="BB132" s="100"/>
      <c r="BC132" s="300">
        <f t="shared" si="23"/>
        <v>143225</v>
      </c>
      <c r="BD132" s="896">
        <f t="shared" si="24"/>
        <v>6</v>
      </c>
      <c r="BE132" s="896">
        <f t="shared" si="25"/>
        <v>23870.833333333332</v>
      </c>
      <c r="BF132" s="387"/>
      <c r="BH132" s="505"/>
    </row>
    <row r="133" spans="1:151" s="38" customFormat="1" ht="15" customHeight="1">
      <c r="A133" s="91">
        <v>121</v>
      </c>
      <c r="B133" s="177" t="s">
        <v>102</v>
      </c>
      <c r="C133" s="178" t="s">
        <v>61</v>
      </c>
      <c r="D133" s="179">
        <v>25</v>
      </c>
      <c r="E133" s="356">
        <v>322</v>
      </c>
      <c r="F133" s="100">
        <f>SUMIF(pro!$A:$A,$V:$V,pro!$N:$N)</f>
        <v>0</v>
      </c>
      <c r="G133" s="356"/>
      <c r="H133" s="100">
        <f>SUMIF(CBIN!$A:$A,BRAN!$V:$V,CBIN!$G:$G)</f>
        <v>0</v>
      </c>
      <c r="I133" s="100">
        <f>SUMIF(data!$D:$D,$B133&amp;$D133,data!$J:$J)</f>
        <v>193</v>
      </c>
      <c r="J133" s="100">
        <f>SUMIF(data!$D:$D,$B133&amp;$D133,data!$K:$K)</f>
        <v>4825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129</v>
      </c>
      <c r="N133" s="354">
        <f t="shared" si="26"/>
        <v>3225</v>
      </c>
      <c r="O133" s="357">
        <f t="shared" si="27"/>
        <v>49625</v>
      </c>
      <c r="P133" s="356"/>
      <c r="Q133" s="356"/>
      <c r="R133" s="356">
        <f>O133/INTGRATE!$N$293</f>
        <v>2157.608695652174</v>
      </c>
      <c r="S133" s="349">
        <f t="shared" si="38"/>
        <v>1.4947103274559193</v>
      </c>
      <c r="T133" s="472"/>
      <c r="U133" s="139"/>
      <c r="V133" s="956" t="str">
        <f t="shared" si="39"/>
        <v>562P25</v>
      </c>
      <c r="W133" s="943">
        <v>364201</v>
      </c>
      <c r="X133" s="455">
        <v>375</v>
      </c>
      <c r="Y133" s="455">
        <v>2875</v>
      </c>
      <c r="Z133" s="100">
        <v>0</v>
      </c>
      <c r="AA133" s="100">
        <v>4250</v>
      </c>
      <c r="AB133" s="100"/>
      <c r="AC133" s="100">
        <v>1000</v>
      </c>
      <c r="AD133" s="100">
        <v>4500</v>
      </c>
      <c r="AE133" s="100">
        <v>0</v>
      </c>
      <c r="AF133" s="100">
        <v>0</v>
      </c>
      <c r="AG133" s="100">
        <v>3750</v>
      </c>
      <c r="AH133" s="100">
        <v>3025</v>
      </c>
      <c r="AI133" s="100"/>
      <c r="AJ133" s="100">
        <v>1750</v>
      </c>
      <c r="AK133" s="100">
        <v>0</v>
      </c>
      <c r="AL133" s="100">
        <v>3000</v>
      </c>
      <c r="AM133" s="100">
        <v>500</v>
      </c>
      <c r="AN133" s="100">
        <v>0</v>
      </c>
      <c r="AO133" s="100">
        <v>2575</v>
      </c>
      <c r="AP133" s="100"/>
      <c r="AQ133" s="100">
        <v>1250</v>
      </c>
      <c r="AR133" s="100">
        <v>7050</v>
      </c>
      <c r="AS133" s="100">
        <v>700</v>
      </c>
      <c r="AT133" s="100">
        <v>1100</v>
      </c>
      <c r="AU133" s="100">
        <v>4500</v>
      </c>
      <c r="AV133" s="100">
        <v>2600</v>
      </c>
      <c r="AW133" s="100"/>
      <c r="AX133" s="248"/>
      <c r="AY133" s="100">
        <v>4825</v>
      </c>
      <c r="AZ133" s="100"/>
      <c r="BA133" s="100"/>
      <c r="BB133" s="100"/>
      <c r="BC133" s="300">
        <f t="shared" si="23"/>
        <v>49625</v>
      </c>
      <c r="BD133" s="896">
        <f t="shared" si="24"/>
        <v>18</v>
      </c>
      <c r="BE133" s="896">
        <f t="shared" si="25"/>
        <v>2756.9444444444443</v>
      </c>
      <c r="BH133" s="505"/>
    </row>
    <row r="134" spans="1:151" s="38" customFormat="1" ht="15" customHeight="1">
      <c r="A134" s="91">
        <v>122</v>
      </c>
      <c r="B134" s="177" t="s">
        <v>102</v>
      </c>
      <c r="C134" s="178" t="s">
        <v>61</v>
      </c>
      <c r="D134" s="700" t="s">
        <v>81</v>
      </c>
      <c r="E134" s="356">
        <v>0</v>
      </c>
      <c r="F134" s="494">
        <f>+J134</f>
        <v>0</v>
      </c>
      <c r="G134" s="494"/>
      <c r="H134" s="100">
        <f>SUMIF(CBIN!$A:$A,BRAN!$V:$V,CBIN!$G:$G)</f>
        <v>0</v>
      </c>
      <c r="I134" s="100">
        <f>SUMIF(data!$D:$D,$B134&amp;$D134,data!$J:$J)</f>
        <v>0</v>
      </c>
      <c r="J134" s="494">
        <f>SUMIF(data!$D:$D,$B134&amp;$D134,data!$K:$K)</f>
        <v>0</v>
      </c>
      <c r="K134" s="356">
        <f>SUMIF(AJOUT!$A:$A,BRAN!$V:$V,AJOUT!$L:$L)</f>
        <v>0</v>
      </c>
      <c r="L134" s="356">
        <f>SUMIF(CBOUT!$A:$A,BRAN!$V:$V,CBOUT!$G:$G)</f>
        <v>0</v>
      </c>
      <c r="M134" s="604">
        <v>0</v>
      </c>
      <c r="N134" s="354">
        <f t="shared" si="26"/>
        <v>0</v>
      </c>
      <c r="O134" s="357">
        <f t="shared" si="27"/>
        <v>17950</v>
      </c>
      <c r="P134" s="494"/>
      <c r="Q134" s="494"/>
      <c r="R134" s="494">
        <f>O134/INTGRATE!$N$293</f>
        <v>780.43478260869563</v>
      </c>
      <c r="S134" s="349">
        <f t="shared" si="38"/>
        <v>0</v>
      </c>
      <c r="T134" s="472"/>
      <c r="U134" s="139"/>
      <c r="V134" s="956" t="str">
        <f t="shared" si="39"/>
        <v>562PSILO</v>
      </c>
      <c r="W134" s="943">
        <v>364201</v>
      </c>
      <c r="X134" s="455">
        <v>0</v>
      </c>
      <c r="Y134" s="455">
        <v>14000</v>
      </c>
      <c r="Z134" s="100">
        <v>0</v>
      </c>
      <c r="AA134" s="100">
        <v>0</v>
      </c>
      <c r="AB134" s="100"/>
      <c r="AC134" s="100">
        <v>0</v>
      </c>
      <c r="AD134" s="100">
        <v>0</v>
      </c>
      <c r="AE134" s="100">
        <v>0</v>
      </c>
      <c r="AF134" s="100">
        <v>1870</v>
      </c>
      <c r="AG134" s="100">
        <v>0</v>
      </c>
      <c r="AH134" s="494">
        <v>0</v>
      </c>
      <c r="AI134" s="100"/>
      <c r="AJ134" s="100">
        <v>0</v>
      </c>
      <c r="AK134" s="100">
        <v>0</v>
      </c>
      <c r="AL134" s="100">
        <v>0</v>
      </c>
      <c r="AM134" s="100">
        <v>0</v>
      </c>
      <c r="AN134" s="100">
        <v>2080</v>
      </c>
      <c r="AO134" s="494">
        <v>0</v>
      </c>
      <c r="AP134" s="100"/>
      <c r="AQ134" s="494">
        <v>0</v>
      </c>
      <c r="AR134" s="100">
        <v>0</v>
      </c>
      <c r="AS134" s="100">
        <v>0</v>
      </c>
      <c r="AT134" s="100">
        <v>0</v>
      </c>
      <c r="AU134" s="100">
        <v>0</v>
      </c>
      <c r="AV134" s="100">
        <v>0</v>
      </c>
      <c r="AW134" s="100"/>
      <c r="AX134" s="248"/>
      <c r="AY134" s="100">
        <v>0</v>
      </c>
      <c r="AZ134" s="100"/>
      <c r="BA134" s="100"/>
      <c r="BB134" s="100"/>
      <c r="BC134" s="300">
        <f t="shared" si="23"/>
        <v>17950</v>
      </c>
      <c r="BD134" s="896">
        <f t="shared" si="24"/>
        <v>3</v>
      </c>
      <c r="BE134" s="896">
        <f t="shared" si="25"/>
        <v>5983.333333333333</v>
      </c>
      <c r="BH134" s="505"/>
    </row>
    <row r="135" spans="1:151" s="38" customFormat="1" ht="15" customHeight="1">
      <c r="A135" s="91">
        <v>123</v>
      </c>
      <c r="B135" s="177" t="s">
        <v>1925</v>
      </c>
      <c r="C135" s="178" t="s">
        <v>61</v>
      </c>
      <c r="D135" s="700" t="s">
        <v>81</v>
      </c>
      <c r="E135" s="356"/>
      <c r="F135" s="494">
        <f>+J135</f>
        <v>0</v>
      </c>
      <c r="G135" s="494"/>
      <c r="H135" s="100"/>
      <c r="I135" s="100"/>
      <c r="J135" s="494">
        <f>SUMIF(data!$D:$D,$B135&amp;$D135,data!$K:$K)</f>
        <v>0</v>
      </c>
      <c r="K135" s="356"/>
      <c r="L135" s="356"/>
      <c r="M135" s="604"/>
      <c r="N135" s="354"/>
      <c r="O135" s="357">
        <f>SUM(X135:BB135)</f>
        <v>0</v>
      </c>
      <c r="P135" s="494"/>
      <c r="Q135" s="494"/>
      <c r="R135" s="494">
        <f>O135/INTGRATE!$N$293</f>
        <v>0</v>
      </c>
      <c r="S135" s="349">
        <f>IF(R135=0,0,N135/R135)</f>
        <v>0</v>
      </c>
      <c r="T135" s="472"/>
      <c r="U135" s="139"/>
      <c r="V135" s="956" t="str">
        <f t="shared" si="39"/>
        <v>562PXSILO</v>
      </c>
      <c r="W135" s="943">
        <v>364208</v>
      </c>
      <c r="X135" s="455">
        <v>0</v>
      </c>
      <c r="Y135" s="455">
        <v>0</v>
      </c>
      <c r="Z135" s="100">
        <v>0</v>
      </c>
      <c r="AA135" s="100">
        <v>0</v>
      </c>
      <c r="AB135" s="100"/>
      <c r="AC135" s="100">
        <v>0</v>
      </c>
      <c r="AD135" s="100">
        <v>0</v>
      </c>
      <c r="AE135" s="100">
        <v>0</v>
      </c>
      <c r="AF135" s="100">
        <v>0</v>
      </c>
      <c r="AG135" s="100">
        <v>0</v>
      </c>
      <c r="AH135" s="494">
        <v>0</v>
      </c>
      <c r="AI135" s="100"/>
      <c r="AJ135" s="100">
        <v>0</v>
      </c>
      <c r="AK135" s="100">
        <v>0</v>
      </c>
      <c r="AL135" s="100">
        <v>0</v>
      </c>
      <c r="AM135" s="100">
        <v>0</v>
      </c>
      <c r="AN135" s="100">
        <v>0</v>
      </c>
      <c r="AO135" s="494">
        <v>0</v>
      </c>
      <c r="AP135" s="100"/>
      <c r="AQ135" s="494">
        <v>0</v>
      </c>
      <c r="AR135" s="100">
        <v>0</v>
      </c>
      <c r="AS135" s="100">
        <v>0</v>
      </c>
      <c r="AT135" s="100">
        <v>0</v>
      </c>
      <c r="AU135" s="100">
        <v>0</v>
      </c>
      <c r="AV135" s="100">
        <v>0</v>
      </c>
      <c r="AW135" s="100"/>
      <c r="AX135" s="248"/>
      <c r="AY135" s="100">
        <v>0</v>
      </c>
      <c r="AZ135" s="100"/>
      <c r="BA135" s="100"/>
      <c r="BB135" s="100"/>
      <c r="BC135" s="300">
        <f t="shared" si="23"/>
        <v>0</v>
      </c>
      <c r="BD135" s="896">
        <f t="shared" si="24"/>
        <v>0</v>
      </c>
      <c r="BE135" s="896">
        <f t="shared" si="25"/>
        <v>0</v>
      </c>
      <c r="BH135" s="505"/>
    </row>
    <row r="136" spans="1:151" s="38" customFormat="1" ht="15" customHeight="1">
      <c r="A136" s="91">
        <v>124</v>
      </c>
      <c r="B136" s="177">
        <v>566</v>
      </c>
      <c r="C136" s="178" t="s">
        <v>61</v>
      </c>
      <c r="D136" s="700" t="s">
        <v>81</v>
      </c>
      <c r="E136" s="494">
        <v>0</v>
      </c>
      <c r="F136" s="494">
        <f>+J136</f>
        <v>0</v>
      </c>
      <c r="G136" s="494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356">
        <f>SUMIF(AJOUT!$A:$A,BRAN!$V:$V,AJOUT!$L:$L)</f>
        <v>0</v>
      </c>
      <c r="L136" s="356">
        <f>SUMIF(CBOUT!$A:$A,BRAN!$V:$V,CBOUT!$G:$G)</f>
        <v>0</v>
      </c>
      <c r="M136" s="604">
        <v>0</v>
      </c>
      <c r="N136" s="354">
        <f t="shared" si="26"/>
        <v>0</v>
      </c>
      <c r="O136" s="357">
        <f t="shared" si="27"/>
        <v>58100</v>
      </c>
      <c r="P136" s="494"/>
      <c r="Q136" s="494"/>
      <c r="R136" s="494">
        <f>O136/INTGRATE!$N$293</f>
        <v>2526.086956521739</v>
      </c>
      <c r="S136" s="349">
        <f t="shared" si="38"/>
        <v>0</v>
      </c>
      <c r="T136" s="472"/>
      <c r="U136" s="139"/>
      <c r="V136" s="956" t="str">
        <f t="shared" si="39"/>
        <v>566SILO</v>
      </c>
      <c r="W136" s="943">
        <v>364201</v>
      </c>
      <c r="X136" s="455">
        <v>0</v>
      </c>
      <c r="Y136" s="455">
        <v>14730</v>
      </c>
      <c r="Z136" s="100">
        <v>0</v>
      </c>
      <c r="AA136" s="100">
        <v>0</v>
      </c>
      <c r="AB136" s="100"/>
      <c r="AC136" s="100">
        <v>0</v>
      </c>
      <c r="AD136" s="100">
        <v>0</v>
      </c>
      <c r="AE136" s="100">
        <v>0</v>
      </c>
      <c r="AF136" s="100">
        <v>0</v>
      </c>
      <c r="AG136" s="100">
        <v>0</v>
      </c>
      <c r="AH136" s="100">
        <v>0</v>
      </c>
      <c r="AI136" s="100"/>
      <c r="AJ136" s="100">
        <v>0</v>
      </c>
      <c r="AK136" s="100">
        <v>0</v>
      </c>
      <c r="AL136" s="100">
        <v>0</v>
      </c>
      <c r="AM136" s="100">
        <v>0</v>
      </c>
      <c r="AN136" s="100">
        <v>14460</v>
      </c>
      <c r="AO136" s="100">
        <v>0</v>
      </c>
      <c r="AP136" s="100"/>
      <c r="AQ136" s="100">
        <v>0</v>
      </c>
      <c r="AR136" s="100">
        <v>0</v>
      </c>
      <c r="AS136" s="100">
        <v>15390</v>
      </c>
      <c r="AT136" s="100">
        <v>13520</v>
      </c>
      <c r="AU136" s="100">
        <v>0</v>
      </c>
      <c r="AV136" s="100">
        <v>0</v>
      </c>
      <c r="AW136" s="100"/>
      <c r="AX136" s="248"/>
      <c r="AY136" s="100">
        <v>0</v>
      </c>
      <c r="AZ136" s="100"/>
      <c r="BA136" s="100"/>
      <c r="BB136" s="100"/>
      <c r="BC136" s="300">
        <f t="shared" si="23"/>
        <v>58100</v>
      </c>
      <c r="BD136" s="896">
        <f t="shared" si="24"/>
        <v>4</v>
      </c>
      <c r="BE136" s="896">
        <f t="shared" si="25"/>
        <v>14525</v>
      </c>
      <c r="BH136" s="505"/>
    </row>
    <row r="137" spans="1:151" s="38" customFormat="1" ht="15" customHeight="1">
      <c r="A137" s="91">
        <v>125</v>
      </c>
      <c r="B137" s="177">
        <v>566</v>
      </c>
      <c r="C137" s="178" t="s">
        <v>61</v>
      </c>
      <c r="D137" s="179">
        <v>25</v>
      </c>
      <c r="E137" s="100">
        <v>3155</v>
      </c>
      <c r="F137" s="100">
        <f>SUMIF(pro!$A:$A,$V:$V,pro!$N:$N)</f>
        <v>202</v>
      </c>
      <c r="G137" s="356"/>
      <c r="H137" s="100">
        <f>SUMIF(CBIN!$A:$A,BRAN!$V:$V,CBIN!$G:$G)</f>
        <v>0</v>
      </c>
      <c r="I137" s="100">
        <f>SUMIF(data!$D:$D,$B137&amp;$D137,data!$J:$J)</f>
        <v>1212</v>
      </c>
      <c r="J137" s="100">
        <f>SUMIF(data!$D:$D,$B137&amp;$D137,data!$K:$K)</f>
        <v>30300</v>
      </c>
      <c r="K137" s="356">
        <f>SUMIF(AJOUT!$A:$A,BRAN!$V:$V,AJOUT!$L:$L)</f>
        <v>0</v>
      </c>
      <c r="L137" s="356">
        <f>SUMIF(CBOUT!$A:$A,BRAN!$V:$V,CBOUT!$G:$G)</f>
        <v>0</v>
      </c>
      <c r="M137" s="540">
        <f>E137+F137+H137-I137-L137+G137-K137</f>
        <v>2145</v>
      </c>
      <c r="N137" s="354">
        <f t="shared" si="26"/>
        <v>53625</v>
      </c>
      <c r="O137" s="357">
        <f t="shared" si="27"/>
        <v>418075</v>
      </c>
      <c r="P137" s="356"/>
      <c r="Q137" s="356"/>
      <c r="R137" s="356">
        <f>O137/INTGRATE!$N$293</f>
        <v>18177.17391304348</v>
      </c>
      <c r="S137" s="349">
        <f t="shared" si="38"/>
        <v>2.9501285654487828</v>
      </c>
      <c r="T137" s="472"/>
      <c r="U137" s="139"/>
      <c r="V137" s="956" t="str">
        <f t="shared" si="39"/>
        <v>56625</v>
      </c>
      <c r="W137" s="943">
        <v>366201</v>
      </c>
      <c r="X137" s="455">
        <v>6000</v>
      </c>
      <c r="Y137" s="455">
        <v>12150</v>
      </c>
      <c r="Z137" s="100">
        <v>28450</v>
      </c>
      <c r="AA137" s="100">
        <v>25450</v>
      </c>
      <c r="AB137" s="100"/>
      <c r="AC137" s="100">
        <v>10300</v>
      </c>
      <c r="AD137" s="100">
        <v>13375</v>
      </c>
      <c r="AE137" s="100">
        <v>17550</v>
      </c>
      <c r="AF137" s="100">
        <v>20400</v>
      </c>
      <c r="AG137" s="100">
        <v>27550</v>
      </c>
      <c r="AH137" s="100">
        <v>16650</v>
      </c>
      <c r="AI137" s="100"/>
      <c r="AJ137" s="100">
        <v>25250</v>
      </c>
      <c r="AK137" s="100">
        <v>21725</v>
      </c>
      <c r="AL137" s="100">
        <v>6925</v>
      </c>
      <c r="AM137" s="100">
        <v>20500</v>
      </c>
      <c r="AN137" s="100">
        <v>25350</v>
      </c>
      <c r="AO137" s="100">
        <v>14125</v>
      </c>
      <c r="AP137" s="100"/>
      <c r="AQ137" s="100">
        <v>14700</v>
      </c>
      <c r="AR137" s="100">
        <v>13300</v>
      </c>
      <c r="AS137" s="100">
        <v>18025</v>
      </c>
      <c r="AT137" s="100">
        <v>3400</v>
      </c>
      <c r="AU137" s="100">
        <v>18275</v>
      </c>
      <c r="AV137" s="100">
        <v>28325</v>
      </c>
      <c r="AW137" s="100"/>
      <c r="AX137" s="248"/>
      <c r="AY137" s="100">
        <v>30300</v>
      </c>
      <c r="AZ137" s="100"/>
      <c r="BA137" s="100"/>
      <c r="BB137" s="100"/>
      <c r="BC137" s="300">
        <f t="shared" si="23"/>
        <v>418075</v>
      </c>
      <c r="BD137" s="896">
        <f t="shared" si="24"/>
        <v>23</v>
      </c>
      <c r="BE137" s="896">
        <f t="shared" si="25"/>
        <v>18177.17391304348</v>
      </c>
      <c r="BH137" s="505"/>
    </row>
    <row r="138" spans="1:151" s="38" customFormat="1" ht="15" customHeight="1">
      <c r="A138" s="91">
        <v>126</v>
      </c>
      <c r="B138" s="177" t="s">
        <v>1876</v>
      </c>
      <c r="C138" s="178" t="s">
        <v>61</v>
      </c>
      <c r="D138" s="179">
        <v>25</v>
      </c>
      <c r="E138" s="100">
        <v>0</v>
      </c>
      <c r="F138" s="100">
        <f>SUMIF(pro!$A:$A,$V:$V,pro!$N:$N)</f>
        <v>0</v>
      </c>
      <c r="G138" s="356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356">
        <f>SUMIF(AJOUT!$A:$A,BRAN!$V:$V,AJOUT!$L:$L)</f>
        <v>0</v>
      </c>
      <c r="L138" s="356"/>
      <c r="M138" s="540">
        <f>E138+F138+H138-I138-L138+G138-K138</f>
        <v>0</v>
      </c>
      <c r="N138" s="354">
        <f t="shared" si="26"/>
        <v>0</v>
      </c>
      <c r="O138" s="357">
        <f t="shared" si="27"/>
        <v>0</v>
      </c>
      <c r="P138" s="356"/>
      <c r="Q138" s="356"/>
      <c r="R138" s="356">
        <f>O138/INTGRATE!$N$293</f>
        <v>0</v>
      </c>
      <c r="S138" s="349">
        <f>IF(R138=0,0,N138/R138)</f>
        <v>0</v>
      </c>
      <c r="T138" s="472"/>
      <c r="U138" s="139"/>
      <c r="V138" s="956" t="str">
        <f t="shared" si="39"/>
        <v>566X25</v>
      </c>
      <c r="W138" s="943">
        <v>366208</v>
      </c>
      <c r="X138" s="455">
        <v>0</v>
      </c>
      <c r="Y138" s="455">
        <v>0</v>
      </c>
      <c r="Z138" s="100">
        <v>0</v>
      </c>
      <c r="AA138" s="100">
        <v>0</v>
      </c>
      <c r="AB138" s="100"/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/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/>
      <c r="AQ138" s="100">
        <v>0</v>
      </c>
      <c r="AR138" s="100">
        <v>0</v>
      </c>
      <c r="AS138" s="100">
        <v>0</v>
      </c>
      <c r="AT138" s="100">
        <v>0</v>
      </c>
      <c r="AU138" s="100">
        <v>0</v>
      </c>
      <c r="AV138" s="100">
        <v>0</v>
      </c>
      <c r="AW138" s="100"/>
      <c r="AX138" s="248"/>
      <c r="AY138" s="100">
        <v>0</v>
      </c>
      <c r="AZ138" s="100"/>
      <c r="BA138" s="100"/>
      <c r="BB138" s="100"/>
      <c r="BC138" s="300">
        <f t="shared" si="23"/>
        <v>0</v>
      </c>
      <c r="BD138" s="896">
        <f t="shared" si="24"/>
        <v>0</v>
      </c>
      <c r="BE138" s="896">
        <f t="shared" si="25"/>
        <v>0</v>
      </c>
      <c r="BH138" s="505"/>
    </row>
    <row r="139" spans="1:151" s="38" customFormat="1" ht="15" customHeight="1">
      <c r="A139" s="91">
        <v>127</v>
      </c>
      <c r="B139" s="177" t="s">
        <v>1876</v>
      </c>
      <c r="C139" s="178" t="s">
        <v>61</v>
      </c>
      <c r="D139" s="702" t="s">
        <v>81</v>
      </c>
      <c r="E139" s="100"/>
      <c r="F139" s="100">
        <f>J139</f>
        <v>0</v>
      </c>
      <c r="G139" s="356"/>
      <c r="H139" s="100"/>
      <c r="I139" s="100"/>
      <c r="J139" s="100">
        <f>SUMIF(data!$D:$D,$B139&amp;$D139,data!$K:$K)</f>
        <v>0</v>
      </c>
      <c r="K139" s="356"/>
      <c r="L139" s="356"/>
      <c r="M139" s="540"/>
      <c r="N139" s="354">
        <f t="shared" si="26"/>
        <v>0</v>
      </c>
      <c r="O139" s="357">
        <f t="shared" si="27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39"/>
        <v>566XSILO</v>
      </c>
      <c r="W139" s="943">
        <v>366208</v>
      </c>
      <c r="X139" s="455">
        <v>0</v>
      </c>
      <c r="Y139" s="455">
        <v>0</v>
      </c>
      <c r="Z139" s="100">
        <v>0</v>
      </c>
      <c r="AA139" s="100">
        <v>0</v>
      </c>
      <c r="AB139" s="100"/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/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/>
      <c r="AQ139" s="100">
        <v>0</v>
      </c>
      <c r="AR139" s="100">
        <v>0</v>
      </c>
      <c r="AS139" s="100">
        <v>0</v>
      </c>
      <c r="AT139" s="100">
        <v>0</v>
      </c>
      <c r="AU139" s="100">
        <v>0</v>
      </c>
      <c r="AV139" s="100">
        <v>0</v>
      </c>
      <c r="AW139" s="100"/>
      <c r="AX139" s="248"/>
      <c r="AY139" s="100">
        <v>0</v>
      </c>
      <c r="AZ139" s="100"/>
      <c r="BA139" s="100"/>
      <c r="BB139" s="100"/>
      <c r="BC139" s="300">
        <f t="shared" si="23"/>
        <v>0</v>
      </c>
      <c r="BD139" s="896">
        <f t="shared" si="24"/>
        <v>0</v>
      </c>
      <c r="BE139" s="896">
        <f t="shared" si="25"/>
        <v>0</v>
      </c>
      <c r="BH139" s="505"/>
    </row>
    <row r="140" spans="1:151" s="38" customFormat="1" ht="15" customHeight="1">
      <c r="A140" s="91">
        <v>128</v>
      </c>
      <c r="B140" s="177">
        <f>567</f>
        <v>567</v>
      </c>
      <c r="C140" s="178" t="s">
        <v>61</v>
      </c>
      <c r="D140" s="179">
        <v>25</v>
      </c>
      <c r="E140" s="356">
        <v>839</v>
      </c>
      <c r="F140" s="100">
        <f>SUMIF(pro!$A:$A,$V:$V,pro!$N:$N)</f>
        <v>0</v>
      </c>
      <c r="G140" s="356"/>
      <c r="H140" s="100">
        <f>SUMIF(CBIN!$A:$A,BRAN!$V:$V,CBIN!$G:$G)</f>
        <v>0</v>
      </c>
      <c r="I140" s="100">
        <f>SUMIF(data!$D:$D,$B140&amp;$D140,data!$J:$J)</f>
        <v>397</v>
      </c>
      <c r="J140" s="100">
        <f>SUMIF(data!$D:$D,$B140&amp;$D140,data!$K:$K)</f>
        <v>9925</v>
      </c>
      <c r="K140" s="356">
        <f>SUMIF(AJOUT!$A:$A,BRAN!$V:$V,AJOUT!$L:$L)</f>
        <v>0</v>
      </c>
      <c r="L140" s="356">
        <f>SUMIF(CBOUT!$A:$A,BRAN!$V:$V,CBOUT!$G:$G)</f>
        <v>0</v>
      </c>
      <c r="M140" s="540">
        <f>E140+F140+H140-I140-L140+G140-K140</f>
        <v>442</v>
      </c>
      <c r="N140" s="354">
        <f t="shared" si="26"/>
        <v>11050</v>
      </c>
      <c r="O140" s="357">
        <f t="shared" si="27"/>
        <v>120350</v>
      </c>
      <c r="P140" s="356"/>
      <c r="Q140" s="356"/>
      <c r="R140" s="356">
        <f>O140/INTGRATE!$N$293</f>
        <v>5232.608695652174</v>
      </c>
      <c r="S140" s="349">
        <f t="shared" si="38"/>
        <v>2.1117573743248856</v>
      </c>
      <c r="T140" s="471"/>
      <c r="U140" s="139"/>
      <c r="V140" s="956" t="str">
        <f t="shared" si="39"/>
        <v>56725</v>
      </c>
      <c r="W140" s="943">
        <v>367201</v>
      </c>
      <c r="X140" s="455">
        <v>3700</v>
      </c>
      <c r="Y140" s="455">
        <v>1125</v>
      </c>
      <c r="Z140" s="100">
        <v>8600</v>
      </c>
      <c r="AA140" s="100">
        <v>7950</v>
      </c>
      <c r="AB140" s="100"/>
      <c r="AC140" s="100">
        <v>3500</v>
      </c>
      <c r="AD140" s="100">
        <v>6350</v>
      </c>
      <c r="AE140" s="100">
        <v>1825</v>
      </c>
      <c r="AF140" s="100">
        <v>5775</v>
      </c>
      <c r="AG140" s="100">
        <v>6300</v>
      </c>
      <c r="AH140" s="100">
        <v>3925</v>
      </c>
      <c r="AI140" s="100"/>
      <c r="AJ140" s="100">
        <v>4700</v>
      </c>
      <c r="AK140" s="100">
        <v>5900</v>
      </c>
      <c r="AL140" s="100">
        <v>4925</v>
      </c>
      <c r="AM140" s="100">
        <v>1975</v>
      </c>
      <c r="AN140" s="100">
        <v>6950</v>
      </c>
      <c r="AO140" s="100">
        <v>3675</v>
      </c>
      <c r="AP140" s="100"/>
      <c r="AQ140" s="100">
        <v>6500</v>
      </c>
      <c r="AR140" s="100">
        <v>9000</v>
      </c>
      <c r="AS140" s="100">
        <v>3650</v>
      </c>
      <c r="AT140" s="100">
        <v>1625</v>
      </c>
      <c r="AU140" s="100">
        <v>5425</v>
      </c>
      <c r="AV140" s="100">
        <v>7050</v>
      </c>
      <c r="AW140" s="100"/>
      <c r="AX140" s="248"/>
      <c r="AY140" s="100">
        <v>9925</v>
      </c>
      <c r="AZ140" s="100"/>
      <c r="BA140" s="100"/>
      <c r="BB140" s="100"/>
      <c r="BC140" s="300">
        <f t="shared" si="23"/>
        <v>120350</v>
      </c>
      <c r="BD140" s="896">
        <f t="shared" si="24"/>
        <v>23</v>
      </c>
      <c r="BE140" s="896">
        <f t="shared" si="25"/>
        <v>5232.608695652174</v>
      </c>
      <c r="BH140" s="505"/>
    </row>
    <row r="141" spans="1:151" s="38" customFormat="1" ht="15" customHeight="1">
      <c r="A141" s="91">
        <v>129</v>
      </c>
      <c r="B141" s="177" t="s">
        <v>60</v>
      </c>
      <c r="C141" s="178" t="s">
        <v>61</v>
      </c>
      <c r="D141" s="700" t="s">
        <v>81</v>
      </c>
      <c r="E141" s="605"/>
      <c r="F141" s="494">
        <f>+J141</f>
        <v>0</v>
      </c>
      <c r="G141" s="494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356">
        <f>SUMIF(AJOUT!$A:$A,BRAN!$V:$V,AJOUT!$L:$L)</f>
        <v>0</v>
      </c>
      <c r="L141" s="356">
        <f>SUMIF(CBOUT!$A:$A,BRAN!$V:$V,CBOUT!$G:$G)</f>
        <v>0</v>
      </c>
      <c r="M141" s="604"/>
      <c r="N141" s="354">
        <f t="shared" si="26"/>
        <v>0</v>
      </c>
      <c r="O141" s="357">
        <f t="shared" si="27"/>
        <v>12360</v>
      </c>
      <c r="P141" s="494"/>
      <c r="Q141" s="494"/>
      <c r="R141" s="494">
        <f>O141/INTGRATE!$N$293</f>
        <v>537.39130434782612</v>
      </c>
      <c r="S141" s="349">
        <f t="shared" si="38"/>
        <v>0</v>
      </c>
      <c r="T141" s="472"/>
      <c r="U141" s="139"/>
      <c r="V141" s="956" t="str">
        <f t="shared" si="39"/>
        <v>567SSILO</v>
      </c>
      <c r="W141" s="943">
        <v>367101</v>
      </c>
      <c r="X141" s="455">
        <v>0</v>
      </c>
      <c r="Y141" s="455">
        <v>0</v>
      </c>
      <c r="Z141" s="100">
        <v>0</v>
      </c>
      <c r="AA141" s="100">
        <v>0</v>
      </c>
      <c r="AB141" s="100"/>
      <c r="AC141" s="100">
        <v>0</v>
      </c>
      <c r="AD141" s="100">
        <v>12360</v>
      </c>
      <c r="AE141" s="100">
        <v>0</v>
      </c>
      <c r="AF141" s="100">
        <v>0</v>
      </c>
      <c r="AG141" s="100">
        <v>0</v>
      </c>
      <c r="AH141" s="494">
        <v>0</v>
      </c>
      <c r="AI141" s="100"/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494">
        <v>0</v>
      </c>
      <c r="AP141" s="100"/>
      <c r="AQ141" s="494">
        <v>0</v>
      </c>
      <c r="AR141" s="100">
        <v>0</v>
      </c>
      <c r="AS141" s="100">
        <v>0</v>
      </c>
      <c r="AT141" s="100">
        <v>0</v>
      </c>
      <c r="AU141" s="100">
        <v>0</v>
      </c>
      <c r="AV141" s="100">
        <v>0</v>
      </c>
      <c r="AW141" s="100"/>
      <c r="AX141" s="248"/>
      <c r="AY141" s="100">
        <v>0</v>
      </c>
      <c r="AZ141" s="100"/>
      <c r="BA141" s="100"/>
      <c r="BB141" s="100"/>
      <c r="BC141" s="300">
        <f t="shared" si="23"/>
        <v>12360</v>
      </c>
      <c r="BD141" s="896">
        <f t="shared" si="24"/>
        <v>1</v>
      </c>
      <c r="BE141" s="896">
        <f t="shared" si="25"/>
        <v>12360</v>
      </c>
      <c r="BH141" s="505"/>
    </row>
    <row r="142" spans="1:151" s="38" customFormat="1" ht="15" customHeight="1">
      <c r="A142" s="91">
        <v>130</v>
      </c>
      <c r="B142" s="177" t="s">
        <v>1882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/>
      <c r="I142" s="100"/>
      <c r="J142" s="494">
        <f>SUMIF(data!$D:$D,$B142&amp;$D142,data!$K:$K)</f>
        <v>0</v>
      </c>
      <c r="K142" s="356"/>
      <c r="L142" s="356"/>
      <c r="M142" s="604"/>
      <c r="N142" s="354">
        <f t="shared" si="26"/>
        <v>0</v>
      </c>
      <c r="O142" s="357">
        <f t="shared" si="27"/>
        <v>0</v>
      </c>
      <c r="P142" s="494"/>
      <c r="Q142" s="494"/>
      <c r="R142" s="494">
        <f>O142/INTGRATE!$N$293</f>
        <v>0</v>
      </c>
      <c r="S142" s="349">
        <f>IF(R142=0,0,N142/R142)</f>
        <v>0</v>
      </c>
      <c r="T142" s="472"/>
      <c r="U142" s="139"/>
      <c r="V142" s="956" t="str">
        <f t="shared" si="39"/>
        <v>567SXSILO</v>
      </c>
      <c r="W142" s="943">
        <v>367108</v>
      </c>
      <c r="X142" s="455">
        <v>0</v>
      </c>
      <c r="Y142" s="455">
        <v>0</v>
      </c>
      <c r="Z142" s="100">
        <v>0</v>
      </c>
      <c r="AA142" s="100">
        <v>0</v>
      </c>
      <c r="AB142" s="100"/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494">
        <v>0</v>
      </c>
      <c r="AI142" s="100"/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494">
        <v>0</v>
      </c>
      <c r="AP142" s="100"/>
      <c r="AQ142" s="494">
        <v>0</v>
      </c>
      <c r="AR142" s="100">
        <v>0</v>
      </c>
      <c r="AS142" s="100">
        <v>0</v>
      </c>
      <c r="AT142" s="100">
        <v>0</v>
      </c>
      <c r="AU142" s="100">
        <v>0</v>
      </c>
      <c r="AV142" s="100">
        <v>0</v>
      </c>
      <c r="AW142" s="100"/>
      <c r="AX142" s="248"/>
      <c r="AY142" s="100">
        <v>0</v>
      </c>
      <c r="AZ142" s="100"/>
      <c r="BA142" s="100"/>
      <c r="BB142" s="100"/>
      <c r="BC142" s="300">
        <f t="shared" si="23"/>
        <v>0</v>
      </c>
      <c r="BD142" s="896">
        <f t="shared" si="24"/>
        <v>0</v>
      </c>
      <c r="BE142" s="896">
        <f t="shared" si="25"/>
        <v>0</v>
      </c>
      <c r="BH142" s="505"/>
    </row>
    <row r="143" spans="1:151" s="38" customFormat="1" ht="15" customHeight="1">
      <c r="A143" s="91">
        <v>131</v>
      </c>
      <c r="B143" s="177" t="s">
        <v>60</v>
      </c>
      <c r="C143" s="178" t="s">
        <v>61</v>
      </c>
      <c r="D143" s="179">
        <v>25</v>
      </c>
      <c r="E143" s="359">
        <v>2178</v>
      </c>
      <c r="F143" s="100">
        <f>SUMIF(pro!$A:$A,$V:$V,pro!$N:$N)</f>
        <v>0</v>
      </c>
      <c r="G143" s="356"/>
      <c r="H143" s="100">
        <f>SUMIF(CBIN!$A:$A,BRAN!$V:$V,CBIN!$G:$G)</f>
        <v>0</v>
      </c>
      <c r="I143" s="100">
        <f>SUMIF(data!$D:$D,$B143&amp;$D143,data!$J:$J)</f>
        <v>1673</v>
      </c>
      <c r="J143" s="100">
        <f>SUMIF(data!$D:$D,$B143&amp;$D143,data!$K:$K)</f>
        <v>41825</v>
      </c>
      <c r="K143" s="356">
        <f>SUMIF(AJOUT!$A:$A,BRAN!$V:$V,AJOUT!$L:$L)</f>
        <v>0</v>
      </c>
      <c r="L143" s="356">
        <f>SUMIF(CBOUT!$A:$A,BRAN!$V:$V,CBOUT!$G:$G)</f>
        <v>0</v>
      </c>
      <c r="M143" s="540">
        <f t="shared" ref="M143:M149" si="43">E143+F143+H143-I143-L143+G143-K143</f>
        <v>505</v>
      </c>
      <c r="N143" s="354">
        <f t="shared" si="26"/>
        <v>12625</v>
      </c>
      <c r="O143" s="357">
        <f t="shared" si="27"/>
        <v>389350</v>
      </c>
      <c r="P143" s="356"/>
      <c r="Q143" s="356"/>
      <c r="R143" s="356">
        <f>O143/INTGRATE!$N$293</f>
        <v>16928.260869565216</v>
      </c>
      <c r="S143" s="349">
        <f t="shared" si="38"/>
        <v>0.74579427250545782</v>
      </c>
      <c r="T143" s="472"/>
      <c r="U143" s="139"/>
      <c r="V143" s="956" t="str">
        <f t="shared" si="39"/>
        <v>567S25</v>
      </c>
      <c r="W143" s="943">
        <v>367101</v>
      </c>
      <c r="X143" s="455">
        <v>3375</v>
      </c>
      <c r="Y143" s="455">
        <v>23475</v>
      </c>
      <c r="Z143" s="100">
        <v>32925</v>
      </c>
      <c r="AA143" s="100">
        <v>5625</v>
      </c>
      <c r="AB143" s="100"/>
      <c r="AC143" s="100">
        <v>33375</v>
      </c>
      <c r="AD143" s="100">
        <v>5575</v>
      </c>
      <c r="AE143" s="100">
        <v>28500</v>
      </c>
      <c r="AF143" s="100">
        <v>5575</v>
      </c>
      <c r="AG143" s="100">
        <v>18300</v>
      </c>
      <c r="AH143" s="100">
        <v>7000</v>
      </c>
      <c r="AI143" s="100"/>
      <c r="AJ143" s="100">
        <v>17125</v>
      </c>
      <c r="AK143" s="100">
        <v>24250</v>
      </c>
      <c r="AL143" s="100">
        <v>5000</v>
      </c>
      <c r="AM143" s="100">
        <v>6250</v>
      </c>
      <c r="AN143" s="100">
        <v>10375</v>
      </c>
      <c r="AO143" s="100">
        <v>19875</v>
      </c>
      <c r="AP143" s="100"/>
      <c r="AQ143" s="100">
        <v>5000</v>
      </c>
      <c r="AR143" s="100">
        <v>17525</v>
      </c>
      <c r="AS143" s="100">
        <v>6575</v>
      </c>
      <c r="AT143" s="100">
        <v>3750</v>
      </c>
      <c r="AU143" s="100">
        <v>24325</v>
      </c>
      <c r="AV143" s="100">
        <v>43750</v>
      </c>
      <c r="AW143" s="100"/>
      <c r="AX143" s="248"/>
      <c r="AY143" s="100">
        <v>41825</v>
      </c>
      <c r="AZ143" s="100"/>
      <c r="BA143" s="100"/>
      <c r="BB143" s="100"/>
      <c r="BC143" s="300">
        <f t="shared" si="23"/>
        <v>389350</v>
      </c>
      <c r="BD143" s="896">
        <f t="shared" si="24"/>
        <v>23</v>
      </c>
      <c r="BE143" s="896">
        <f t="shared" si="25"/>
        <v>16928.260869565216</v>
      </c>
      <c r="BH143" s="505"/>
    </row>
    <row r="144" spans="1:151" s="95" customFormat="1" ht="15" customHeight="1">
      <c r="A144" s="91">
        <v>132</v>
      </c>
      <c r="B144" s="183">
        <v>584</v>
      </c>
      <c r="C144" s="182" t="s">
        <v>61</v>
      </c>
      <c r="D144" s="184">
        <v>25</v>
      </c>
      <c r="E144" s="359">
        <v>330</v>
      </c>
      <c r="F144" s="100">
        <f>SUMIF(pro!$A:$A,$V:$V,pro!$N:$N)</f>
        <v>0</v>
      </c>
      <c r="G144" s="356"/>
      <c r="H144" s="100">
        <f>SUMIF(CBIN!$A:$A,BRAN!$V:$V,CBIN!$G:$G)</f>
        <v>0</v>
      </c>
      <c r="I144" s="100">
        <f>SUMIF(data!$D:$D,$B144&amp;$D144,data!$J:$J)</f>
        <v>120</v>
      </c>
      <c r="J144" s="100">
        <f>SUMIF(data!$D:$D,$B144&amp;$D144,data!$K:$K)</f>
        <v>3000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si="43"/>
        <v>210</v>
      </c>
      <c r="N144" s="354">
        <f t="shared" si="26"/>
        <v>5250</v>
      </c>
      <c r="O144" s="357">
        <f t="shared" si="27"/>
        <v>23350</v>
      </c>
      <c r="P144" s="350"/>
      <c r="Q144" s="350"/>
      <c r="R144" s="356">
        <f>O144/INTGRATE!$N$293</f>
        <v>1015.2173913043479</v>
      </c>
      <c r="S144" s="349">
        <f t="shared" si="38"/>
        <v>5.1713062098501066</v>
      </c>
      <c r="T144" s="472"/>
      <c r="U144" s="139"/>
      <c r="V144" s="956" t="str">
        <f t="shared" si="39"/>
        <v>58425</v>
      </c>
      <c r="W144" s="943">
        <v>433001</v>
      </c>
      <c r="X144" s="455">
        <v>375</v>
      </c>
      <c r="Y144" s="455">
        <v>350</v>
      </c>
      <c r="Z144" s="100">
        <v>1250</v>
      </c>
      <c r="AA144" s="100">
        <v>1500</v>
      </c>
      <c r="AB144" s="100"/>
      <c r="AC144" s="100">
        <v>0</v>
      </c>
      <c r="AD144" s="100">
        <v>375</v>
      </c>
      <c r="AE144" s="100">
        <v>1000</v>
      </c>
      <c r="AF144" s="100">
        <v>0</v>
      </c>
      <c r="AG144" s="100">
        <v>0</v>
      </c>
      <c r="AH144" s="100">
        <v>1175</v>
      </c>
      <c r="AI144" s="100"/>
      <c r="AJ144" s="100">
        <v>500</v>
      </c>
      <c r="AK144" s="100">
        <v>1875</v>
      </c>
      <c r="AL144" s="100">
        <v>5000</v>
      </c>
      <c r="AM144" s="100">
        <v>250</v>
      </c>
      <c r="AN144" s="100">
        <v>575</v>
      </c>
      <c r="AO144" s="100">
        <v>2125</v>
      </c>
      <c r="AP144" s="100"/>
      <c r="AQ144" s="100">
        <v>1050</v>
      </c>
      <c r="AR144" s="100">
        <v>0</v>
      </c>
      <c r="AS144" s="100">
        <v>625</v>
      </c>
      <c r="AT144" s="100">
        <v>0</v>
      </c>
      <c r="AU144" s="100">
        <v>550</v>
      </c>
      <c r="AV144" s="100">
        <v>1775</v>
      </c>
      <c r="AW144" s="100"/>
      <c r="AX144" s="248"/>
      <c r="AY144" s="100">
        <v>3000</v>
      </c>
      <c r="AZ144" s="100"/>
      <c r="BA144" s="100"/>
      <c r="BB144" s="100"/>
      <c r="BC144" s="300">
        <f t="shared" si="23"/>
        <v>23350</v>
      </c>
      <c r="BD144" s="896">
        <f t="shared" si="24"/>
        <v>18</v>
      </c>
      <c r="BE144" s="896">
        <f t="shared" si="25"/>
        <v>1297.2222222222222</v>
      </c>
      <c r="BF144" s="38"/>
      <c r="BG144" s="38"/>
      <c r="BH144" s="505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79" t="s">
        <v>1907</v>
      </c>
      <c r="C145" s="182" t="s">
        <v>61</v>
      </c>
      <c r="D145" s="184">
        <v>25</v>
      </c>
      <c r="E145" s="359">
        <v>0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3"/>
        <v>0</v>
      </c>
      <c r="N145" s="354">
        <f t="shared" si="26"/>
        <v>0</v>
      </c>
      <c r="O145" s="357">
        <f t="shared" si="27"/>
        <v>0</v>
      </c>
      <c r="P145" s="350"/>
      <c r="Q145" s="350"/>
      <c r="R145" s="356">
        <f>O145/INTGRATE!$N$293</f>
        <v>0</v>
      </c>
      <c r="S145" s="349">
        <f>IF(R145=0,0,N145/R145)</f>
        <v>0</v>
      </c>
      <c r="T145" s="472"/>
      <c r="U145" s="139"/>
      <c r="V145" s="956" t="str">
        <f t="shared" si="39"/>
        <v>571 O125</v>
      </c>
      <c r="W145" s="943">
        <v>411001</v>
      </c>
      <c r="X145" s="458">
        <v>0</v>
      </c>
      <c r="Y145" s="458">
        <v>0</v>
      </c>
      <c r="Z145" s="100">
        <v>0</v>
      </c>
      <c r="AA145" s="100">
        <v>0</v>
      </c>
      <c r="AB145" s="100"/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/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/>
      <c r="AQ145" s="100">
        <v>0</v>
      </c>
      <c r="AR145" s="100">
        <v>0</v>
      </c>
      <c r="AS145" s="100">
        <v>0</v>
      </c>
      <c r="AT145" s="100">
        <v>0</v>
      </c>
      <c r="AU145" s="100">
        <v>0</v>
      </c>
      <c r="AV145" s="100">
        <v>0</v>
      </c>
      <c r="AW145" s="100"/>
      <c r="AX145" s="248"/>
      <c r="AY145" s="100">
        <v>0</v>
      </c>
      <c r="AZ145" s="100"/>
      <c r="BA145" s="100"/>
      <c r="BB145" s="100"/>
      <c r="BC145" s="300">
        <f t="shared" si="23"/>
        <v>0</v>
      </c>
      <c r="BD145" s="896">
        <f t="shared" si="24"/>
        <v>0</v>
      </c>
      <c r="BE145" s="896">
        <f t="shared" si="25"/>
        <v>0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951</v>
      </c>
      <c r="C146" s="534" t="s">
        <v>61</v>
      </c>
      <c r="D146" s="184">
        <v>25</v>
      </c>
      <c r="E146" s="359">
        <v>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3"/>
        <v>0</v>
      </c>
      <c r="N146" s="354">
        <f t="shared" si="26"/>
        <v>0</v>
      </c>
      <c r="O146" s="357">
        <f t="shared" si="27"/>
        <v>0</v>
      </c>
      <c r="P146" s="350"/>
      <c r="Q146" s="350"/>
      <c r="R146" s="356">
        <f>O146/INTGRATE!$N$293</f>
        <v>0</v>
      </c>
      <c r="S146" s="349">
        <f t="shared" si="38"/>
        <v>0</v>
      </c>
      <c r="T146" s="472"/>
      <c r="U146" s="139"/>
      <c r="V146" s="956" t="str">
        <f t="shared" si="39"/>
        <v>585S25</v>
      </c>
      <c r="W146" s="943">
        <v>433011</v>
      </c>
      <c r="X146" s="458">
        <v>0</v>
      </c>
      <c r="Y146" s="458">
        <v>0</v>
      </c>
      <c r="Z146" s="100">
        <v>0</v>
      </c>
      <c r="AA146" s="100">
        <v>0</v>
      </c>
      <c r="AB146" s="100"/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/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/>
      <c r="AQ146" s="100">
        <v>0</v>
      </c>
      <c r="AR146" s="100">
        <v>0</v>
      </c>
      <c r="AS146" s="100">
        <v>0</v>
      </c>
      <c r="AT146" s="100">
        <v>0</v>
      </c>
      <c r="AU146" s="100">
        <v>0</v>
      </c>
      <c r="AV146" s="100">
        <v>0</v>
      </c>
      <c r="AW146" s="100"/>
      <c r="AX146" s="248"/>
      <c r="AY146" s="100">
        <v>0</v>
      </c>
      <c r="AZ146" s="100"/>
      <c r="BA146" s="100"/>
      <c r="BB146" s="100"/>
      <c r="BC146" s="300">
        <f t="shared" si="23"/>
        <v>0</v>
      </c>
      <c r="BD146" s="896">
        <f t="shared" si="24"/>
        <v>0</v>
      </c>
      <c r="BE146" s="896">
        <f t="shared" si="25"/>
        <v>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>
        <v>596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3"/>
        <v>0</v>
      </c>
      <c r="N147" s="354">
        <f t="shared" si="26"/>
        <v>0</v>
      </c>
      <c r="O147" s="357">
        <f t="shared" si="27"/>
        <v>0</v>
      </c>
      <c r="P147" s="924"/>
      <c r="Q147" s="350"/>
      <c r="R147" s="356">
        <f>O147/INTGRATE!$N$293</f>
        <v>0</v>
      </c>
      <c r="S147" s="349">
        <f t="shared" si="38"/>
        <v>0</v>
      </c>
      <c r="T147" s="472"/>
      <c r="U147" s="139"/>
      <c r="V147" s="956" t="str">
        <f t="shared" si="39"/>
        <v>59625</v>
      </c>
      <c r="W147" s="943">
        <v>424001</v>
      </c>
      <c r="X147" s="458">
        <v>0</v>
      </c>
      <c r="Y147" s="458">
        <v>0</v>
      </c>
      <c r="Z147" s="100">
        <v>0</v>
      </c>
      <c r="AA147" s="100">
        <v>0</v>
      </c>
      <c r="AB147" s="100"/>
      <c r="AC147" s="100">
        <v>0</v>
      </c>
      <c r="AD147" s="100">
        <v>0</v>
      </c>
      <c r="AE147" s="100">
        <v>0</v>
      </c>
      <c r="AF147" s="100">
        <v>0</v>
      </c>
      <c r="AG147" s="100">
        <v>0</v>
      </c>
      <c r="AH147" s="100">
        <v>0</v>
      </c>
      <c r="AI147" s="100"/>
      <c r="AJ147" s="100">
        <v>0</v>
      </c>
      <c r="AK147" s="100">
        <v>0</v>
      </c>
      <c r="AL147" s="100">
        <v>0</v>
      </c>
      <c r="AM147" s="100">
        <v>0</v>
      </c>
      <c r="AN147" s="100">
        <v>0</v>
      </c>
      <c r="AO147" s="100">
        <v>0</v>
      </c>
      <c r="AP147" s="100"/>
      <c r="AQ147" s="100">
        <v>0</v>
      </c>
      <c r="AR147" s="100">
        <v>0</v>
      </c>
      <c r="AS147" s="100">
        <v>0</v>
      </c>
      <c r="AT147" s="100">
        <v>0</v>
      </c>
      <c r="AU147" s="100">
        <v>0</v>
      </c>
      <c r="AV147" s="100">
        <v>0</v>
      </c>
      <c r="AW147" s="100"/>
      <c r="AX147" s="248"/>
      <c r="AY147" s="100">
        <v>0</v>
      </c>
      <c r="AZ147" s="100"/>
      <c r="BA147" s="100"/>
      <c r="BB147" s="100"/>
      <c r="BC147" s="300">
        <f t="shared" ref="BC147:BC149" si="44">SUM(X147:BB147)</f>
        <v>0</v>
      </c>
      <c r="BD147" s="896">
        <f t="shared" ref="BD147:BD149" si="45">COUNTIF(X147:BB147,"&gt;0")</f>
        <v>0</v>
      </c>
      <c r="BE147" s="896">
        <f t="shared" ref="BE147:BE149" si="46">IFERROR(BC147/BD147,0)</f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594</v>
      </c>
      <c r="C148" s="534" t="s">
        <v>61</v>
      </c>
      <c r="D148" s="184">
        <v>25</v>
      </c>
      <c r="E148" s="359">
        <v>472</v>
      </c>
      <c r="F148" s="100">
        <f>SUMIF(pro!$A:$A,$V:$V,pro!$N:$N)</f>
        <v>453</v>
      </c>
      <c r="G148" s="356"/>
      <c r="H148" s="100">
        <f>SUMIF(CBIN!$A:$A,BRAN!$V:$V,CBIN!$G:$G)</f>
        <v>0</v>
      </c>
      <c r="I148" s="100">
        <f>SUMIF(data!$D:$D,$B148&amp;$D148,data!$J:$J)</f>
        <v>260</v>
      </c>
      <c r="J148" s="100">
        <f>SUMIF(data!$D:$D,$B148&amp;$D148,data!$K:$K)</f>
        <v>6500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3"/>
        <v>665</v>
      </c>
      <c r="N148" s="354">
        <f t="shared" si="26"/>
        <v>16625</v>
      </c>
      <c r="O148" s="357">
        <f t="shared" si="27"/>
        <v>38400</v>
      </c>
      <c r="P148" s="350"/>
      <c r="Q148" s="350"/>
      <c r="R148" s="356">
        <f>O148/INTGRATE!$N$293</f>
        <v>1669.5652173913043</v>
      </c>
      <c r="S148" s="349">
        <f t="shared" si="38"/>
        <v>9.9576822916666679</v>
      </c>
      <c r="T148" s="472"/>
      <c r="U148" s="139"/>
      <c r="V148" s="956" t="str">
        <f t="shared" si="39"/>
        <v>59425</v>
      </c>
      <c r="W148" s="943">
        <v>422001</v>
      </c>
      <c r="X148" s="458">
        <v>0</v>
      </c>
      <c r="Y148" s="458">
        <v>0</v>
      </c>
      <c r="Z148" s="100">
        <v>0</v>
      </c>
      <c r="AA148" s="100">
        <v>0</v>
      </c>
      <c r="AB148" s="100"/>
      <c r="AC148" s="100">
        <v>0</v>
      </c>
      <c r="AD148" s="100">
        <v>250</v>
      </c>
      <c r="AE148" s="100">
        <v>500</v>
      </c>
      <c r="AF148" s="100">
        <v>0</v>
      </c>
      <c r="AG148" s="100">
        <v>0</v>
      </c>
      <c r="AH148" s="100">
        <v>2000</v>
      </c>
      <c r="AI148" s="100"/>
      <c r="AJ148" s="100">
        <v>0</v>
      </c>
      <c r="AK148" s="100">
        <v>0</v>
      </c>
      <c r="AL148" s="100">
        <v>750</v>
      </c>
      <c r="AM148" s="100">
        <v>0</v>
      </c>
      <c r="AN148" s="100">
        <v>750</v>
      </c>
      <c r="AO148" s="100">
        <v>3075</v>
      </c>
      <c r="AP148" s="100"/>
      <c r="AQ148" s="100">
        <v>0</v>
      </c>
      <c r="AR148" s="100">
        <v>7250</v>
      </c>
      <c r="AS148" s="100">
        <v>0</v>
      </c>
      <c r="AT148" s="100">
        <v>14500</v>
      </c>
      <c r="AU148" s="100">
        <v>0</v>
      </c>
      <c r="AV148" s="100">
        <v>2825</v>
      </c>
      <c r="AW148" s="100"/>
      <c r="AX148" s="248"/>
      <c r="AY148" s="100">
        <v>6500</v>
      </c>
      <c r="AZ148" s="100"/>
      <c r="BA148" s="100"/>
      <c r="BB148" s="100"/>
      <c r="BC148" s="300">
        <f t="shared" si="44"/>
        <v>38400</v>
      </c>
      <c r="BD148" s="896">
        <f t="shared" si="45"/>
        <v>10</v>
      </c>
      <c r="BE148" s="896">
        <f t="shared" si="46"/>
        <v>3840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183">
        <v>595</v>
      </c>
      <c r="C149" s="182" t="s">
        <v>61</v>
      </c>
      <c r="D149" s="184">
        <v>25</v>
      </c>
      <c r="E149" s="359">
        <v>1689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538</v>
      </c>
      <c r="J149" s="100">
        <f>SUMIF(data!$D:$D,$B149&amp;$D149,data!$K:$K)</f>
        <v>13450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3"/>
        <v>1151</v>
      </c>
      <c r="N149" s="354">
        <f t="shared" si="26"/>
        <v>28775</v>
      </c>
      <c r="O149" s="357">
        <f t="shared" si="27"/>
        <v>159950</v>
      </c>
      <c r="P149" s="350"/>
      <c r="Q149" s="350"/>
      <c r="R149" s="356">
        <f>O149/INTGRATE!$N$293</f>
        <v>6954.347826086957</v>
      </c>
      <c r="S149" s="349">
        <f t="shared" si="38"/>
        <v>4.1376992810253199</v>
      </c>
      <c r="T149" s="584"/>
      <c r="U149" s="139"/>
      <c r="V149" s="956" t="str">
        <f t="shared" si="39"/>
        <v>59525</v>
      </c>
      <c r="W149" s="943">
        <v>423001</v>
      </c>
      <c r="X149" s="458">
        <v>125</v>
      </c>
      <c r="Y149" s="458">
        <v>6800</v>
      </c>
      <c r="Z149" s="161">
        <v>22750</v>
      </c>
      <c r="AA149" s="161">
        <v>8550</v>
      </c>
      <c r="AB149" s="161"/>
      <c r="AC149" s="161">
        <v>2450</v>
      </c>
      <c r="AD149" s="161">
        <v>5325</v>
      </c>
      <c r="AE149" s="161">
        <v>4050</v>
      </c>
      <c r="AF149" s="161">
        <v>1625</v>
      </c>
      <c r="AG149" s="161">
        <v>15450</v>
      </c>
      <c r="AH149" s="100">
        <v>12350</v>
      </c>
      <c r="AI149" s="161"/>
      <c r="AJ149" s="161">
        <v>6800</v>
      </c>
      <c r="AK149" s="161">
        <v>4075</v>
      </c>
      <c r="AL149" s="161">
        <v>2950</v>
      </c>
      <c r="AM149" s="161">
        <v>6700</v>
      </c>
      <c r="AN149" s="161">
        <v>7800</v>
      </c>
      <c r="AO149" s="100">
        <v>6550</v>
      </c>
      <c r="AP149" s="161"/>
      <c r="AQ149" s="100">
        <v>4300</v>
      </c>
      <c r="AR149" s="161">
        <v>7875</v>
      </c>
      <c r="AS149" s="161">
        <v>4125</v>
      </c>
      <c r="AT149" s="161">
        <v>2075</v>
      </c>
      <c r="AU149" s="161">
        <v>7500</v>
      </c>
      <c r="AV149" s="161">
        <v>6275</v>
      </c>
      <c r="AW149" s="161"/>
      <c r="AX149" s="248"/>
      <c r="AY149" s="161">
        <v>13450</v>
      </c>
      <c r="AZ149" s="161"/>
      <c r="BA149" s="161"/>
      <c r="BB149" s="161"/>
      <c r="BC149" s="300">
        <f t="shared" si="44"/>
        <v>159950</v>
      </c>
      <c r="BD149" s="896">
        <f t="shared" si="45"/>
        <v>23</v>
      </c>
      <c r="BE149" s="896">
        <f t="shared" si="46"/>
        <v>6954.347826086957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226" t="s">
        <v>1763</v>
      </c>
      <c r="B150" s="1227"/>
      <c r="C150" s="1227"/>
      <c r="D150" s="1228"/>
      <c r="E150" s="64"/>
      <c r="F150" s="64"/>
      <c r="G150" s="64"/>
      <c r="H150" s="64"/>
      <c r="I150" s="64"/>
      <c r="J150" s="64"/>
      <c r="K150" s="64"/>
      <c r="L150" s="64"/>
      <c r="M150" s="673"/>
      <c r="N150" s="64"/>
      <c r="O150" s="127"/>
      <c r="P150" s="64">
        <f>SUM(P13:P19)</f>
        <v>871105</v>
      </c>
      <c r="Q150" s="64">
        <f>SUM(Q13:Q19)</f>
        <v>8510985</v>
      </c>
      <c r="R150" s="64"/>
      <c r="S150" s="99"/>
      <c r="T150" s="1232"/>
      <c r="U150" s="140"/>
      <c r="V150" s="954" t="str">
        <f t="shared" si="39"/>
        <v/>
      </c>
      <c r="W150" s="951"/>
      <c r="X150" s="638">
        <f t="shared" ref="X150:BB150" si="47">SUM(X13:X149)</f>
        <v>286150</v>
      </c>
      <c r="Y150" s="638">
        <f t="shared" si="47"/>
        <v>375535</v>
      </c>
      <c r="Z150" s="638">
        <f t="shared" si="47"/>
        <v>480605</v>
      </c>
      <c r="AA150" s="638">
        <f t="shared" si="47"/>
        <v>515780</v>
      </c>
      <c r="AB150" s="638">
        <f t="shared" si="47"/>
        <v>0</v>
      </c>
      <c r="AC150" s="638">
        <f t="shared" si="47"/>
        <v>343720</v>
      </c>
      <c r="AD150" s="638">
        <f t="shared" si="47"/>
        <v>325260</v>
      </c>
      <c r="AE150" s="638">
        <f t="shared" si="47"/>
        <v>287895</v>
      </c>
      <c r="AF150" s="638">
        <f t="shared" si="47"/>
        <v>313710</v>
      </c>
      <c r="AG150" s="638">
        <f t="shared" si="47"/>
        <v>328600</v>
      </c>
      <c r="AH150" s="638">
        <f t="shared" si="47"/>
        <v>383770</v>
      </c>
      <c r="AI150" s="638">
        <f t="shared" si="47"/>
        <v>0</v>
      </c>
      <c r="AJ150" s="638">
        <f t="shared" si="47"/>
        <v>311375</v>
      </c>
      <c r="AK150" s="638">
        <f t="shared" si="47"/>
        <v>333390</v>
      </c>
      <c r="AL150" s="638">
        <f t="shared" si="47"/>
        <v>249310</v>
      </c>
      <c r="AM150" s="638">
        <f t="shared" si="47"/>
        <v>268765</v>
      </c>
      <c r="AN150" s="638">
        <f t="shared" si="47"/>
        <v>444715</v>
      </c>
      <c r="AO150" s="638">
        <f t="shared" si="47"/>
        <v>379330</v>
      </c>
      <c r="AP150" s="638">
        <f t="shared" si="47"/>
        <v>0</v>
      </c>
      <c r="AQ150" s="638">
        <f t="shared" si="47"/>
        <v>327285</v>
      </c>
      <c r="AR150" s="638">
        <f t="shared" si="47"/>
        <v>370935</v>
      </c>
      <c r="AS150" s="638">
        <f t="shared" si="47"/>
        <v>322255</v>
      </c>
      <c r="AT150" s="638">
        <f t="shared" si="47"/>
        <v>253355</v>
      </c>
      <c r="AU150" s="638">
        <f t="shared" si="47"/>
        <v>457100</v>
      </c>
      <c r="AV150" s="638">
        <f t="shared" si="47"/>
        <v>520235</v>
      </c>
      <c r="AW150" s="638">
        <f t="shared" si="47"/>
        <v>0</v>
      </c>
      <c r="AX150" s="638">
        <f t="shared" ref="AX150" si="48">SUM(AX13:AX149)</f>
        <v>0</v>
      </c>
      <c r="AY150" s="638">
        <f t="shared" si="47"/>
        <v>631910</v>
      </c>
      <c r="AZ150" s="638">
        <f t="shared" si="47"/>
        <v>0</v>
      </c>
      <c r="BA150" s="638">
        <f t="shared" si="47"/>
        <v>0</v>
      </c>
      <c r="BB150" s="638">
        <f t="shared" si="47"/>
        <v>0</v>
      </c>
      <c r="BC150" s="873">
        <f t="shared" ref="BC150:BC167" si="49">SUM(X150:BB150)</f>
        <v>8510985</v>
      </c>
      <c r="BD150" s="898"/>
      <c r="BE150" s="898"/>
      <c r="BH150" s="506"/>
    </row>
    <row r="151" spans="1:151" s="63" customFormat="1" ht="18" customHeight="1">
      <c r="A151" s="1226" t="s">
        <v>1739</v>
      </c>
      <c r="B151" s="1227"/>
      <c r="C151" s="1227"/>
      <c r="D151" s="1228"/>
      <c r="E151" s="674">
        <f>+E36</f>
        <v>113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5</v>
      </c>
      <c r="J151" s="64">
        <f t="shared" si="50"/>
        <v>50</v>
      </c>
      <c r="K151" s="64">
        <f t="shared" si="50"/>
        <v>0</v>
      </c>
      <c r="L151" s="64">
        <f t="shared" si="50"/>
        <v>0</v>
      </c>
      <c r="M151" s="674">
        <f t="shared" si="50"/>
        <v>108</v>
      </c>
      <c r="N151" s="64">
        <f t="shared" si="50"/>
        <v>1080</v>
      </c>
      <c r="O151" s="674">
        <f t="shared" si="50"/>
        <v>9850</v>
      </c>
      <c r="P151" s="64"/>
      <c r="Q151" s="64"/>
      <c r="R151" s="64">
        <f>+R36</f>
        <v>428.26086956521738</v>
      </c>
      <c r="S151" s="64">
        <f>+S36</f>
        <v>2.521827411167513</v>
      </c>
      <c r="T151" s="1233"/>
      <c r="U151" s="140"/>
      <c r="V151" s="954"/>
      <c r="W151" s="95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506"/>
    </row>
    <row r="152" spans="1:151" s="63" customFormat="1" ht="18" customHeight="1">
      <c r="A152" s="1226" t="s">
        <v>1764</v>
      </c>
      <c r="B152" s="1227"/>
      <c r="C152" s="1227"/>
      <c r="D152" s="1228"/>
      <c r="E152" s="674">
        <f>SUM(E13:E22)</f>
        <v>8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6</v>
      </c>
      <c r="J152" s="64">
        <f t="shared" si="51"/>
        <v>150</v>
      </c>
      <c r="K152" s="64">
        <f t="shared" si="51"/>
        <v>0</v>
      </c>
      <c r="L152" s="64">
        <f t="shared" si="51"/>
        <v>0</v>
      </c>
      <c r="M152" s="674">
        <f t="shared" si="51"/>
        <v>2</v>
      </c>
      <c r="N152" s="64">
        <f t="shared" si="51"/>
        <v>50</v>
      </c>
      <c r="O152" s="674">
        <f t="shared" si="51"/>
        <v>11300</v>
      </c>
      <c r="P152" s="64"/>
      <c r="Q152" s="64"/>
      <c r="R152" s="64">
        <f>SUM(R13:R22)</f>
        <v>491.304347826087</v>
      </c>
      <c r="S152" s="64">
        <f>SUM(S13:S22)</f>
        <v>0.13529411764705881</v>
      </c>
      <c r="T152" s="1233"/>
      <c r="U152" s="64">
        <f>SUM(U13:U22)*25</f>
        <v>0</v>
      </c>
      <c r="V152" s="957" t="str">
        <f t="shared" ref="V152:V162" si="52">B152&amp;D152</f>
        <v/>
      </c>
      <c r="W152" s="95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26" t="s">
        <v>1740</v>
      </c>
      <c r="B153" s="1227"/>
      <c r="C153" s="1227"/>
      <c r="D153" s="1228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52188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4733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22122</v>
      </c>
      <c r="J153" s="64">
        <f t="shared" si="53"/>
        <v>553050</v>
      </c>
      <c r="K153" s="64">
        <f t="shared" si="53"/>
        <v>0</v>
      </c>
      <c r="L153" s="64">
        <f t="shared" si="53"/>
        <v>0</v>
      </c>
      <c r="M153" s="64">
        <f t="shared" si="53"/>
        <v>34799</v>
      </c>
      <c r="N153" s="64">
        <f t="shared" si="53"/>
        <v>869975</v>
      </c>
      <c r="O153" s="64">
        <f>O113+O99+O91+O95+O97-O31+SUM(O23:O33,O37,O38:O47,O79,O51,O55:O63,O72,O69,O74:O77,O81:O83,O86:O88,O90,O103,O108:O109,O129,O116,O119:O126,O131:O133,O137:O140,O143:O149,O68,O117)-O123+O93-O120+O111+O104-O124</f>
        <v>7413595</v>
      </c>
      <c r="P153" s="64">
        <f>P113+P99+P91+P95+P97-P31+SUM(P23:P33,P37,P38:P47,P79,P51,P55:P63,P72,P69,P74:P77,P81:P83,P86:P88,P90,P103,P108:P109,P129,P116,P119:P126,P131:P133,P137:P140,P143:P149,P68,P117)-P123+P93-P120+P111+P104-P124</f>
        <v>452725</v>
      </c>
      <c r="Q153" s="64">
        <f>Q113+Q99+Q91+Q95+Q97-Q31+SUM(Q23:Q33,Q37,Q38:Q47,Q79,Q51,Q55:Q63,Q72,Q69,Q74:Q77,Q81:Q83,Q86:Q88,Q90,Q103,Q108:Q109,Q129,Q116,Q119:Q126,Q131:Q133,Q137:Q140,Q143:Q149,Q68,Q117)-Q123+Q93-Q120+Q111+Q104-Q124</f>
        <v>4537795</v>
      </c>
      <c r="R153" s="64">
        <f>SUM(R23:R33,R37,R38:R47,R79,R51,R55:R63,R72,R69,R74:R77,R81:R83,R86:R88,R90,R103,R108:R109,R129,R116,R119:R126,R131:R133,R137:R140,R143:R149,R68,R117)-R123+R93-R120+R111+R104</f>
        <v>319394.34782608692</v>
      </c>
      <c r="S153" s="64">
        <f>SUM(S23:S33,S37,S38:S47,S79,S51,S55:S63,S72,S74:S77,S81:S83,S86:S88,S90,S103,S108:S109,S116,S119:S126,S131:S133,S137:S140,S143:S149,S68,S117)-S123</f>
        <v>209.4348600673155</v>
      </c>
      <c r="T153" s="1233"/>
      <c r="U153" s="467">
        <f>SUM(U23:U76,U81:U149)*25</f>
        <v>0</v>
      </c>
      <c r="V153" s="954" t="str">
        <f t="shared" si="52"/>
        <v/>
      </c>
      <c r="W153" s="95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26" t="s">
        <v>1765</v>
      </c>
      <c r="B154" s="1227"/>
      <c r="C154" s="1227"/>
      <c r="D154" s="1228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187330</v>
      </c>
      <c r="P154" s="64">
        <f>SUM(P13:P149)-P151-P152-P153-P155-P65-P66</f>
        <v>871105</v>
      </c>
      <c r="Q154" s="64">
        <f>SUM(Q13:Q149)-Q151-Q152-Q153-Q155-Q65-Q66</f>
        <v>8510985</v>
      </c>
      <c r="R154" s="64">
        <f>SUM(R13:R149)-R151-R152-R153-R155-R65-R66</f>
        <v>10791.086956521707</v>
      </c>
      <c r="S154" s="64">
        <f>SUM(S13:S149)-S151-S152-S153-S155</f>
        <v>20.265572483020577</v>
      </c>
      <c r="T154" s="1233"/>
      <c r="U154" s="140">
        <f>SUM(U78:U78)*40</f>
        <v>0</v>
      </c>
      <c r="V154" s="954" t="str">
        <f t="shared" si="52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26" t="s">
        <v>1766</v>
      </c>
      <c r="B155" s="1227"/>
      <c r="C155" s="1227"/>
      <c r="D155" s="1228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78660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78660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888910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38648.260869565209</v>
      </c>
      <c r="S155" s="64">
        <f>S34+S35+S48+S52+S64+S67+S73+S84+S85+S89+S102+S107+S112+S118+S127+S128+S134+S136+S141+S123+S120+S105+S110+S130+S94+S31+S124+S101</f>
        <v>0</v>
      </c>
      <c r="T155" s="1233"/>
      <c r="U155" s="140"/>
      <c r="V155" s="954" t="str">
        <f t="shared" si="52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129" customFormat="1" ht="18" customHeight="1">
      <c r="A156" s="1236" t="s">
        <v>1742</v>
      </c>
      <c r="B156" s="1237"/>
      <c r="C156" s="1237"/>
      <c r="D156" s="1238"/>
      <c r="E156" s="130">
        <f>SUM(E13:E149)</f>
        <v>52309</v>
      </c>
      <c r="F156" s="130">
        <f>SUM(F150:F154)</f>
        <v>4733</v>
      </c>
      <c r="G156" s="130">
        <f>SUM(G150:G154)</f>
        <v>0</v>
      </c>
      <c r="H156" s="130">
        <f>SUM(H13:H149)</f>
        <v>0</v>
      </c>
      <c r="I156" s="130">
        <f>SUM(I150:I154)</f>
        <v>22133</v>
      </c>
      <c r="J156" s="130">
        <f>SUM(J150:J154)</f>
        <v>553250</v>
      </c>
      <c r="K156" s="130">
        <f>SUM(K150:K154)</f>
        <v>0</v>
      </c>
      <c r="L156" s="130">
        <f>SUM(L150:L154)</f>
        <v>0</v>
      </c>
      <c r="M156" s="130">
        <f>SUM(M13:M149)</f>
        <v>34909</v>
      </c>
      <c r="N156" s="130">
        <f>SUM(N13:N149)</f>
        <v>871105</v>
      </c>
      <c r="O156" s="1239">
        <f>SUM(O13:O149)</f>
        <v>8510985</v>
      </c>
      <c r="P156" s="197"/>
      <c r="Q156" s="197"/>
      <c r="R156" s="1222">
        <f>SUM(R13:R149)</f>
        <v>369753.26086956519</v>
      </c>
      <c r="S156" s="1224" t="s">
        <v>42</v>
      </c>
      <c r="T156" s="1233"/>
      <c r="U156" s="141"/>
      <c r="V156" s="954" t="str">
        <f t="shared" si="52"/>
        <v/>
      </c>
      <c r="W156" s="951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2"/>
      <c r="AY156" s="302"/>
      <c r="AZ156" s="302"/>
      <c r="BA156" s="302"/>
      <c r="BB156" s="302"/>
      <c r="BC156" s="302"/>
      <c r="BD156" s="302"/>
      <c r="BE156" s="302"/>
      <c r="BF156" s="302"/>
      <c r="BG156" s="302"/>
      <c r="BH156" s="506"/>
    </row>
    <row r="157" spans="1:151" s="86" customFormat="1" ht="15" customHeight="1">
      <c r="A157" s="1226" t="s">
        <v>1743</v>
      </c>
      <c r="B157" s="1227"/>
      <c r="C157" s="1227"/>
      <c r="D157" s="1228"/>
      <c r="E157" s="121">
        <f>E151*10+E152*25+E153*25+E154*40+E155</f>
        <v>1306030</v>
      </c>
      <c r="F157" s="121">
        <f>F151*10+F152*25+F153*25+F154*40+F155</f>
        <v>196985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22133</v>
      </c>
      <c r="J157" s="121">
        <f>SUM(J13:J149)</f>
        <v>631910</v>
      </c>
      <c r="K157" s="121">
        <f>SUM(K152:K153)*25+K154*40+K64+K73+K67+K52+K151*10</f>
        <v>0</v>
      </c>
      <c r="L157" s="121">
        <f>SUM(L152:L153)*25+L154*40+L64+L73+L67+L52+L151*10</f>
        <v>0</v>
      </c>
      <c r="M157" s="542">
        <f>SUM(M152:M153)*25+M154*40+M64+M73+M67+M52+M151*10</f>
        <v>871105</v>
      </c>
      <c r="N157" s="121">
        <f>SUM(N13:N149)</f>
        <v>871105</v>
      </c>
      <c r="O157" s="1240"/>
      <c r="P157" s="198"/>
      <c r="Q157" s="198"/>
      <c r="R157" s="1223"/>
      <c r="S157" s="1225"/>
      <c r="T157" s="1234"/>
      <c r="U157" s="142">
        <f>+U150+U152+U153+U154</f>
        <v>0</v>
      </c>
      <c r="V157" s="954" t="str">
        <f t="shared" si="52"/>
        <v/>
      </c>
      <c r="W157" s="951"/>
      <c r="X157" s="131"/>
      <c r="Y157" s="131"/>
      <c r="Z157" s="131"/>
      <c r="AA157" s="131"/>
      <c r="AB157" s="131"/>
      <c r="AC157" s="131"/>
      <c r="AD157" s="131"/>
      <c r="AE157" s="131"/>
      <c r="AF157" s="131"/>
      <c r="AG157" s="131"/>
      <c r="AH157" s="131"/>
      <c r="AI157" s="131"/>
      <c r="AJ157" s="131"/>
      <c r="AK157" s="131"/>
      <c r="AL157" s="131"/>
      <c r="AM157" s="131"/>
      <c r="AN157" s="131"/>
      <c r="AO157" s="131"/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  <c r="BE157" s="131"/>
      <c r="BF157" s="131"/>
      <c r="BG157" s="131"/>
      <c r="BH157" s="506"/>
    </row>
    <row r="158" spans="1:151" s="38" customFormat="1" ht="15" customHeight="1">
      <c r="A158" s="310" t="s">
        <v>137</v>
      </c>
      <c r="B158" s="37"/>
      <c r="C158" s="37"/>
      <c r="D158" s="37"/>
      <c r="E158" s="133"/>
      <c r="F158" s="133"/>
      <c r="G158" s="133"/>
      <c r="H158" s="37"/>
      <c r="J158" s="133"/>
      <c r="K158" s="133"/>
      <c r="L158" s="37"/>
      <c r="M158" s="543"/>
      <c r="N158" s="37"/>
      <c r="O158" s="37"/>
      <c r="P158" s="37"/>
      <c r="Q158" s="37"/>
      <c r="R158" s="37"/>
      <c r="S158" s="37"/>
      <c r="T158" s="528"/>
      <c r="U158" s="143"/>
      <c r="V158" s="959" t="str">
        <f t="shared" si="52"/>
        <v/>
      </c>
      <c r="W158" s="94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505"/>
    </row>
    <row r="159" spans="1:151" s="38" customFormat="1" ht="15" customHeight="1">
      <c r="A159" s="310" t="s">
        <v>1694</v>
      </c>
      <c r="E159" s="85"/>
      <c r="F159" s="709"/>
      <c r="M159" s="535"/>
      <c r="N159" s="85"/>
      <c r="T159" s="529"/>
      <c r="U159" s="134"/>
      <c r="V159" s="959" t="str">
        <f t="shared" si="52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1695</v>
      </c>
      <c r="B160" s="430"/>
      <c r="C160" s="430"/>
      <c r="D160" s="430"/>
      <c r="E160" s="430"/>
      <c r="F160" s="430"/>
      <c r="G160" s="430"/>
      <c r="H160" s="430"/>
      <c r="I160" s="430"/>
      <c r="J160" s="430"/>
      <c r="K160" s="430"/>
      <c r="L160" s="430"/>
      <c r="M160" s="544"/>
      <c r="N160" s="430"/>
      <c r="O160" s="430"/>
      <c r="P160" s="430"/>
      <c r="Q160" s="430"/>
      <c r="R160" s="430"/>
      <c r="S160" s="430"/>
      <c r="T160" s="530"/>
      <c r="U160" s="134"/>
      <c r="V160" s="959" t="str">
        <f t="shared" si="52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63" customFormat="1" ht="15" customHeight="1">
      <c r="A161" s="512" t="s">
        <v>1733</v>
      </c>
      <c r="B161" s="512"/>
      <c r="C161" s="512"/>
      <c r="D161" s="512"/>
      <c r="E161" s="512"/>
      <c r="F161" s="512"/>
      <c r="G161" s="512"/>
      <c r="H161" s="512"/>
      <c r="I161" s="512"/>
      <c r="J161" s="512"/>
      <c r="K161" s="512"/>
      <c r="L161" s="512"/>
      <c r="M161" s="538"/>
      <c r="N161" s="512"/>
      <c r="O161" s="512"/>
      <c r="P161" s="512"/>
      <c r="Q161" s="512"/>
      <c r="R161" s="512"/>
      <c r="S161" s="512"/>
      <c r="T161" s="78"/>
      <c r="U161" s="143"/>
      <c r="V161" s="959" t="str">
        <f t="shared" si="52"/>
        <v/>
      </c>
      <c r="W161" s="94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506"/>
    </row>
    <row r="162" spans="1:151" s="63" customFormat="1" ht="15" customHeight="1">
      <c r="A162" s="513" t="s">
        <v>1762</v>
      </c>
      <c r="B162" s="513"/>
      <c r="C162" s="513"/>
      <c r="D162" s="513"/>
      <c r="E162" s="513"/>
      <c r="F162" s="513"/>
      <c r="G162" s="513"/>
      <c r="H162" s="513"/>
      <c r="I162" s="513"/>
      <c r="J162" s="513"/>
      <c r="K162" s="513"/>
      <c r="L162" s="513"/>
      <c r="M162" s="539"/>
      <c r="N162" s="513"/>
      <c r="O162" s="513"/>
      <c r="P162" s="513"/>
      <c r="Q162" s="513"/>
      <c r="R162" s="513"/>
      <c r="S162" s="513"/>
      <c r="T162" s="527"/>
      <c r="U162" s="144"/>
      <c r="V162" s="959" t="str">
        <f t="shared" si="52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28.5" customHeight="1">
      <c r="A163" s="1046" t="s">
        <v>1700</v>
      </c>
      <c r="B163" s="1037" t="s">
        <v>1676</v>
      </c>
      <c r="C163" s="1037" t="s">
        <v>1677</v>
      </c>
      <c r="D163" s="1049" t="s">
        <v>1678</v>
      </c>
      <c r="E163" s="61" t="s">
        <v>0</v>
      </c>
      <c r="F163" s="1052" t="s">
        <v>1680</v>
      </c>
      <c r="G163" s="1057"/>
      <c r="H163" s="1053"/>
      <c r="I163" s="1052" t="s">
        <v>1681</v>
      </c>
      <c r="J163" s="1057"/>
      <c r="K163" s="1057"/>
      <c r="L163" s="1057"/>
      <c r="M163" s="1052" t="s">
        <v>1687</v>
      </c>
      <c r="N163" s="1053"/>
      <c r="O163" s="194" t="s">
        <v>1727</v>
      </c>
      <c r="P163" s="194"/>
      <c r="Q163" s="194"/>
      <c r="R163" s="194" t="s">
        <v>1728</v>
      </c>
      <c r="S163" s="1049" t="s">
        <v>1689</v>
      </c>
      <c r="T163" s="1176" t="s">
        <v>1692</v>
      </c>
      <c r="U163" s="1002" t="s">
        <v>1693</v>
      </c>
      <c r="V163" s="950"/>
      <c r="W163" s="95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49.5" customHeight="1">
      <c r="A164" s="1047"/>
      <c r="B164" s="1038"/>
      <c r="C164" s="1038"/>
      <c r="D164" s="1050" t="s">
        <v>3</v>
      </c>
      <c r="E164" s="64" t="s">
        <v>1679</v>
      </c>
      <c r="F164" s="783" t="s">
        <v>1682</v>
      </c>
      <c r="G164" s="585" t="s">
        <v>1683</v>
      </c>
      <c r="H164" s="784" t="s">
        <v>1685</v>
      </c>
      <c r="I164" s="1052" t="s">
        <v>1684</v>
      </c>
      <c r="J164" s="1057"/>
      <c r="K164" s="585" t="s">
        <v>1688</v>
      </c>
      <c r="L164" s="784" t="s">
        <v>1686</v>
      </c>
      <c r="M164" s="1052" t="s">
        <v>1732</v>
      </c>
      <c r="N164" s="1053"/>
      <c r="O164" s="787" t="s">
        <v>1730</v>
      </c>
      <c r="P164" s="195"/>
      <c r="Q164" s="195"/>
      <c r="R164" s="787" t="s">
        <v>1731</v>
      </c>
      <c r="S164" s="1050"/>
      <c r="T164" s="1177"/>
      <c r="U164" s="1003"/>
      <c r="V164" s="950" t="str">
        <f t="shared" ref="V164:V202" si="56">B164&amp;D164</f>
        <v>SIZE</v>
      </c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18.75" customHeight="1">
      <c r="A165" s="1048"/>
      <c r="B165" s="1039"/>
      <c r="C165" s="1039"/>
      <c r="D165" s="1051" t="s">
        <v>6</v>
      </c>
      <c r="E165" s="64" t="s">
        <v>1674</v>
      </c>
      <c r="F165" s="64" t="s">
        <v>1674</v>
      </c>
      <c r="G165" s="64" t="s">
        <v>1674</v>
      </c>
      <c r="H165" s="64" t="s">
        <v>1674</v>
      </c>
      <c r="I165" s="64" t="s">
        <v>1674</v>
      </c>
      <c r="J165" s="64" t="s">
        <v>6</v>
      </c>
      <c r="K165" s="64" t="s">
        <v>1674</v>
      </c>
      <c r="L165" s="64" t="s">
        <v>1674</v>
      </c>
      <c r="M165" s="64" t="s">
        <v>1674</v>
      </c>
      <c r="N165" s="65" t="s">
        <v>6</v>
      </c>
      <c r="O165" s="65" t="s">
        <v>6</v>
      </c>
      <c r="P165" s="196"/>
      <c r="Q165" s="196"/>
      <c r="R165" s="65" t="s">
        <v>1729</v>
      </c>
      <c r="S165" s="1051"/>
      <c r="T165" s="1178"/>
      <c r="U165" s="788" t="s">
        <v>1674</v>
      </c>
      <c r="V165" s="955" t="str">
        <f t="shared" si="56"/>
        <v>(Kg)</v>
      </c>
      <c r="W165" s="951"/>
      <c r="X165" s="340">
        <v>1</v>
      </c>
      <c r="Y165" s="89">
        <v>2</v>
      </c>
      <c r="Z165" s="340">
        <v>3</v>
      </c>
      <c r="AA165" s="89">
        <v>4</v>
      </c>
      <c r="AB165" s="340">
        <v>5</v>
      </c>
      <c r="AC165" s="89">
        <v>6</v>
      </c>
      <c r="AD165" s="340">
        <v>7</v>
      </c>
      <c r="AE165" s="89">
        <v>8</v>
      </c>
      <c r="AF165" s="340">
        <v>9</v>
      </c>
      <c r="AG165" s="89">
        <v>10</v>
      </c>
      <c r="AH165" s="340">
        <v>11</v>
      </c>
      <c r="AI165" s="89">
        <v>12</v>
      </c>
      <c r="AJ165" s="340">
        <v>13</v>
      </c>
      <c r="AK165" s="89">
        <v>14</v>
      </c>
      <c r="AL165" s="340">
        <v>15</v>
      </c>
      <c r="AM165" s="89">
        <v>16</v>
      </c>
      <c r="AN165" s="340">
        <v>17</v>
      </c>
      <c r="AO165" s="89">
        <v>18</v>
      </c>
      <c r="AP165" s="340">
        <v>19</v>
      </c>
      <c r="AQ165" s="89">
        <v>20</v>
      </c>
      <c r="AR165" s="340">
        <v>21</v>
      </c>
      <c r="AS165" s="89">
        <v>22</v>
      </c>
      <c r="AT165" s="340">
        <v>23</v>
      </c>
      <c r="AU165" s="89">
        <v>24</v>
      </c>
      <c r="AV165" s="340">
        <v>25</v>
      </c>
      <c r="AW165" s="89">
        <v>26</v>
      </c>
      <c r="AX165" s="340">
        <v>27</v>
      </c>
      <c r="AY165" s="89">
        <v>28</v>
      </c>
      <c r="AZ165" s="340">
        <v>29</v>
      </c>
      <c r="BA165" s="89">
        <v>30</v>
      </c>
      <c r="BB165" s="579">
        <v>31</v>
      </c>
      <c r="BC165" s="106" t="s">
        <v>13</v>
      </c>
      <c r="BD165" s="895" t="s">
        <v>1931</v>
      </c>
      <c r="BE165" s="895" t="s">
        <v>1930</v>
      </c>
      <c r="BG165" s="38"/>
      <c r="BH165" s="506"/>
    </row>
    <row r="166" spans="1:151" s="38" customFormat="1" ht="15" customHeight="1">
      <c r="A166" s="91">
        <v>1</v>
      </c>
      <c r="B166" s="180">
        <v>884</v>
      </c>
      <c r="C166" s="180" t="s">
        <v>39</v>
      </c>
      <c r="D166" s="181">
        <v>25</v>
      </c>
      <c r="E166" s="356">
        <v>289</v>
      </c>
      <c r="F166" s="100">
        <f>SUMIF(pro!$A:$A,$V:$V,pro!$N:$N)</f>
        <v>0</v>
      </c>
      <c r="G166" s="356"/>
      <c r="H166" s="356">
        <f>SUMIF(CBIN!$A:$A,BRAN!$V:$V,CBIN!$G:$G)</f>
        <v>0</v>
      </c>
      <c r="I166" s="100">
        <f>SUMIF(data!$D:$D,$B166&amp;$D166,data!$J:$J)</f>
        <v>132</v>
      </c>
      <c r="J166" s="356">
        <f>SUMIF(data!$D:$D,$B166&amp;$D166,data!$K:$K)</f>
        <v>3300</v>
      </c>
      <c r="K166" s="356">
        <f>SUMIF(AJOUT!$A:$A,BRAN!$V:$V,AJOUT!$L:$L)</f>
        <v>0</v>
      </c>
      <c r="L166" s="356">
        <f>SUMIF(CBOUT!$A:$A,BRAN!$V:$V,CBOUT!$G:$G)</f>
        <v>0</v>
      </c>
      <c r="M166" s="540">
        <f>E166+F166+H166-I166-L166+G166-K166</f>
        <v>157</v>
      </c>
      <c r="N166" s="356">
        <f>M166*D166</f>
        <v>3925</v>
      </c>
      <c r="O166" s="357">
        <f t="shared" ref="O166:O192" si="57">SUM(X166:BB166)</f>
        <v>29750</v>
      </c>
      <c r="P166" s="350"/>
      <c r="Q166" s="350"/>
      <c r="R166" s="350">
        <f>O166/INTGRATE!$N$293</f>
        <v>1293.4782608695652</v>
      </c>
      <c r="S166" s="349">
        <f>IF(R166=0,0,N166/R166)</f>
        <v>3.0344537815126049</v>
      </c>
      <c r="T166" s="623"/>
      <c r="U166" s="145"/>
      <c r="V166" s="960" t="str">
        <f t="shared" si="56"/>
        <v>88425</v>
      </c>
      <c r="W166" s="951">
        <v>433000</v>
      </c>
      <c r="X166" s="91">
        <v>0</v>
      </c>
      <c r="Y166" s="91">
        <v>1750</v>
      </c>
      <c r="Z166" s="100">
        <v>625</v>
      </c>
      <c r="AA166" s="100">
        <v>7250</v>
      </c>
      <c r="AB166" s="100"/>
      <c r="AC166" s="100">
        <v>2000</v>
      </c>
      <c r="AD166" s="356">
        <v>500</v>
      </c>
      <c r="AE166" s="100">
        <v>0</v>
      </c>
      <c r="AF166" s="356">
        <v>0</v>
      </c>
      <c r="AG166" s="100">
        <v>500</v>
      </c>
      <c r="AH166" s="100">
        <v>1500</v>
      </c>
      <c r="AI166" s="100"/>
      <c r="AJ166" s="100">
        <v>1275</v>
      </c>
      <c r="AK166" s="100">
        <v>250</v>
      </c>
      <c r="AL166" s="100">
        <v>0</v>
      </c>
      <c r="AM166" s="100">
        <v>0</v>
      </c>
      <c r="AN166" s="100">
        <v>1250</v>
      </c>
      <c r="AO166" s="100">
        <v>625</v>
      </c>
      <c r="AP166" s="100"/>
      <c r="AQ166" s="356">
        <v>5175</v>
      </c>
      <c r="AR166" s="100">
        <v>0</v>
      </c>
      <c r="AS166" s="100">
        <v>1250</v>
      </c>
      <c r="AT166" s="100">
        <v>750</v>
      </c>
      <c r="AU166" s="356">
        <v>1750</v>
      </c>
      <c r="AV166" s="100">
        <v>0</v>
      </c>
      <c r="AW166" s="100"/>
      <c r="AX166" s="100"/>
      <c r="AY166" s="100">
        <v>3300</v>
      </c>
      <c r="AZ166" s="100"/>
      <c r="BA166" s="100"/>
      <c r="BB166" s="100"/>
      <c r="BC166" s="300">
        <f t="shared" si="49"/>
        <v>29750</v>
      </c>
      <c r="BD166" s="896">
        <f>COUNTIF(X166:BB166,"&gt;0")</f>
        <v>16</v>
      </c>
      <c r="BE166" s="896">
        <f>IFERROR(BC166/BD166,0)</f>
        <v>1859.375</v>
      </c>
      <c r="BH166" s="505"/>
    </row>
    <row r="167" spans="1:151" s="38" customFormat="1" ht="15" customHeight="1">
      <c r="A167" s="91">
        <v>2</v>
      </c>
      <c r="B167" s="428" t="s">
        <v>139</v>
      </c>
      <c r="C167" s="180" t="s">
        <v>39</v>
      </c>
      <c r="D167" s="181">
        <v>25</v>
      </c>
      <c r="E167" s="356">
        <v>116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80</v>
      </c>
      <c r="J167" s="356">
        <f>SUMIF(data!$D:$D,$B167&amp;$D167,data!$K:$K)</f>
        <v>2000</v>
      </c>
      <c r="K167" s="356">
        <f>SUMIF(AJOUT!$A:$A,BRAN!$V:$V,AJOUT!$L:$L)</f>
        <v>0</v>
      </c>
      <c r="L167" s="356">
        <f>SUMIF(CBOUT!$A:$A,BRAN!$V:$V,CBOUT!$G:$G)</f>
        <v>0</v>
      </c>
      <c r="M167" s="540">
        <f t="shared" ref="M167:M191" si="58">E167+F167+H167-I167-L167+G167-K167</f>
        <v>36</v>
      </c>
      <c r="N167" s="356">
        <f t="shared" ref="N167:N192" si="59">M167*D167</f>
        <v>900</v>
      </c>
      <c r="O167" s="357">
        <f t="shared" si="57"/>
        <v>11025</v>
      </c>
      <c r="P167" s="350">
        <f>+SUM(N166:N167)</f>
        <v>4825</v>
      </c>
      <c r="Q167" s="350">
        <f>+SUM(O166:O167)</f>
        <v>40775</v>
      </c>
      <c r="R167" s="350">
        <f>O167/INTGRATE!$N$293</f>
        <v>479.3478260869565</v>
      </c>
      <c r="S167" s="349">
        <f>IF(R167=0,0,N167/R167)</f>
        <v>1.8775510204081634</v>
      </c>
      <c r="T167" s="471"/>
      <c r="U167" s="145"/>
      <c r="V167" s="960" t="str">
        <f t="shared" si="56"/>
        <v>885S25</v>
      </c>
      <c r="W167" s="951">
        <v>433010</v>
      </c>
      <c r="X167" s="91">
        <v>0</v>
      </c>
      <c r="Y167" s="91">
        <v>0</v>
      </c>
      <c r="Z167" s="100">
        <v>750</v>
      </c>
      <c r="AA167" s="100">
        <v>875</v>
      </c>
      <c r="AB167" s="100"/>
      <c r="AC167" s="100">
        <v>0</v>
      </c>
      <c r="AD167" s="356">
        <v>750</v>
      </c>
      <c r="AE167" s="100">
        <v>0</v>
      </c>
      <c r="AF167" s="356">
        <v>0</v>
      </c>
      <c r="AG167" s="100">
        <v>1875</v>
      </c>
      <c r="AH167" s="100">
        <v>0</v>
      </c>
      <c r="AI167" s="100"/>
      <c r="AJ167" s="100">
        <v>275</v>
      </c>
      <c r="AK167" s="100">
        <v>1000</v>
      </c>
      <c r="AL167" s="100">
        <v>0</v>
      </c>
      <c r="AM167" s="100">
        <v>0</v>
      </c>
      <c r="AN167" s="100">
        <v>0</v>
      </c>
      <c r="AO167" s="100">
        <v>875</v>
      </c>
      <c r="AP167" s="100"/>
      <c r="AQ167" s="356">
        <v>125</v>
      </c>
      <c r="AR167" s="100">
        <v>1750</v>
      </c>
      <c r="AS167" s="100">
        <v>0</v>
      </c>
      <c r="AT167" s="100">
        <v>0</v>
      </c>
      <c r="AU167" s="356">
        <v>750</v>
      </c>
      <c r="AV167" s="100">
        <v>0</v>
      </c>
      <c r="AW167" s="100"/>
      <c r="AX167" s="100"/>
      <c r="AY167" s="100">
        <v>2000</v>
      </c>
      <c r="AZ167" s="100"/>
      <c r="BB167" s="100"/>
      <c r="BC167" s="300">
        <f t="shared" si="49"/>
        <v>11025</v>
      </c>
      <c r="BD167" s="896">
        <f t="shared" ref="BD167" si="60">COUNTIF(X167:BB167,"&gt;0")</f>
        <v>11</v>
      </c>
      <c r="BE167" s="896">
        <f t="shared" ref="BE167" si="61">IFERROR(BC167/BD167,0)</f>
        <v>1002.2727272727273</v>
      </c>
      <c r="BH167" s="505"/>
    </row>
    <row r="168" spans="1:151" s="101" customFormat="1" ht="15" customHeight="1">
      <c r="A168" s="91">
        <v>3</v>
      </c>
      <c r="B168" s="171">
        <v>910</v>
      </c>
      <c r="C168" s="171" t="s">
        <v>1504</v>
      </c>
      <c r="D168" s="170">
        <v>25</v>
      </c>
      <c r="E168" s="356">
        <v>0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0</v>
      </c>
      <c r="J168" s="356">
        <f>SUMIF(data!$D:$D,$B168&amp;$D168,data!$K:$K)</f>
        <v>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si="58"/>
        <v>0</v>
      </c>
      <c r="N168" s="356">
        <f t="shared" si="59"/>
        <v>0</v>
      </c>
      <c r="O168" s="357">
        <f t="shared" si="57"/>
        <v>0</v>
      </c>
      <c r="P168" s="350">
        <f>+N170+N169</f>
        <v>0</v>
      </c>
      <c r="Q168" s="350">
        <f>+O170+O169</f>
        <v>0</v>
      </c>
      <c r="R168" s="350">
        <f>O168/INTGRATE!$N$293</f>
        <v>0</v>
      </c>
      <c r="S168" s="349">
        <f>IF(R168=0,0,(N42+N168)/(R168+R42))</f>
        <v>0</v>
      </c>
      <c r="T168" s="471"/>
      <c r="U168" s="145"/>
      <c r="V168" s="960" t="str">
        <f t="shared" si="56"/>
        <v>91025</v>
      </c>
      <c r="W168" s="951">
        <v>112001</v>
      </c>
      <c r="X168" s="91">
        <v>0</v>
      </c>
      <c r="Y168" s="91">
        <v>0</v>
      </c>
      <c r="Z168" s="100">
        <v>0</v>
      </c>
      <c r="AA168" s="100">
        <v>0</v>
      </c>
      <c r="AB168" s="100"/>
      <c r="AC168" s="100">
        <v>0</v>
      </c>
      <c r="AD168" s="356">
        <v>0</v>
      </c>
      <c r="AE168" s="100">
        <v>0</v>
      </c>
      <c r="AF168" s="356">
        <v>0</v>
      </c>
      <c r="AG168" s="100">
        <v>0</v>
      </c>
      <c r="AH168" s="100">
        <v>0</v>
      </c>
      <c r="AI168" s="100"/>
      <c r="AJ168" s="100">
        <v>0</v>
      </c>
      <c r="AK168" s="100">
        <v>0</v>
      </c>
      <c r="AL168" s="100">
        <v>0</v>
      </c>
      <c r="AM168" s="100">
        <v>0</v>
      </c>
      <c r="AN168" s="100">
        <v>0</v>
      </c>
      <c r="AO168" s="100">
        <v>0</v>
      </c>
      <c r="AP168" s="100"/>
      <c r="AQ168" s="356">
        <v>0</v>
      </c>
      <c r="AR168" s="100">
        <v>0</v>
      </c>
      <c r="AS168" s="100">
        <v>0</v>
      </c>
      <c r="AT168" s="100">
        <v>0</v>
      </c>
      <c r="AU168" s="356">
        <v>0</v>
      </c>
      <c r="AV168" s="100">
        <v>0</v>
      </c>
      <c r="AW168" s="100"/>
      <c r="AX168" s="100"/>
      <c r="AY168" s="100">
        <v>0</v>
      </c>
      <c r="AZ168" s="100"/>
      <c r="BA168" s="100"/>
      <c r="BB168" s="100"/>
      <c r="BC168" s="300">
        <f t="shared" ref="BC168:BC192" si="62">SUM(X168:BB168)</f>
        <v>0</v>
      </c>
      <c r="BD168" s="896">
        <f t="shared" ref="BD168:BD192" si="63">COUNTIF(X168:BB168,"&gt;0")</f>
        <v>0</v>
      </c>
      <c r="BE168" s="896">
        <f t="shared" ref="BE168:BE192" si="64">IFERROR(BC168/BD168,0)</f>
        <v>0</v>
      </c>
      <c r="BF168" s="38"/>
      <c r="BG168" s="38"/>
      <c r="BH168" s="505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71" t="s">
        <v>1411</v>
      </c>
      <c r="C169" s="171" t="s">
        <v>40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>E169+F169+H169-I169-L169+G169-K169</f>
        <v>0</v>
      </c>
      <c r="N169" s="356">
        <f t="shared" si="59"/>
        <v>0</v>
      </c>
      <c r="O169" s="357">
        <f>SUM(X169:BB169)</f>
        <v>0</v>
      </c>
      <c r="P169" s="350">
        <f>+N168</f>
        <v>0</v>
      </c>
      <c r="Q169" s="350"/>
      <c r="R169" s="350">
        <f>O169/INTGRATE!$N$293</f>
        <v>0</v>
      </c>
      <c r="S169" s="349">
        <f>IF(R169=0,0,(N43+N169)/(R169+R43))</f>
        <v>0</v>
      </c>
      <c r="T169" s="471"/>
      <c r="U169" s="145"/>
      <c r="V169" s="960" t="str">
        <f>B169&amp;D169</f>
        <v>911B25</v>
      </c>
      <c r="W169" s="951" t="s">
        <v>881</v>
      </c>
      <c r="X169" s="91">
        <v>0</v>
      </c>
      <c r="Y169" s="91">
        <v>0</v>
      </c>
      <c r="Z169" s="100">
        <v>0</v>
      </c>
      <c r="AA169" s="100">
        <v>0</v>
      </c>
      <c r="AB169" s="100"/>
      <c r="AC169" s="100">
        <v>0</v>
      </c>
      <c r="AD169" s="356">
        <v>0</v>
      </c>
      <c r="AE169" s="100">
        <v>0</v>
      </c>
      <c r="AF169" s="356">
        <v>0</v>
      </c>
      <c r="AG169" s="100">
        <v>0</v>
      </c>
      <c r="AH169" s="100">
        <v>0</v>
      </c>
      <c r="AI169" s="100"/>
      <c r="AJ169" s="100">
        <v>0</v>
      </c>
      <c r="AK169" s="100">
        <v>0</v>
      </c>
      <c r="AL169" s="100">
        <v>0</v>
      </c>
      <c r="AM169" s="100">
        <v>0</v>
      </c>
      <c r="AN169" s="100">
        <v>0</v>
      </c>
      <c r="AO169" s="100">
        <v>0</v>
      </c>
      <c r="AP169" s="100"/>
      <c r="AQ169" s="356">
        <v>0</v>
      </c>
      <c r="AR169" s="100">
        <v>0</v>
      </c>
      <c r="AS169" s="100">
        <v>0</v>
      </c>
      <c r="AT169" s="100">
        <v>0</v>
      </c>
      <c r="AU169" s="356">
        <v>0</v>
      </c>
      <c r="AV169" s="100">
        <v>0</v>
      </c>
      <c r="AW169" s="100"/>
      <c r="AX169" s="100"/>
      <c r="AY169" s="100">
        <v>0</v>
      </c>
      <c r="AZ169" s="100"/>
      <c r="BA169" s="100"/>
      <c r="BB169" s="100"/>
      <c r="BC169" s="300">
        <f t="shared" si="62"/>
        <v>0</v>
      </c>
      <c r="BD169" s="896">
        <f t="shared" si="63"/>
        <v>0</v>
      </c>
      <c r="BE169" s="896">
        <f t="shared" si="64"/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632">
        <v>948</v>
      </c>
      <c r="C170" s="632" t="s">
        <v>40</v>
      </c>
      <c r="D170" s="633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59"/>
        <v>0</v>
      </c>
      <c r="O170" s="357">
        <f>SUM(X170:BB170)</f>
        <v>0</v>
      </c>
      <c r="P170" s="350">
        <f>SUM(N178:N181)+N176</f>
        <v>7325</v>
      </c>
      <c r="Q170" s="350">
        <f>SUM(O178:O181)+O176</f>
        <v>102550</v>
      </c>
      <c r="R170" s="350">
        <f>O170/INTGRATE!$N$293</f>
        <v>0</v>
      </c>
      <c r="S170" s="349">
        <f>IF(R170=0,0,(N56+N170)/(R170+R56))</f>
        <v>0</v>
      </c>
      <c r="T170" s="471"/>
      <c r="U170" s="139"/>
      <c r="V170" s="960" t="str">
        <f t="shared" si="56"/>
        <v>94825</v>
      </c>
      <c r="W170" s="943">
        <v>201101</v>
      </c>
      <c r="X170" s="91">
        <v>0</v>
      </c>
      <c r="Y170" s="91">
        <v>0</v>
      </c>
      <c r="Z170" s="100">
        <v>0</v>
      </c>
      <c r="AA170" s="100">
        <v>0</v>
      </c>
      <c r="AB170" s="100"/>
      <c r="AC170" s="100">
        <v>0</v>
      </c>
      <c r="AD170" s="356">
        <v>0</v>
      </c>
      <c r="AE170" s="100">
        <v>0</v>
      </c>
      <c r="AF170" s="356">
        <v>0</v>
      </c>
      <c r="AG170" s="100">
        <v>0</v>
      </c>
      <c r="AH170" s="100">
        <v>0</v>
      </c>
      <c r="AI170" s="100"/>
      <c r="AJ170" s="100">
        <v>0</v>
      </c>
      <c r="AK170" s="100">
        <v>0</v>
      </c>
      <c r="AL170" s="100">
        <v>0</v>
      </c>
      <c r="AM170" s="100">
        <v>0</v>
      </c>
      <c r="AN170" s="100">
        <v>0</v>
      </c>
      <c r="AO170" s="100">
        <v>0</v>
      </c>
      <c r="AP170" s="100"/>
      <c r="AQ170" s="356">
        <v>0</v>
      </c>
      <c r="AR170" s="100">
        <v>0</v>
      </c>
      <c r="AS170" s="100">
        <v>0</v>
      </c>
      <c r="AT170" s="100">
        <v>0</v>
      </c>
      <c r="AU170" s="356">
        <v>0</v>
      </c>
      <c r="AV170" s="100">
        <v>0</v>
      </c>
      <c r="AW170" s="100"/>
      <c r="AX170" s="100"/>
      <c r="AY170" s="100">
        <v>0</v>
      </c>
      <c r="AZ170" s="100"/>
      <c r="BA170" s="100"/>
      <c r="BB170" s="100"/>
      <c r="BC170" s="300">
        <f t="shared" si="62"/>
        <v>0</v>
      </c>
      <c r="BD170" s="896">
        <f t="shared" si="63"/>
        <v>0</v>
      </c>
      <c r="BE170" s="896">
        <f t="shared" si="64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632" t="s">
        <v>1243</v>
      </c>
      <c r="C171" s="632" t="s">
        <v>61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59"/>
        <v>0</v>
      </c>
      <c r="O171" s="357">
        <f t="shared" si="57"/>
        <v>0</v>
      </c>
      <c r="P171" s="350">
        <f>+SUM(N166:N192)-P167-P168-P170</f>
        <v>43500</v>
      </c>
      <c r="Q171" s="350">
        <f>+SUM(O166:O192)-Q167-Q168-Q170</f>
        <v>347300</v>
      </c>
      <c r="R171" s="350">
        <f>O171/INTGRATE!$N$293</f>
        <v>0</v>
      </c>
      <c r="S171" s="349">
        <f>IF(R171=0,0,(N56+N171)/(R171+R56))</f>
        <v>0</v>
      </c>
      <c r="T171" s="471"/>
      <c r="U171" s="139"/>
      <c r="V171" s="960" t="str">
        <f t="shared" si="56"/>
        <v>949M25</v>
      </c>
      <c r="W171" s="943">
        <v>203201</v>
      </c>
      <c r="X171" s="91">
        <v>0</v>
      </c>
      <c r="Y171" s="91">
        <v>0</v>
      </c>
      <c r="Z171" s="100">
        <v>0</v>
      </c>
      <c r="AA171" s="100">
        <v>0</v>
      </c>
      <c r="AB171" s="100"/>
      <c r="AC171" s="100">
        <v>0</v>
      </c>
      <c r="AD171" s="356">
        <v>0</v>
      </c>
      <c r="AE171" s="100">
        <v>0</v>
      </c>
      <c r="AF171" s="356">
        <v>0</v>
      </c>
      <c r="AG171" s="100">
        <v>0</v>
      </c>
      <c r="AH171" s="100">
        <v>0</v>
      </c>
      <c r="AI171" s="100"/>
      <c r="AJ171" s="100">
        <v>0</v>
      </c>
      <c r="AK171" s="100">
        <v>0</v>
      </c>
      <c r="AL171" s="100">
        <v>0</v>
      </c>
      <c r="AM171" s="100">
        <v>0</v>
      </c>
      <c r="AN171" s="100">
        <v>0</v>
      </c>
      <c r="AO171" s="100">
        <v>0</v>
      </c>
      <c r="AP171" s="100"/>
      <c r="AQ171" s="356">
        <v>0</v>
      </c>
      <c r="AR171" s="100">
        <v>0</v>
      </c>
      <c r="AS171" s="100">
        <v>0</v>
      </c>
      <c r="AT171" s="100">
        <v>0</v>
      </c>
      <c r="AU171" s="356">
        <v>0</v>
      </c>
      <c r="AV171" s="100">
        <v>0</v>
      </c>
      <c r="AW171" s="100"/>
      <c r="AX171" s="100"/>
      <c r="AY171" s="100">
        <v>0</v>
      </c>
      <c r="AZ171" s="100"/>
      <c r="BA171" s="100"/>
      <c r="BB171" s="100"/>
      <c r="BC171" s="300">
        <f t="shared" si="62"/>
        <v>0</v>
      </c>
      <c r="BD171" s="896">
        <f t="shared" si="63"/>
        <v>0</v>
      </c>
      <c r="BE171" s="896">
        <f t="shared" si="64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632">
        <v>949</v>
      </c>
      <c r="C172" s="632" t="s">
        <v>61</v>
      </c>
      <c r="D172" s="633">
        <v>25</v>
      </c>
      <c r="E172" s="356">
        <v>559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393</v>
      </c>
      <c r="J172" s="356">
        <f>SUMIF(data!$D:$D,$B172&amp;$D172,data!$K:$K)</f>
        <v>9825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166</v>
      </c>
      <c r="N172" s="356">
        <f t="shared" si="59"/>
        <v>4150</v>
      </c>
      <c r="O172" s="357">
        <f>SUM(X172:BB172)</f>
        <v>83475</v>
      </c>
      <c r="P172" s="350"/>
      <c r="Q172" s="350"/>
      <c r="R172" s="350">
        <f>O172/INTGRATE!$N$293</f>
        <v>3629.3478260869565</v>
      </c>
      <c r="S172" s="349">
        <f>IF(R172=0,0,(N57+N172)/(R172+R57))</f>
        <v>1.7937871777924652</v>
      </c>
      <c r="T172" s="471"/>
      <c r="U172" s="139"/>
      <c r="V172" s="960" t="str">
        <f t="shared" si="56"/>
        <v>94925</v>
      </c>
      <c r="W172" s="943">
        <v>203101</v>
      </c>
      <c r="X172" s="91">
        <v>0</v>
      </c>
      <c r="Y172" s="91">
        <v>0</v>
      </c>
      <c r="Z172" s="100">
        <v>0</v>
      </c>
      <c r="AA172" s="100">
        <v>5000</v>
      </c>
      <c r="AB172" s="100"/>
      <c r="AC172" s="100">
        <v>3250</v>
      </c>
      <c r="AD172" s="356">
        <v>0</v>
      </c>
      <c r="AE172" s="100">
        <v>3375</v>
      </c>
      <c r="AF172" s="356">
        <v>10000</v>
      </c>
      <c r="AG172" s="100">
        <v>7250</v>
      </c>
      <c r="AH172" s="100">
        <v>0</v>
      </c>
      <c r="AI172" s="100"/>
      <c r="AJ172" s="100">
        <v>1375</v>
      </c>
      <c r="AK172" s="100">
        <v>5400</v>
      </c>
      <c r="AL172" s="100">
        <v>3225</v>
      </c>
      <c r="AM172" s="100">
        <v>0</v>
      </c>
      <c r="AN172" s="100">
        <v>0</v>
      </c>
      <c r="AO172" s="100">
        <v>3500</v>
      </c>
      <c r="AP172" s="100"/>
      <c r="AQ172" s="356">
        <v>2825</v>
      </c>
      <c r="AR172" s="100">
        <v>6375</v>
      </c>
      <c r="AS172" s="100">
        <v>4500</v>
      </c>
      <c r="AT172" s="100">
        <v>7150</v>
      </c>
      <c r="AU172" s="356">
        <v>3925</v>
      </c>
      <c r="AV172" s="100">
        <v>6500</v>
      </c>
      <c r="AW172" s="100"/>
      <c r="AX172" s="100"/>
      <c r="AY172" s="100">
        <v>9825</v>
      </c>
      <c r="AZ172" s="100"/>
      <c r="BA172" s="100"/>
      <c r="BB172" s="100"/>
      <c r="BC172" s="300">
        <f t="shared" si="62"/>
        <v>83475</v>
      </c>
      <c r="BD172" s="896">
        <f t="shared" si="63"/>
        <v>16</v>
      </c>
      <c r="BE172" s="896">
        <f t="shared" si="64"/>
        <v>5217.1875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632">
        <v>944</v>
      </c>
      <c r="C173" s="632" t="s">
        <v>61</v>
      </c>
      <c r="D173" s="633">
        <v>25</v>
      </c>
      <c r="E173" s="356">
        <v>250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0</v>
      </c>
      <c r="J173" s="356">
        <f>SUMIF(data!$D:$D,$B173&amp;$D173,data!$K:$K)</f>
        <v>0</v>
      </c>
      <c r="K173" s="356">
        <f>SUMIF(AJOUT!$A:$A,BRAN!$V:$V,AJOUT!$L:$L)</f>
        <v>0</v>
      </c>
      <c r="L173" s="356">
        <f>SUMIF(CBOUT!$A:$A,BRAN!$V:$V,CBOUT!$G:$G)</f>
        <v>0</v>
      </c>
      <c r="M173" s="540">
        <f>E173+F173+H173-I173-L173+G173-K173</f>
        <v>250</v>
      </c>
      <c r="N173" s="356">
        <f t="shared" si="59"/>
        <v>6250</v>
      </c>
      <c r="O173" s="357">
        <f>SUM(X173:BB173)</f>
        <v>4750</v>
      </c>
      <c r="P173" s="350"/>
      <c r="Q173" s="350"/>
      <c r="R173" s="350">
        <f>O173/INTGRATE!$N$293</f>
        <v>206.52173913043478</v>
      </c>
      <c r="S173" s="349">
        <f>IF(R173=0,0,(N58+N173)/(R173+R58))</f>
        <v>5.8168119099491644</v>
      </c>
      <c r="T173" s="471"/>
      <c r="U173" s="139"/>
      <c r="V173" s="960" t="str">
        <f t="shared" si="56"/>
        <v>94425</v>
      </c>
      <c r="W173" s="951">
        <v>216201</v>
      </c>
      <c r="X173" s="91">
        <v>0</v>
      </c>
      <c r="Y173" s="91">
        <v>0</v>
      </c>
      <c r="Z173" s="100">
        <v>0</v>
      </c>
      <c r="AA173" s="100">
        <v>0</v>
      </c>
      <c r="AB173" s="100"/>
      <c r="AC173" s="100">
        <v>0</v>
      </c>
      <c r="AD173" s="356">
        <v>0</v>
      </c>
      <c r="AE173" s="100">
        <v>0</v>
      </c>
      <c r="AF173" s="356">
        <v>0</v>
      </c>
      <c r="AG173" s="100">
        <v>0</v>
      </c>
      <c r="AH173" s="100">
        <v>0</v>
      </c>
      <c r="AI173" s="100"/>
      <c r="AJ173" s="100">
        <v>0</v>
      </c>
      <c r="AK173" s="100">
        <v>0</v>
      </c>
      <c r="AL173" s="100">
        <v>0</v>
      </c>
      <c r="AM173" s="100">
        <v>0</v>
      </c>
      <c r="AN173" s="100">
        <v>0</v>
      </c>
      <c r="AO173" s="100">
        <v>4750</v>
      </c>
      <c r="AP173" s="100"/>
      <c r="AQ173" s="356">
        <v>0</v>
      </c>
      <c r="AR173" s="100">
        <v>0</v>
      </c>
      <c r="AS173" s="100">
        <v>0</v>
      </c>
      <c r="AT173" s="100">
        <v>0</v>
      </c>
      <c r="AU173" s="356">
        <v>0</v>
      </c>
      <c r="AV173" s="100">
        <v>0</v>
      </c>
      <c r="AW173" s="100"/>
      <c r="AX173" s="100"/>
      <c r="AY173" s="100">
        <v>0</v>
      </c>
      <c r="AZ173" s="100"/>
      <c r="BA173" s="100"/>
      <c r="BB173" s="100"/>
      <c r="BC173" s="300">
        <f t="shared" si="62"/>
        <v>4750</v>
      </c>
      <c r="BD173" s="896">
        <f t="shared" si="63"/>
        <v>1</v>
      </c>
      <c r="BE173" s="896">
        <f t="shared" si="64"/>
        <v>4750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61</v>
      </c>
      <c r="D174" s="103">
        <v>40</v>
      </c>
      <c r="E174" s="356">
        <v>0</v>
      </c>
      <c r="F174" s="100">
        <f>SUMIF(pro!$A:$A,$V:$V,pro!$N:$N)</f>
        <v>0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 t="shared" si="58"/>
        <v>0</v>
      </c>
      <c r="N174" s="356">
        <f t="shared" si="59"/>
        <v>0</v>
      </c>
      <c r="O174" s="357">
        <f t="shared" si="57"/>
        <v>0</v>
      </c>
      <c r="P174" s="350"/>
      <c r="Q174" s="350"/>
      <c r="R174" s="350">
        <f>O174/INTGRATE!$N$293</f>
        <v>0</v>
      </c>
      <c r="S174" s="349">
        <f t="shared" ref="S174:S192" si="65">IF(R174=0,0,N174/R174)</f>
        <v>0</v>
      </c>
      <c r="T174" s="471"/>
      <c r="U174" s="145"/>
      <c r="V174" s="960" t="str">
        <f t="shared" si="56"/>
        <v>94440</v>
      </c>
      <c r="W174" s="951">
        <v>216201</v>
      </c>
      <c r="X174" s="640">
        <v>0</v>
      </c>
      <c r="Y174" s="640">
        <v>0</v>
      </c>
      <c r="Z174" s="100">
        <v>0</v>
      </c>
      <c r="AA174" s="100">
        <v>0</v>
      </c>
      <c r="AB174" s="100"/>
      <c r="AC174" s="100">
        <v>0</v>
      </c>
      <c r="AD174" s="356">
        <v>0</v>
      </c>
      <c r="AE174" s="100">
        <v>0</v>
      </c>
      <c r="AF174" s="356">
        <v>0</v>
      </c>
      <c r="AG174" s="100">
        <v>0</v>
      </c>
      <c r="AH174" s="100">
        <v>0</v>
      </c>
      <c r="AI174" s="100"/>
      <c r="AJ174" s="100">
        <v>0</v>
      </c>
      <c r="AK174" s="100">
        <v>0</v>
      </c>
      <c r="AL174" s="100">
        <v>0</v>
      </c>
      <c r="AM174" s="100">
        <v>0</v>
      </c>
      <c r="AN174" s="100">
        <v>0</v>
      </c>
      <c r="AO174" s="100">
        <v>0</v>
      </c>
      <c r="AP174" s="100"/>
      <c r="AQ174" s="356">
        <v>0</v>
      </c>
      <c r="AR174" s="100">
        <v>0</v>
      </c>
      <c r="AS174" s="100">
        <v>0</v>
      </c>
      <c r="AT174" s="100">
        <v>0</v>
      </c>
      <c r="AU174" s="356">
        <v>0</v>
      </c>
      <c r="AV174" s="100">
        <v>0</v>
      </c>
      <c r="AW174" s="100"/>
      <c r="AX174" s="100"/>
      <c r="AY174" s="100">
        <v>0</v>
      </c>
      <c r="AZ174" s="100"/>
      <c r="BA174" s="100"/>
      <c r="BB174" s="100"/>
      <c r="BC174" s="300">
        <f t="shared" si="62"/>
        <v>0</v>
      </c>
      <c r="BD174" s="896">
        <f t="shared" si="63"/>
        <v>0</v>
      </c>
      <c r="BE174" s="896">
        <f t="shared" si="64"/>
        <v>0</v>
      </c>
      <c r="BF174" s="63"/>
      <c r="BG174" s="38"/>
      <c r="BH174" s="506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61</v>
      </c>
      <c r="D175" s="103">
        <v>40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58"/>
        <v>0</v>
      </c>
      <c r="N175" s="356">
        <f t="shared" si="59"/>
        <v>0</v>
      </c>
      <c r="O175" s="357">
        <f t="shared" si="57"/>
        <v>0</v>
      </c>
      <c r="P175" s="350"/>
      <c r="Q175" s="350"/>
      <c r="R175" s="350">
        <f>O175/INTGRATE!$N$293</f>
        <v>0</v>
      </c>
      <c r="S175" s="349">
        <f t="shared" si="65"/>
        <v>0</v>
      </c>
      <c r="T175" s="471"/>
      <c r="U175" s="145"/>
      <c r="V175" s="960" t="str">
        <f t="shared" si="56"/>
        <v>94540</v>
      </c>
      <c r="W175" s="951">
        <v>216251</v>
      </c>
      <c r="X175" s="91">
        <v>0</v>
      </c>
      <c r="Y175" s="91">
        <v>0</v>
      </c>
      <c r="Z175" s="100">
        <v>0</v>
      </c>
      <c r="AA175" s="100">
        <v>0</v>
      </c>
      <c r="AB175" s="100"/>
      <c r="AC175" s="100">
        <v>0</v>
      </c>
      <c r="AD175" s="356">
        <v>0</v>
      </c>
      <c r="AE175" s="100">
        <v>0</v>
      </c>
      <c r="AF175" s="356">
        <v>0</v>
      </c>
      <c r="AG175" s="100">
        <v>0</v>
      </c>
      <c r="AH175" s="100">
        <v>0</v>
      </c>
      <c r="AI175" s="100"/>
      <c r="AJ175" s="100">
        <v>0</v>
      </c>
      <c r="AK175" s="100">
        <v>0</v>
      </c>
      <c r="AL175" s="100">
        <v>0</v>
      </c>
      <c r="AM175" s="100">
        <v>0</v>
      </c>
      <c r="AN175" s="100">
        <v>0</v>
      </c>
      <c r="AO175" s="100">
        <v>0</v>
      </c>
      <c r="AP175" s="100"/>
      <c r="AQ175" s="356">
        <v>0</v>
      </c>
      <c r="AR175" s="100">
        <v>0</v>
      </c>
      <c r="AS175" s="100">
        <v>0</v>
      </c>
      <c r="AT175" s="100">
        <v>0</v>
      </c>
      <c r="AU175" s="356">
        <v>0</v>
      </c>
      <c r="AV175" s="100">
        <v>0</v>
      </c>
      <c r="AW175" s="100"/>
      <c r="AX175" s="100"/>
      <c r="AY175" s="100">
        <v>0</v>
      </c>
      <c r="AZ175" s="100"/>
      <c r="BA175" s="100"/>
      <c r="BB175" s="100"/>
      <c r="BC175" s="300">
        <f t="shared" si="62"/>
        <v>0</v>
      </c>
      <c r="BD175" s="896">
        <f t="shared" si="63"/>
        <v>0</v>
      </c>
      <c r="BE175" s="896">
        <f t="shared" si="64"/>
        <v>0</v>
      </c>
      <c r="BF175" s="104"/>
      <c r="BG175" s="38"/>
      <c r="BH175" s="506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5">
        <v>951</v>
      </c>
      <c r="C176" s="617" t="s">
        <v>1314</v>
      </c>
      <c r="D176" s="168">
        <v>25</v>
      </c>
      <c r="E176" s="356">
        <v>365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215</v>
      </c>
      <c r="J176" s="356">
        <f>SUMIF(data!$D:$D,$B176&amp;$D176,data!$K:$K)</f>
        <v>5375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58"/>
        <v>150</v>
      </c>
      <c r="N176" s="356">
        <f t="shared" si="59"/>
        <v>3750</v>
      </c>
      <c r="O176" s="357">
        <f t="shared" si="57"/>
        <v>30050</v>
      </c>
      <c r="P176" s="350"/>
      <c r="Q176" s="350"/>
      <c r="R176" s="350">
        <f>O176/INTGRATE!$N$293</f>
        <v>1306.5217391304348</v>
      </c>
      <c r="S176" s="349">
        <f t="shared" si="65"/>
        <v>2.8702163061564061</v>
      </c>
      <c r="T176" s="471"/>
      <c r="U176" s="145"/>
      <c r="V176" s="960" t="str">
        <f t="shared" si="56"/>
        <v>95125</v>
      </c>
      <c r="W176" s="951">
        <v>314001</v>
      </c>
      <c r="X176" s="91">
        <v>0</v>
      </c>
      <c r="Y176" s="91">
        <v>500</v>
      </c>
      <c r="Z176" s="100">
        <v>4050</v>
      </c>
      <c r="AA176" s="100">
        <v>950</v>
      </c>
      <c r="AB176" s="100"/>
      <c r="AC176" s="100">
        <v>500</v>
      </c>
      <c r="AD176" s="356">
        <v>4650</v>
      </c>
      <c r="AE176" s="100">
        <v>0</v>
      </c>
      <c r="AF176" s="356">
        <v>50</v>
      </c>
      <c r="AG176" s="100">
        <v>550</v>
      </c>
      <c r="AH176" s="100">
        <v>1650</v>
      </c>
      <c r="AI176" s="100"/>
      <c r="AJ176" s="100">
        <v>50</v>
      </c>
      <c r="AK176" s="100">
        <v>1625</v>
      </c>
      <c r="AL176" s="100">
        <v>175</v>
      </c>
      <c r="AM176" s="100">
        <v>0</v>
      </c>
      <c r="AN176" s="100">
        <v>1000</v>
      </c>
      <c r="AO176" s="100">
        <v>875</v>
      </c>
      <c r="AP176" s="100"/>
      <c r="AQ176" s="356">
        <v>125</v>
      </c>
      <c r="AR176" s="100">
        <v>4050</v>
      </c>
      <c r="AS176" s="100">
        <v>500</v>
      </c>
      <c r="AT176" s="100">
        <v>2125</v>
      </c>
      <c r="AU176" s="356">
        <v>250</v>
      </c>
      <c r="AV176" s="100">
        <v>1000</v>
      </c>
      <c r="AW176" s="100"/>
      <c r="AX176" s="100"/>
      <c r="AY176" s="100">
        <v>5375</v>
      </c>
      <c r="AZ176" s="100"/>
      <c r="BA176" s="100"/>
      <c r="BB176" s="100"/>
      <c r="BC176" s="300">
        <f t="shared" si="62"/>
        <v>30050</v>
      </c>
      <c r="BD176" s="896">
        <f t="shared" si="63"/>
        <v>20</v>
      </c>
      <c r="BE176" s="896">
        <f t="shared" si="64"/>
        <v>1502.5</v>
      </c>
      <c r="BH176" s="505"/>
    </row>
    <row r="177" spans="1:60" s="38" customFormat="1" ht="15" customHeight="1">
      <c r="A177" s="91">
        <v>12</v>
      </c>
      <c r="B177" s="94">
        <v>952</v>
      </c>
      <c r="C177" s="94" t="s">
        <v>61</v>
      </c>
      <c r="D177" s="91">
        <v>25</v>
      </c>
      <c r="E177" s="356">
        <v>413</v>
      </c>
      <c r="F177" s="100">
        <f>SUMIF(pro!$A:$A,$V:$V,pro!$N:$N)</f>
        <v>0</v>
      </c>
      <c r="G177" s="356"/>
      <c r="H177" s="356">
        <f>SUMIF(CBIN!$A:$A,BRAN!$V:$V,CBIN!$G:$G)</f>
        <v>0</v>
      </c>
      <c r="I177" s="100">
        <f>SUMIF(data!$D:$D,$B177&amp;$D177,data!$J:$J)</f>
        <v>270</v>
      </c>
      <c r="J177" s="356">
        <f>SUMIF(data!$D:$D,$B177&amp;$D177,data!$K:$K)</f>
        <v>6750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58"/>
        <v>143</v>
      </c>
      <c r="N177" s="356">
        <f t="shared" si="59"/>
        <v>3575</v>
      </c>
      <c r="O177" s="357">
        <f t="shared" si="57"/>
        <v>93450</v>
      </c>
      <c r="P177" s="350"/>
      <c r="Q177" s="350"/>
      <c r="R177" s="350">
        <f>O177/INTGRATE!$N$293</f>
        <v>4063.0434782608695</v>
      </c>
      <c r="S177" s="349">
        <f t="shared" si="65"/>
        <v>0.87988228999464957</v>
      </c>
      <c r="T177" s="472"/>
      <c r="U177" s="145"/>
      <c r="V177" s="960" t="str">
        <f t="shared" si="56"/>
        <v>95225</v>
      </c>
      <c r="W177" s="951">
        <v>321001</v>
      </c>
      <c r="X177" s="91">
        <v>6750</v>
      </c>
      <c r="Y177" s="91">
        <v>500</v>
      </c>
      <c r="Z177" s="100">
        <v>12000</v>
      </c>
      <c r="AA177" s="100">
        <v>6200</v>
      </c>
      <c r="AB177" s="100"/>
      <c r="AC177" s="100">
        <v>625</v>
      </c>
      <c r="AD177" s="356">
        <v>7300</v>
      </c>
      <c r="AE177" s="100">
        <v>4475</v>
      </c>
      <c r="AF177" s="356">
        <v>0</v>
      </c>
      <c r="AG177" s="100">
        <v>5000</v>
      </c>
      <c r="AH177" s="100">
        <v>3500</v>
      </c>
      <c r="AI177" s="100"/>
      <c r="AJ177" s="100">
        <v>0</v>
      </c>
      <c r="AK177" s="100">
        <v>8500</v>
      </c>
      <c r="AL177" s="100">
        <v>4275</v>
      </c>
      <c r="AM177" s="100">
        <v>0</v>
      </c>
      <c r="AN177" s="100">
        <v>5275</v>
      </c>
      <c r="AO177" s="100">
        <v>1000</v>
      </c>
      <c r="AP177" s="100"/>
      <c r="AQ177" s="356">
        <v>1125</v>
      </c>
      <c r="AR177" s="100">
        <v>6000</v>
      </c>
      <c r="AS177" s="100">
        <v>7000</v>
      </c>
      <c r="AT177" s="100">
        <v>3300</v>
      </c>
      <c r="AU177" s="356">
        <v>1750</v>
      </c>
      <c r="AV177" s="100">
        <v>2125</v>
      </c>
      <c r="AW177" s="100"/>
      <c r="AX177" s="100"/>
      <c r="AY177" s="100">
        <v>6750</v>
      </c>
      <c r="AZ177" s="100"/>
      <c r="BA177" s="100"/>
      <c r="BB177" s="100"/>
      <c r="BC177" s="300">
        <f t="shared" si="62"/>
        <v>93450</v>
      </c>
      <c r="BD177" s="896">
        <f t="shared" si="63"/>
        <v>20</v>
      </c>
      <c r="BE177" s="896">
        <f t="shared" si="64"/>
        <v>4672.5</v>
      </c>
      <c r="BH177" s="505"/>
    </row>
    <row r="178" spans="1:60" s="38" customFormat="1" ht="15" customHeight="1">
      <c r="A178" s="91">
        <v>13</v>
      </c>
      <c r="B178" s="94" t="s">
        <v>124</v>
      </c>
      <c r="C178" s="123" t="s">
        <v>1314</v>
      </c>
      <c r="D178" s="91">
        <v>25</v>
      </c>
      <c r="E178" s="356">
        <v>0</v>
      </c>
      <c r="F178" s="100">
        <f>SUMIF(pro!$A:$A,$V:$V,pro!$N:$N)</f>
        <v>0</v>
      </c>
      <c r="G178" s="356"/>
      <c r="H178" s="356">
        <f>SUMIF(CBIN!$A:$A,BRAN!$V:$V,CBIN!$G:$G)</f>
        <v>0</v>
      </c>
      <c r="I178" s="100">
        <f>SUMIF(data!$D:$D,$B178&amp;$D178,data!$J:$J)</f>
        <v>0</v>
      </c>
      <c r="J178" s="356">
        <f>SUMIF(data!$D:$D,$B178&amp;$D178,data!$K:$K)</f>
        <v>0</v>
      </c>
      <c r="K178" s="356">
        <f>SUMIF(AJOUT!$A:$A,BRAN!$V:$V,AJOUT!$L:$L)</f>
        <v>0</v>
      </c>
      <c r="L178" s="356">
        <f>SUMIF(CBOUT!$A:$A,BRAN!$V:$V,CBOUT!$G:$G)</f>
        <v>0</v>
      </c>
      <c r="M178" s="540">
        <f>E178+F178+H178-I178-L178+G178-K178</f>
        <v>0</v>
      </c>
      <c r="N178" s="356">
        <f t="shared" si="59"/>
        <v>0</v>
      </c>
      <c r="O178" s="357">
        <f>SUM(X178:BB178)</f>
        <v>0</v>
      </c>
      <c r="P178" s="350"/>
      <c r="Q178" s="350"/>
      <c r="R178" s="350">
        <f>O178/INTGRATE!$N$293</f>
        <v>0</v>
      </c>
      <c r="S178" s="349">
        <f t="shared" si="65"/>
        <v>0</v>
      </c>
      <c r="T178" s="472"/>
      <c r="U178" s="145"/>
      <c r="V178" s="960" t="str">
        <f t="shared" si="56"/>
        <v>952M25</v>
      </c>
      <c r="W178" s="951">
        <v>321012</v>
      </c>
      <c r="X178" s="91">
        <v>0</v>
      </c>
      <c r="Y178" s="91">
        <v>0</v>
      </c>
      <c r="Z178" s="100">
        <v>0</v>
      </c>
      <c r="AA178" s="100">
        <v>0</v>
      </c>
      <c r="AB178" s="100"/>
      <c r="AC178" s="100">
        <v>0</v>
      </c>
      <c r="AD178" s="356">
        <v>0</v>
      </c>
      <c r="AE178" s="100">
        <v>0</v>
      </c>
      <c r="AF178" s="356">
        <v>0</v>
      </c>
      <c r="AG178" s="100">
        <v>0</v>
      </c>
      <c r="AH178" s="100">
        <v>0</v>
      </c>
      <c r="AI178" s="100"/>
      <c r="AJ178" s="100">
        <v>0</v>
      </c>
      <c r="AK178" s="100">
        <v>0</v>
      </c>
      <c r="AL178" s="100">
        <v>0</v>
      </c>
      <c r="AM178" s="100">
        <v>0</v>
      </c>
      <c r="AN178" s="100">
        <v>0</v>
      </c>
      <c r="AO178" s="100">
        <v>0</v>
      </c>
      <c r="AP178" s="100"/>
      <c r="AQ178" s="356">
        <v>0</v>
      </c>
      <c r="AR178" s="100">
        <v>0</v>
      </c>
      <c r="AS178" s="100">
        <v>0</v>
      </c>
      <c r="AT178" s="100">
        <v>0</v>
      </c>
      <c r="AU178" s="356">
        <v>0</v>
      </c>
      <c r="AV178" s="100">
        <v>0</v>
      </c>
      <c r="AW178" s="100"/>
      <c r="AX178" s="100"/>
      <c r="AY178" s="100">
        <v>0</v>
      </c>
      <c r="AZ178" s="100"/>
      <c r="BA178" s="100"/>
      <c r="BB178" s="100"/>
      <c r="BC178" s="300">
        <f t="shared" si="62"/>
        <v>0</v>
      </c>
      <c r="BD178" s="896">
        <f t="shared" si="63"/>
        <v>0</v>
      </c>
      <c r="BE178" s="896">
        <f t="shared" si="64"/>
        <v>0</v>
      </c>
      <c r="BH178" s="505"/>
    </row>
    <row r="179" spans="1:60" s="38" customFormat="1" ht="15" customHeight="1">
      <c r="A179" s="91">
        <v>14</v>
      </c>
      <c r="B179" s="175" t="s">
        <v>1385</v>
      </c>
      <c r="C179" s="617" t="s">
        <v>1314</v>
      </c>
      <c r="D179" s="168">
        <v>25</v>
      </c>
      <c r="E179" s="356">
        <v>0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>E179+F179+H179-I179-L179+G179-K179</f>
        <v>0</v>
      </c>
      <c r="N179" s="356">
        <f t="shared" si="59"/>
        <v>0</v>
      </c>
      <c r="O179" s="357">
        <f>SUM(X179:BB179)</f>
        <v>0</v>
      </c>
      <c r="P179" s="350"/>
      <c r="Q179" s="350"/>
      <c r="R179" s="350">
        <f>O179/INTGRATE!$N$293</f>
        <v>0</v>
      </c>
      <c r="S179" s="349">
        <f t="shared" si="65"/>
        <v>0</v>
      </c>
      <c r="T179" s="472"/>
      <c r="U179" s="145"/>
      <c r="V179" s="960" t="str">
        <f t="shared" si="56"/>
        <v>952MX25</v>
      </c>
      <c r="W179" s="951">
        <v>321018</v>
      </c>
      <c r="X179" s="91">
        <v>0</v>
      </c>
      <c r="Y179" s="91">
        <v>0</v>
      </c>
      <c r="Z179" s="100">
        <v>0</v>
      </c>
      <c r="AA179" s="100">
        <v>0</v>
      </c>
      <c r="AB179" s="100"/>
      <c r="AC179" s="100">
        <v>0</v>
      </c>
      <c r="AD179" s="356">
        <v>0</v>
      </c>
      <c r="AE179" s="100">
        <v>0</v>
      </c>
      <c r="AF179" s="356">
        <v>0</v>
      </c>
      <c r="AG179" s="100">
        <v>0</v>
      </c>
      <c r="AH179" s="100">
        <v>0</v>
      </c>
      <c r="AI179" s="100"/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/>
      <c r="AQ179" s="356">
        <v>0</v>
      </c>
      <c r="AR179" s="100">
        <v>0</v>
      </c>
      <c r="AS179" s="100">
        <v>0</v>
      </c>
      <c r="AT179" s="100">
        <v>0</v>
      </c>
      <c r="AU179" s="356">
        <v>0</v>
      </c>
      <c r="AV179" s="100">
        <v>0</v>
      </c>
      <c r="AW179" s="100"/>
      <c r="AX179" s="100"/>
      <c r="AY179" s="100">
        <v>0</v>
      </c>
      <c r="AZ179" s="100"/>
      <c r="BA179" s="100"/>
      <c r="BB179" s="100"/>
      <c r="BC179" s="300">
        <f t="shared" si="62"/>
        <v>0</v>
      </c>
      <c r="BD179" s="896">
        <f t="shared" si="63"/>
        <v>0</v>
      </c>
      <c r="BE179" s="896">
        <f t="shared" si="64"/>
        <v>0</v>
      </c>
      <c r="BH179" s="505"/>
    </row>
    <row r="180" spans="1:60" s="38" customFormat="1" ht="15" customHeight="1">
      <c r="A180" s="91">
        <v>15</v>
      </c>
      <c r="B180" s="94" t="s">
        <v>47</v>
      </c>
      <c r="C180" s="123" t="s">
        <v>1314</v>
      </c>
      <c r="D180" s="91">
        <v>25</v>
      </c>
      <c r="E180" s="356">
        <v>448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305</v>
      </c>
      <c r="J180" s="356">
        <f>SUMIF(data!$D:$D,$B180&amp;$D180,data!$K:$K)</f>
        <v>7625</v>
      </c>
      <c r="K180" s="356">
        <f>SUMIF(AJOUT!$A:$A,BRAN!$V:$V,AJOUT!$L:$L)</f>
        <v>0</v>
      </c>
      <c r="L180" s="356">
        <f>SUMIF(CBOUT!$A:$A,BRAN!$V:$V,CBOUT!$G:$G)</f>
        <v>0</v>
      </c>
      <c r="M180" s="540">
        <f t="shared" si="58"/>
        <v>143</v>
      </c>
      <c r="N180" s="356">
        <f t="shared" si="59"/>
        <v>3575</v>
      </c>
      <c r="O180" s="357">
        <f t="shared" si="57"/>
        <v>72500</v>
      </c>
      <c r="P180" s="350"/>
      <c r="Q180" s="350"/>
      <c r="R180" s="350">
        <f>O180/INTGRATE!$N$293</f>
        <v>3152.1739130434785</v>
      </c>
      <c r="S180" s="349">
        <f t="shared" si="65"/>
        <v>1.1341379310344826</v>
      </c>
      <c r="T180" s="471"/>
      <c r="U180" s="145"/>
      <c r="V180" s="961" t="str">
        <f t="shared" si="56"/>
        <v>952S25</v>
      </c>
      <c r="W180" s="962">
        <v>320001</v>
      </c>
      <c r="X180" s="91">
        <v>9000</v>
      </c>
      <c r="Y180" s="91">
        <v>800</v>
      </c>
      <c r="Z180" s="100">
        <v>14225</v>
      </c>
      <c r="AA180" s="100">
        <v>3050</v>
      </c>
      <c r="AB180" s="100"/>
      <c r="AC180" s="100">
        <v>1250</v>
      </c>
      <c r="AD180" s="356">
        <v>11500</v>
      </c>
      <c r="AE180" s="100">
        <v>75</v>
      </c>
      <c r="AF180" s="356">
        <v>250</v>
      </c>
      <c r="AG180" s="100">
        <v>1850</v>
      </c>
      <c r="AH180" s="100">
        <v>2375</v>
      </c>
      <c r="AI180" s="100"/>
      <c r="AJ180" s="100">
        <v>0</v>
      </c>
      <c r="AK180" s="100">
        <v>1450</v>
      </c>
      <c r="AL180" s="100">
        <v>0</v>
      </c>
      <c r="AM180" s="100">
        <v>750</v>
      </c>
      <c r="AN180" s="100">
        <v>2500</v>
      </c>
      <c r="AO180" s="100">
        <v>500</v>
      </c>
      <c r="AP180" s="100"/>
      <c r="AQ180" s="356">
        <v>1925</v>
      </c>
      <c r="AR180" s="100">
        <v>6750</v>
      </c>
      <c r="AS180" s="100">
        <v>1500</v>
      </c>
      <c r="AT180" s="100">
        <v>1375</v>
      </c>
      <c r="AU180" s="356">
        <v>1500</v>
      </c>
      <c r="AV180" s="100">
        <v>2250</v>
      </c>
      <c r="AW180" s="100"/>
      <c r="AX180" s="100"/>
      <c r="AY180" s="100">
        <v>7625</v>
      </c>
      <c r="AZ180" s="100"/>
      <c r="BA180" s="100"/>
      <c r="BB180" s="100"/>
      <c r="BC180" s="300">
        <f t="shared" si="62"/>
        <v>72500</v>
      </c>
      <c r="BD180" s="896">
        <f t="shared" si="63"/>
        <v>21</v>
      </c>
      <c r="BE180" s="896">
        <f t="shared" si="64"/>
        <v>3452.3809523809523</v>
      </c>
      <c r="BH180" s="505"/>
    </row>
    <row r="181" spans="1:60" s="38" customFormat="1" ht="15" customHeight="1">
      <c r="A181" s="91">
        <v>16</v>
      </c>
      <c r="B181" s="175" t="s">
        <v>2156</v>
      </c>
      <c r="C181" s="617" t="s">
        <v>1314</v>
      </c>
      <c r="D181" s="168">
        <v>25</v>
      </c>
      <c r="E181" s="356">
        <v>0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0</v>
      </c>
      <c r="J181" s="356">
        <f>SUMIF(data!$D:$D,$B181&amp;$D181,data!$K:$K)</f>
        <v>0</v>
      </c>
      <c r="K181" s="356">
        <f>SUMIF(AJOUT!$A:$A,BRAN!$V:$V,AJOUT!$L:$L)</f>
        <v>0</v>
      </c>
      <c r="L181" s="356">
        <f>SUMIF(CBOUT!$A:$A,BRAN!$V:$V,CBOUT!$G:$G)</f>
        <v>0</v>
      </c>
      <c r="M181" s="540">
        <f>E181+F181+H181-I181-L181+G181-K181</f>
        <v>0</v>
      </c>
      <c r="N181" s="356">
        <f t="shared" si="59"/>
        <v>0</v>
      </c>
      <c r="O181" s="357">
        <f t="shared" si="57"/>
        <v>0</v>
      </c>
      <c r="P181" s="350"/>
      <c r="Q181" s="350"/>
      <c r="R181" s="350">
        <f>O181/INTGRATE!$N$293</f>
        <v>0</v>
      </c>
      <c r="S181" s="349">
        <f t="shared" si="65"/>
        <v>0</v>
      </c>
      <c r="T181" s="471"/>
      <c r="U181" s="145"/>
      <c r="V181" s="961" t="str">
        <f t="shared" si="56"/>
        <v>952SX25</v>
      </c>
      <c r="W181" s="943">
        <v>320008</v>
      </c>
      <c r="X181" s="91">
        <v>0</v>
      </c>
      <c r="Y181" s="91">
        <v>0</v>
      </c>
      <c r="Z181" s="100">
        <v>0</v>
      </c>
      <c r="AA181" s="100">
        <v>0</v>
      </c>
      <c r="AB181" s="100"/>
      <c r="AC181" s="100">
        <v>0</v>
      </c>
      <c r="AD181" s="356">
        <v>0</v>
      </c>
      <c r="AE181" s="100">
        <v>0</v>
      </c>
      <c r="AF181" s="356">
        <v>0</v>
      </c>
      <c r="AG181" s="100">
        <v>0</v>
      </c>
      <c r="AH181" s="100">
        <v>0</v>
      </c>
      <c r="AI181" s="100"/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/>
      <c r="AQ181" s="356">
        <v>0</v>
      </c>
      <c r="AR181" s="100">
        <v>0</v>
      </c>
      <c r="AS181" s="100">
        <v>0</v>
      </c>
      <c r="AT181" s="100">
        <v>0</v>
      </c>
      <c r="AU181" s="356">
        <v>0</v>
      </c>
      <c r="AV181" s="100">
        <v>0</v>
      </c>
      <c r="AW181" s="100"/>
      <c r="AX181" s="100"/>
      <c r="AY181" s="100">
        <v>0</v>
      </c>
      <c r="AZ181" s="100"/>
      <c r="BA181" s="100"/>
      <c r="BB181" s="100"/>
      <c r="BC181" s="300">
        <f t="shared" si="62"/>
        <v>0</v>
      </c>
      <c r="BD181" s="896">
        <f t="shared" si="63"/>
        <v>0</v>
      </c>
      <c r="BE181" s="896">
        <f t="shared" si="64"/>
        <v>0</v>
      </c>
      <c r="BH181" s="505"/>
    </row>
    <row r="182" spans="1:60" s="38" customFormat="1" ht="15" customHeight="1">
      <c r="A182" s="91">
        <v>17</v>
      </c>
      <c r="B182" s="94">
        <v>953</v>
      </c>
      <c r="C182" s="94" t="s">
        <v>61</v>
      </c>
      <c r="D182" s="91">
        <v>25</v>
      </c>
      <c r="E182" s="356">
        <v>268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100</v>
      </c>
      <c r="J182" s="356">
        <f>SUMIF(data!$D:$D,$B182&amp;$D182,data!$K:$K)</f>
        <v>2500</v>
      </c>
      <c r="K182" s="356">
        <f>SUMIF(AJOUT!$A:$A,BRAN!$V:$V,AJOUT!$L:$L)</f>
        <v>0</v>
      </c>
      <c r="L182" s="356">
        <f>SUMIF(CBOUT!$A:$A,BRAN!$V:$V,CBOUT!$G:$G)</f>
        <v>0</v>
      </c>
      <c r="M182" s="540">
        <f t="shared" si="58"/>
        <v>168</v>
      </c>
      <c r="N182" s="356">
        <f t="shared" si="59"/>
        <v>4200</v>
      </c>
      <c r="O182" s="357">
        <f t="shared" si="57"/>
        <v>46650</v>
      </c>
      <c r="P182" s="350"/>
      <c r="Q182" s="350"/>
      <c r="R182" s="350">
        <f>O182/INTGRATE!$N$293</f>
        <v>2028.2608695652175</v>
      </c>
      <c r="S182" s="349">
        <f t="shared" si="65"/>
        <v>2.070739549839228</v>
      </c>
      <c r="T182" s="472"/>
      <c r="U182" s="145"/>
      <c r="V182" s="956" t="str">
        <f t="shared" si="56"/>
        <v>95325</v>
      </c>
      <c r="W182" s="943">
        <v>332301</v>
      </c>
      <c r="X182" s="91">
        <v>1650</v>
      </c>
      <c r="Y182" s="91">
        <v>0</v>
      </c>
      <c r="Z182" s="100">
        <v>10000</v>
      </c>
      <c r="AA182" s="100">
        <v>1175</v>
      </c>
      <c r="AB182" s="100"/>
      <c r="AC182" s="100">
        <v>3725</v>
      </c>
      <c r="AD182" s="356">
        <v>1000</v>
      </c>
      <c r="AE182" s="100">
        <v>3475</v>
      </c>
      <c r="AF182" s="356">
        <v>0</v>
      </c>
      <c r="AG182" s="100">
        <v>250</v>
      </c>
      <c r="AH182" s="100">
        <v>3375</v>
      </c>
      <c r="AI182" s="100"/>
      <c r="AJ182" s="100">
        <v>375</v>
      </c>
      <c r="AK182" s="100">
        <v>1875</v>
      </c>
      <c r="AL182" s="100">
        <v>500</v>
      </c>
      <c r="AM182" s="100">
        <v>1500</v>
      </c>
      <c r="AN182" s="100">
        <v>2000</v>
      </c>
      <c r="AO182" s="100">
        <v>3250</v>
      </c>
      <c r="AP182" s="100"/>
      <c r="AQ182" s="356">
        <v>1000</v>
      </c>
      <c r="AR182" s="100">
        <v>3875</v>
      </c>
      <c r="AS182" s="100">
        <v>1500</v>
      </c>
      <c r="AT182" s="100">
        <v>875</v>
      </c>
      <c r="AU182" s="356">
        <v>250</v>
      </c>
      <c r="AV182" s="100">
        <v>2500</v>
      </c>
      <c r="AW182" s="100"/>
      <c r="AX182" s="100"/>
      <c r="AY182" s="100">
        <v>2500</v>
      </c>
      <c r="AZ182" s="100"/>
      <c r="BA182" s="100"/>
      <c r="BB182" s="100"/>
      <c r="BC182" s="300">
        <f t="shared" si="62"/>
        <v>46650</v>
      </c>
      <c r="BD182" s="896">
        <f t="shared" si="63"/>
        <v>21</v>
      </c>
      <c r="BE182" s="896">
        <f t="shared" si="64"/>
        <v>2221.4285714285716</v>
      </c>
      <c r="BH182" s="505"/>
    </row>
    <row r="183" spans="1:60" s="38" customFormat="1" ht="15" customHeight="1">
      <c r="A183" s="91">
        <v>18</v>
      </c>
      <c r="B183" s="94" t="s">
        <v>76</v>
      </c>
      <c r="C183" s="94" t="s">
        <v>61</v>
      </c>
      <c r="D183" s="91">
        <v>25</v>
      </c>
      <c r="E183" s="356">
        <v>0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0</v>
      </c>
      <c r="J183" s="356">
        <f>SUMIF(data!$D:$D,$B183&amp;$D183,data!$K:$K)</f>
        <v>0</v>
      </c>
      <c r="K183" s="356">
        <f>SUMIF(AJOUT!$A:$A,BRAN!$V:$V,AJOUT!$L:$L)</f>
        <v>0</v>
      </c>
      <c r="L183" s="356">
        <f>SUMIF(CBOUT!$A:$A,BRAN!$V:$V,CBOUT!$G:$G)</f>
        <v>0</v>
      </c>
      <c r="M183" s="540">
        <f t="shared" si="58"/>
        <v>0</v>
      </c>
      <c r="N183" s="356">
        <f t="shared" si="59"/>
        <v>0</v>
      </c>
      <c r="O183" s="357">
        <f t="shared" si="57"/>
        <v>9875</v>
      </c>
      <c r="P183" s="350"/>
      <c r="Q183" s="350"/>
      <c r="R183" s="350">
        <f>O183/INTGRATE!$N$293</f>
        <v>429.3478260869565</v>
      </c>
      <c r="S183" s="349">
        <f t="shared" si="65"/>
        <v>0</v>
      </c>
      <c r="T183" s="473"/>
      <c r="U183" s="145"/>
      <c r="V183" s="960" t="str">
        <f t="shared" si="56"/>
        <v>953S25</v>
      </c>
      <c r="W183" s="951">
        <v>332101</v>
      </c>
      <c r="X183" s="91">
        <v>0</v>
      </c>
      <c r="Y183" s="91">
        <v>2000</v>
      </c>
      <c r="Z183" s="100">
        <v>2375</v>
      </c>
      <c r="AA183" s="100">
        <v>0</v>
      </c>
      <c r="AB183" s="100"/>
      <c r="AC183" s="100">
        <v>1250</v>
      </c>
      <c r="AD183" s="356">
        <v>0</v>
      </c>
      <c r="AE183" s="100">
        <v>0</v>
      </c>
      <c r="AF183" s="356">
        <v>0</v>
      </c>
      <c r="AG183" s="100">
        <v>1500</v>
      </c>
      <c r="AH183" s="100">
        <v>0</v>
      </c>
      <c r="AI183" s="100"/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2750</v>
      </c>
      <c r="AP183" s="100"/>
      <c r="AQ183" s="356">
        <v>0</v>
      </c>
      <c r="AR183" s="100">
        <v>0</v>
      </c>
      <c r="AS183" s="100">
        <v>0</v>
      </c>
      <c r="AT183" s="100">
        <v>0</v>
      </c>
      <c r="AU183" s="356">
        <v>0</v>
      </c>
      <c r="AV183" s="100">
        <v>0</v>
      </c>
      <c r="AW183" s="100"/>
      <c r="AX183" s="100"/>
      <c r="AY183" s="100">
        <v>0</v>
      </c>
      <c r="AZ183" s="100"/>
      <c r="BA183" s="100"/>
      <c r="BB183" s="100"/>
      <c r="BC183" s="300">
        <f t="shared" si="62"/>
        <v>9875</v>
      </c>
      <c r="BD183" s="896">
        <f t="shared" si="63"/>
        <v>5</v>
      </c>
      <c r="BE183" s="896">
        <f t="shared" si="64"/>
        <v>1975</v>
      </c>
      <c r="BH183" s="505"/>
    </row>
    <row r="184" spans="1:60" s="38" customFormat="1" ht="15" customHeight="1">
      <c r="A184" s="91">
        <v>19</v>
      </c>
      <c r="B184" s="177">
        <v>966</v>
      </c>
      <c r="C184" s="177" t="s">
        <v>61</v>
      </c>
      <c r="D184" s="179">
        <v>25</v>
      </c>
      <c r="E184" s="356">
        <v>111</v>
      </c>
      <c r="F184" s="100">
        <f>SUMIF(pro!$A:$A,$V:$V,pro!$N:$N)</f>
        <v>437</v>
      </c>
      <c r="G184" s="356"/>
      <c r="H184" s="356">
        <f>SUMIF(CBIN!$A:$A,BRAN!$V:$V,CBIN!$G:$G)</f>
        <v>0</v>
      </c>
      <c r="I184" s="100">
        <f>SUMIF(data!$D:$D,$B184&amp;$D184,data!$J:$J)</f>
        <v>111</v>
      </c>
      <c r="J184" s="356">
        <f>SUMIF(data!$D:$D,$B184&amp;$D184,data!$K:$K)</f>
        <v>2775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58"/>
        <v>437</v>
      </c>
      <c r="N184" s="356">
        <f t="shared" si="59"/>
        <v>10925</v>
      </c>
      <c r="O184" s="357">
        <f t="shared" si="57"/>
        <v>58525</v>
      </c>
      <c r="P184" s="350"/>
      <c r="Q184" s="350"/>
      <c r="R184" s="350">
        <f>O184/INTGRATE!$N$293</f>
        <v>2544.5652173913045</v>
      </c>
      <c r="S184" s="349">
        <f t="shared" si="65"/>
        <v>4.293464331482272</v>
      </c>
      <c r="T184" s="471"/>
      <c r="U184" s="145"/>
      <c r="V184" s="960" t="str">
        <f t="shared" si="56"/>
        <v>96625</v>
      </c>
      <c r="W184" s="951">
        <v>366201</v>
      </c>
      <c r="X184" s="91">
        <v>6500</v>
      </c>
      <c r="Y184" s="91">
        <v>875</v>
      </c>
      <c r="Z184" s="100">
        <v>7750</v>
      </c>
      <c r="AA184" s="100">
        <v>3375</v>
      </c>
      <c r="AB184" s="100"/>
      <c r="AC184" s="100">
        <v>25</v>
      </c>
      <c r="AD184" s="356">
        <v>2875</v>
      </c>
      <c r="AE184" s="100">
        <v>3750</v>
      </c>
      <c r="AF184" s="356">
        <v>0</v>
      </c>
      <c r="AG184" s="100">
        <v>4375</v>
      </c>
      <c r="AH184" s="100">
        <v>875</v>
      </c>
      <c r="AI184" s="100"/>
      <c r="AJ184" s="100">
        <v>0</v>
      </c>
      <c r="AK184" s="100">
        <v>3800</v>
      </c>
      <c r="AL184" s="100">
        <v>3000</v>
      </c>
      <c r="AM184" s="100">
        <v>250</v>
      </c>
      <c r="AN184" s="100">
        <v>1875</v>
      </c>
      <c r="AO184" s="100">
        <v>1525</v>
      </c>
      <c r="AP184" s="100"/>
      <c r="AQ184" s="356">
        <v>2225</v>
      </c>
      <c r="AR184" s="100">
        <v>5500</v>
      </c>
      <c r="AS184" s="100">
        <v>1725</v>
      </c>
      <c r="AT184" s="100">
        <v>3650</v>
      </c>
      <c r="AU184" s="356">
        <v>500</v>
      </c>
      <c r="AV184" s="100">
        <v>1300</v>
      </c>
      <c r="AW184" s="100"/>
      <c r="AX184" s="100"/>
      <c r="AY184" s="100">
        <v>2775</v>
      </c>
      <c r="AZ184" s="100"/>
      <c r="BA184" s="100"/>
      <c r="BB184" s="100"/>
      <c r="BC184" s="300">
        <f t="shared" si="62"/>
        <v>58525</v>
      </c>
      <c r="BD184" s="896">
        <f t="shared" si="63"/>
        <v>21</v>
      </c>
      <c r="BE184" s="896">
        <f t="shared" si="64"/>
        <v>2786.9047619047619</v>
      </c>
      <c r="BH184" s="505"/>
    </row>
    <row r="185" spans="1:60" s="38" customFormat="1" ht="15" customHeight="1">
      <c r="A185" s="91">
        <v>20</v>
      </c>
      <c r="B185" s="192">
        <v>967</v>
      </c>
      <c r="C185" s="177" t="s">
        <v>61</v>
      </c>
      <c r="D185" s="193">
        <v>25</v>
      </c>
      <c r="E185" s="161">
        <v>89</v>
      </c>
      <c r="F185" s="100">
        <f>SUMIF(pro!$A:$A,$V:$V,pro!$N:$N)</f>
        <v>0</v>
      </c>
      <c r="G185" s="356"/>
      <c r="H185" s="356">
        <f>SUMIF(CBIN!$A:$A,BRAN!$V:$V,CBIN!$G:$G)</f>
        <v>0</v>
      </c>
      <c r="I185" s="100">
        <f>SUMIF(data!$D:$D,$B185&amp;$D185,data!$J:$J)</f>
        <v>52</v>
      </c>
      <c r="J185" s="356">
        <f>SUMIF(data!$D:$D,$B185&amp;$D185,data!$K:$K)</f>
        <v>1300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58"/>
        <v>37</v>
      </c>
      <c r="N185" s="356">
        <f t="shared" si="59"/>
        <v>925</v>
      </c>
      <c r="O185" s="357">
        <f t="shared" si="57"/>
        <v>12775</v>
      </c>
      <c r="P185" s="350"/>
      <c r="Q185" s="350"/>
      <c r="R185" s="350">
        <f>O185/INTGRATE!$N$293</f>
        <v>555.43478260869563</v>
      </c>
      <c r="S185" s="349">
        <f t="shared" si="65"/>
        <v>1.6653620352250491</v>
      </c>
      <c r="T185" s="471"/>
      <c r="U185" s="145"/>
      <c r="V185" s="960" t="str">
        <f t="shared" si="56"/>
        <v>96725</v>
      </c>
      <c r="W185" s="951">
        <v>367201</v>
      </c>
      <c r="X185" s="91">
        <v>0</v>
      </c>
      <c r="Y185" s="91">
        <v>1250</v>
      </c>
      <c r="Z185" s="100">
        <v>250</v>
      </c>
      <c r="AA185" s="100">
        <v>1300</v>
      </c>
      <c r="AB185" s="100"/>
      <c r="AC185" s="100">
        <v>500</v>
      </c>
      <c r="AD185" s="356">
        <v>1000</v>
      </c>
      <c r="AE185" s="100">
        <v>0</v>
      </c>
      <c r="AF185" s="356">
        <v>0</v>
      </c>
      <c r="AG185" s="100">
        <v>0</v>
      </c>
      <c r="AH185" s="100">
        <v>675</v>
      </c>
      <c r="AI185" s="100"/>
      <c r="AJ185" s="100">
        <v>0</v>
      </c>
      <c r="AK185" s="100">
        <v>2000</v>
      </c>
      <c r="AL185" s="100">
        <v>0</v>
      </c>
      <c r="AM185" s="100">
        <v>125</v>
      </c>
      <c r="AN185" s="100">
        <v>1225</v>
      </c>
      <c r="AO185" s="100">
        <v>725</v>
      </c>
      <c r="AP185" s="100"/>
      <c r="AQ185" s="356">
        <v>0</v>
      </c>
      <c r="AR185" s="100">
        <v>0</v>
      </c>
      <c r="AS185" s="100">
        <v>750</v>
      </c>
      <c r="AT185" s="100">
        <v>1175</v>
      </c>
      <c r="AU185" s="356">
        <v>125</v>
      </c>
      <c r="AV185" s="100">
        <v>375</v>
      </c>
      <c r="AW185" s="100"/>
      <c r="AX185" s="100"/>
      <c r="AY185" s="100">
        <v>1300</v>
      </c>
      <c r="AZ185" s="100"/>
      <c r="BA185" s="100"/>
      <c r="BB185" s="100"/>
      <c r="BC185" s="300">
        <f t="shared" si="62"/>
        <v>12775</v>
      </c>
      <c r="BD185" s="896">
        <f t="shared" si="63"/>
        <v>15</v>
      </c>
      <c r="BE185" s="896">
        <f t="shared" si="64"/>
        <v>851.66666666666663</v>
      </c>
      <c r="BH185" s="505"/>
    </row>
    <row r="186" spans="1:60" s="38" customFormat="1" ht="15" customHeight="1">
      <c r="A186" s="91">
        <v>21</v>
      </c>
      <c r="B186" s="192" t="s">
        <v>130</v>
      </c>
      <c r="C186" s="192" t="s">
        <v>61</v>
      </c>
      <c r="D186" s="193">
        <v>25</v>
      </c>
      <c r="E186" s="161">
        <v>263</v>
      </c>
      <c r="F186" s="100">
        <f>SUMIF(pro!$A:$A,$V:$V,pro!$N:$N)</f>
        <v>0</v>
      </c>
      <c r="G186" s="358"/>
      <c r="H186" s="356">
        <f>SUMIF(CBIN!$A:$A,BRAN!$V:$V,CBIN!$G:$G)</f>
        <v>0</v>
      </c>
      <c r="I186" s="100">
        <f>SUMIF(data!$D:$D,$B186&amp;$D186,data!$J:$J)</f>
        <v>40</v>
      </c>
      <c r="J186" s="356">
        <f>SUMIF(data!$D:$D,$B186&amp;$D186,data!$K:$K)</f>
        <v>1000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58"/>
        <v>223</v>
      </c>
      <c r="N186" s="356">
        <f t="shared" si="59"/>
        <v>5575</v>
      </c>
      <c r="O186" s="357">
        <f t="shared" si="57"/>
        <v>18875</v>
      </c>
      <c r="P186" s="350"/>
      <c r="Q186" s="350"/>
      <c r="R186" s="350">
        <f>O186/INTGRATE!$N$293</f>
        <v>820.6521739130435</v>
      </c>
      <c r="S186" s="349">
        <f t="shared" si="65"/>
        <v>6.7933774834437086</v>
      </c>
      <c r="T186" s="474"/>
      <c r="U186" s="145"/>
      <c r="V186" s="960" t="str">
        <f t="shared" si="56"/>
        <v>967S25</v>
      </c>
      <c r="W186" s="951">
        <v>367101</v>
      </c>
      <c r="X186" s="641">
        <v>5250</v>
      </c>
      <c r="Y186" s="641">
        <v>0</v>
      </c>
      <c r="Z186" s="100">
        <v>0</v>
      </c>
      <c r="AA186" s="100">
        <v>0</v>
      </c>
      <c r="AB186" s="100"/>
      <c r="AC186" s="100">
        <v>0</v>
      </c>
      <c r="AD186" s="356">
        <v>1750</v>
      </c>
      <c r="AE186" s="100">
        <v>1750</v>
      </c>
      <c r="AF186" s="356">
        <v>0</v>
      </c>
      <c r="AG186" s="100">
        <v>2000</v>
      </c>
      <c r="AH186" s="100">
        <v>0</v>
      </c>
      <c r="AI186" s="100"/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/>
      <c r="AQ186" s="356">
        <v>250</v>
      </c>
      <c r="AR186" s="100">
        <v>5000</v>
      </c>
      <c r="AS186" s="100">
        <v>0</v>
      </c>
      <c r="AT186" s="100">
        <v>1875</v>
      </c>
      <c r="AU186" s="356">
        <v>0</v>
      </c>
      <c r="AV186" s="100">
        <v>0</v>
      </c>
      <c r="AW186" s="100"/>
      <c r="AX186" s="100"/>
      <c r="AY186" s="100">
        <v>1000</v>
      </c>
      <c r="AZ186" s="100"/>
      <c r="BA186" s="100"/>
      <c r="BB186" s="100"/>
      <c r="BC186" s="300">
        <f t="shared" si="62"/>
        <v>18875</v>
      </c>
      <c r="BD186" s="896">
        <f t="shared" si="63"/>
        <v>8</v>
      </c>
      <c r="BE186" s="896">
        <f t="shared" si="64"/>
        <v>2359.375</v>
      </c>
      <c r="BF186" s="85"/>
      <c r="BH186" s="505"/>
    </row>
    <row r="187" spans="1:60" s="38" customFormat="1" ht="15" customHeight="1">
      <c r="A187" s="91">
        <v>22</v>
      </c>
      <c r="B187" s="183" t="s">
        <v>140</v>
      </c>
      <c r="C187" s="183" t="s">
        <v>61</v>
      </c>
      <c r="D187" s="183">
        <v>25</v>
      </c>
      <c r="E187" s="358">
        <v>0</v>
      </c>
      <c r="F187" s="100">
        <f>SUMIF(pro!$A:$A,$V:$V,pro!$N:$N)</f>
        <v>0</v>
      </c>
      <c r="G187" s="358"/>
      <c r="H187" s="356">
        <f>SUMIF(CBIN!$A:$A,BRAN!$V:$V,CBIN!$G:$G)</f>
        <v>0</v>
      </c>
      <c r="I187" s="100">
        <f>SUMIF(data!$D:$D,$B187&amp;$D187,data!$J:$J)</f>
        <v>0</v>
      </c>
      <c r="J187" s="356">
        <f>SUMIF(data!$D:$D,$B187&amp;$D187,data!$K:$K)</f>
        <v>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58"/>
        <v>0</v>
      </c>
      <c r="N187" s="356">
        <f t="shared" si="59"/>
        <v>0</v>
      </c>
      <c r="O187" s="357">
        <f t="shared" si="57"/>
        <v>0</v>
      </c>
      <c r="P187" s="350"/>
      <c r="Q187" s="350"/>
      <c r="R187" s="350">
        <f>O187/INTGRATE!$N$293</f>
        <v>0</v>
      </c>
      <c r="S187" s="349">
        <f t="shared" si="65"/>
        <v>0</v>
      </c>
      <c r="T187" s="472"/>
      <c r="U187" s="145"/>
      <c r="V187" s="960" t="str">
        <f t="shared" si="56"/>
        <v>985S25</v>
      </c>
      <c r="W187" s="951">
        <v>433011</v>
      </c>
      <c r="X187" s="641">
        <v>0</v>
      </c>
      <c r="Y187" s="641">
        <v>0</v>
      </c>
      <c r="Z187" s="100">
        <v>0</v>
      </c>
      <c r="AA187" s="100">
        <v>0</v>
      </c>
      <c r="AB187" s="100"/>
      <c r="AC187" s="100">
        <v>0</v>
      </c>
      <c r="AD187" s="356">
        <v>0</v>
      </c>
      <c r="AE187" s="100">
        <v>0</v>
      </c>
      <c r="AF187" s="356">
        <v>0</v>
      </c>
      <c r="AG187" s="100">
        <v>0</v>
      </c>
      <c r="AH187" s="100">
        <v>0</v>
      </c>
      <c r="AI187" s="100"/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/>
      <c r="AQ187" s="356">
        <v>0</v>
      </c>
      <c r="AR187" s="100">
        <v>0</v>
      </c>
      <c r="AS187" s="100">
        <v>0</v>
      </c>
      <c r="AT187" s="100">
        <v>0</v>
      </c>
      <c r="AU187" s="356">
        <v>0</v>
      </c>
      <c r="AV187" s="100">
        <v>0</v>
      </c>
      <c r="AW187" s="100"/>
      <c r="AX187" s="100"/>
      <c r="AY187" s="100">
        <v>0</v>
      </c>
      <c r="AZ187" s="100"/>
      <c r="BA187" s="100"/>
      <c r="BB187" s="100"/>
      <c r="BC187" s="300">
        <f t="shared" si="62"/>
        <v>0</v>
      </c>
      <c r="BD187" s="896">
        <f t="shared" si="63"/>
        <v>0</v>
      </c>
      <c r="BE187" s="896">
        <f t="shared" si="64"/>
        <v>0</v>
      </c>
      <c r="BH187" s="505"/>
    </row>
    <row r="188" spans="1:60" s="38" customFormat="1" ht="15" customHeight="1">
      <c r="A188" s="91">
        <v>23</v>
      </c>
      <c r="B188" s="183">
        <v>996</v>
      </c>
      <c r="C188" s="479" t="s">
        <v>61</v>
      </c>
      <c r="D188" s="183">
        <v>25</v>
      </c>
      <c r="E188" s="358">
        <v>0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>E188+F188+H188-I188-L188+G188-K188</f>
        <v>0</v>
      </c>
      <c r="N188" s="356">
        <f t="shared" si="59"/>
        <v>0</v>
      </c>
      <c r="O188" s="357">
        <f t="shared" si="57"/>
        <v>0</v>
      </c>
      <c r="P188" s="350"/>
      <c r="Q188" s="350"/>
      <c r="R188" s="350">
        <f>O188/INTGRATE!$N$293</f>
        <v>0</v>
      </c>
      <c r="S188" s="349">
        <f t="shared" si="65"/>
        <v>0</v>
      </c>
      <c r="T188" s="474"/>
      <c r="U188" s="145"/>
      <c r="V188" s="960" t="str">
        <f t="shared" si="56"/>
        <v>99625</v>
      </c>
      <c r="W188" s="943">
        <v>424001</v>
      </c>
      <c r="X188" s="641">
        <v>0</v>
      </c>
      <c r="Y188" s="641">
        <v>0</v>
      </c>
      <c r="Z188" s="100">
        <v>0</v>
      </c>
      <c r="AA188" s="100">
        <v>0</v>
      </c>
      <c r="AB188" s="100"/>
      <c r="AC188" s="100">
        <v>0</v>
      </c>
      <c r="AD188" s="356">
        <v>0</v>
      </c>
      <c r="AE188" s="100">
        <v>0</v>
      </c>
      <c r="AF188" s="356">
        <v>0</v>
      </c>
      <c r="AG188" s="100">
        <v>0</v>
      </c>
      <c r="AH188" s="100">
        <v>0</v>
      </c>
      <c r="AI188" s="100"/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/>
      <c r="AQ188" s="356">
        <v>0</v>
      </c>
      <c r="AR188" s="100">
        <v>0</v>
      </c>
      <c r="AS188" s="100">
        <v>0</v>
      </c>
      <c r="AT188" s="100">
        <v>0</v>
      </c>
      <c r="AU188" s="356">
        <v>0</v>
      </c>
      <c r="AV188" s="100">
        <v>0</v>
      </c>
      <c r="AW188" s="100"/>
      <c r="AX188" s="100"/>
      <c r="AY188" s="100">
        <v>0</v>
      </c>
      <c r="AZ188" s="100"/>
      <c r="BA188" s="100"/>
      <c r="BB188" s="100"/>
      <c r="BC188" s="300">
        <f t="shared" si="62"/>
        <v>0</v>
      </c>
      <c r="BD188" s="896">
        <f t="shared" si="63"/>
        <v>0</v>
      </c>
      <c r="BE188" s="896">
        <f t="shared" si="64"/>
        <v>0</v>
      </c>
      <c r="BH188" s="505"/>
    </row>
    <row r="189" spans="1:60" s="38" customFormat="1">
      <c r="A189" s="91">
        <v>24</v>
      </c>
      <c r="B189" s="183">
        <v>995</v>
      </c>
      <c r="C189" s="479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>E189+F189+H189-I189-L189+G189-K189</f>
        <v>0</v>
      </c>
      <c r="N189" s="356">
        <f t="shared" si="59"/>
        <v>0</v>
      </c>
      <c r="O189" s="357">
        <f t="shared" si="57"/>
        <v>0</v>
      </c>
      <c r="P189" s="350"/>
      <c r="Q189" s="350"/>
      <c r="R189" s="350">
        <f>O189/INTGRATE!$N$293</f>
        <v>0</v>
      </c>
      <c r="S189" s="349">
        <f t="shared" si="65"/>
        <v>0</v>
      </c>
      <c r="T189" s="474"/>
      <c r="U189" s="145"/>
      <c r="V189" s="960" t="str">
        <f t="shared" si="56"/>
        <v>99525</v>
      </c>
      <c r="W189" s="951">
        <v>423001</v>
      </c>
      <c r="X189" s="641">
        <v>0</v>
      </c>
      <c r="Y189" s="641">
        <v>0</v>
      </c>
      <c r="Z189" s="100">
        <v>0</v>
      </c>
      <c r="AA189" s="100">
        <v>0</v>
      </c>
      <c r="AB189" s="100"/>
      <c r="AC189" s="100">
        <v>0</v>
      </c>
      <c r="AD189" s="356">
        <v>0</v>
      </c>
      <c r="AE189" s="100">
        <v>0</v>
      </c>
      <c r="AF189" s="356">
        <v>0</v>
      </c>
      <c r="AG189" s="100">
        <v>0</v>
      </c>
      <c r="AH189" s="100">
        <v>0</v>
      </c>
      <c r="AI189" s="100"/>
      <c r="AJ189" s="100">
        <v>0</v>
      </c>
      <c r="AK189" s="100">
        <v>0</v>
      </c>
      <c r="AL189" s="100">
        <v>0</v>
      </c>
      <c r="AM189" s="100">
        <v>0</v>
      </c>
      <c r="AN189" s="100">
        <v>0</v>
      </c>
      <c r="AO189" s="100">
        <v>0</v>
      </c>
      <c r="AP189" s="100"/>
      <c r="AQ189" s="356">
        <v>0</v>
      </c>
      <c r="AR189" s="100">
        <v>0</v>
      </c>
      <c r="AS189" s="100">
        <v>0</v>
      </c>
      <c r="AT189" s="100">
        <v>0</v>
      </c>
      <c r="AU189" s="356">
        <v>0</v>
      </c>
      <c r="AV189" s="100">
        <v>0</v>
      </c>
      <c r="AW189" s="100"/>
      <c r="AX189" s="100"/>
      <c r="AY189" s="100">
        <v>0</v>
      </c>
      <c r="AZ189" s="100"/>
      <c r="BA189" s="100"/>
      <c r="BB189" s="100"/>
      <c r="BC189" s="300">
        <f t="shared" si="62"/>
        <v>0</v>
      </c>
      <c r="BD189" s="896">
        <f t="shared" si="63"/>
        <v>0</v>
      </c>
      <c r="BE189" s="896">
        <f t="shared" si="64"/>
        <v>0</v>
      </c>
      <c r="BH189" s="505"/>
    </row>
    <row r="190" spans="1:60" s="38" customFormat="1" ht="15" customHeight="1">
      <c r="A190" s="91">
        <v>25</v>
      </c>
      <c r="B190" s="517" t="s">
        <v>679</v>
      </c>
      <c r="C190" s="517" t="s">
        <v>61</v>
      </c>
      <c r="D190" s="518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 t="shared" si="58"/>
        <v>0</v>
      </c>
      <c r="N190" s="356">
        <f t="shared" si="59"/>
        <v>0</v>
      </c>
      <c r="O190" s="357">
        <f t="shared" si="57"/>
        <v>0</v>
      </c>
      <c r="P190" s="350"/>
      <c r="Q190" s="350"/>
      <c r="R190" s="350">
        <f>O190/INTGRATE!$N$293</f>
        <v>0</v>
      </c>
      <c r="S190" s="349">
        <f t="shared" si="65"/>
        <v>0</v>
      </c>
      <c r="T190" s="531"/>
      <c r="U190" s="145"/>
      <c r="V190" s="960" t="str">
        <f t="shared" si="56"/>
        <v>991-1425</v>
      </c>
      <c r="W190" s="951">
        <v>513001</v>
      </c>
      <c r="X190" s="641">
        <v>0</v>
      </c>
      <c r="Y190" s="641">
        <v>0</v>
      </c>
      <c r="Z190" s="100">
        <v>0</v>
      </c>
      <c r="AA190" s="100">
        <v>0</v>
      </c>
      <c r="AB190" s="100"/>
      <c r="AC190" s="100">
        <v>0</v>
      </c>
      <c r="AD190" s="356">
        <v>0</v>
      </c>
      <c r="AE190" s="100">
        <v>0</v>
      </c>
      <c r="AF190" s="356">
        <v>0</v>
      </c>
      <c r="AG190" s="100">
        <v>0</v>
      </c>
      <c r="AH190" s="100">
        <v>0</v>
      </c>
      <c r="AI190" s="100"/>
      <c r="AJ190" s="100">
        <v>0</v>
      </c>
      <c r="AK190" s="100">
        <v>0</v>
      </c>
      <c r="AL190" s="100">
        <v>0</v>
      </c>
      <c r="AM190" s="100">
        <v>0</v>
      </c>
      <c r="AN190" s="100">
        <v>0</v>
      </c>
      <c r="AO190" s="100">
        <v>0</v>
      </c>
      <c r="AP190" s="100"/>
      <c r="AQ190" s="356">
        <v>0</v>
      </c>
      <c r="AR190" s="100">
        <v>0</v>
      </c>
      <c r="AS190" s="100">
        <v>0</v>
      </c>
      <c r="AT190" s="100">
        <v>0</v>
      </c>
      <c r="AU190" s="356">
        <v>0</v>
      </c>
      <c r="AV190" s="100">
        <v>0</v>
      </c>
      <c r="AW190" s="100"/>
      <c r="AX190" s="100"/>
      <c r="AY190" s="100">
        <v>0</v>
      </c>
      <c r="AZ190" s="100"/>
      <c r="BA190" s="100"/>
      <c r="BB190" s="100"/>
      <c r="BC190" s="300">
        <f t="shared" si="62"/>
        <v>0</v>
      </c>
      <c r="BD190" s="896">
        <f t="shared" si="63"/>
        <v>0</v>
      </c>
      <c r="BE190" s="896">
        <f t="shared" si="64"/>
        <v>0</v>
      </c>
      <c r="BH190" s="505"/>
    </row>
    <row r="191" spans="1:60" s="38" customFormat="1" ht="15" customHeight="1">
      <c r="A191" s="91">
        <v>26</v>
      </c>
      <c r="B191" s="517" t="s">
        <v>820</v>
      </c>
      <c r="C191" s="517" t="s">
        <v>61</v>
      </c>
      <c r="D191" s="518">
        <v>25</v>
      </c>
      <c r="E191" s="358">
        <v>190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5</v>
      </c>
      <c r="J191" s="356">
        <f>SUMIF(data!$D:$D,$B191&amp;$D191,data!$K:$K)</f>
        <v>125</v>
      </c>
      <c r="K191" s="356">
        <f>SUMIF(AJOUT!$A:$A,BRAN!$V:$V,AJOUT!$L:$L)</f>
        <v>0</v>
      </c>
      <c r="L191" s="356">
        <f>SUMIF(CBOUT!$A:$A,BRAN!$V:$V,CBOUT!$G:$G)</f>
        <v>0</v>
      </c>
      <c r="M191" s="540">
        <f t="shared" si="58"/>
        <v>185</v>
      </c>
      <c r="N191" s="356">
        <f t="shared" si="59"/>
        <v>4625</v>
      </c>
      <c r="O191" s="357">
        <f t="shared" si="57"/>
        <v>9600</v>
      </c>
      <c r="P191" s="350"/>
      <c r="Q191" s="350"/>
      <c r="R191" s="350">
        <f>O191/INTGRATE!$N$293</f>
        <v>417.39130434782606</v>
      </c>
      <c r="S191" s="349">
        <f t="shared" si="65"/>
        <v>11.080729166666668</v>
      </c>
      <c r="T191" s="531"/>
      <c r="U191" s="145"/>
      <c r="V191" s="960" t="str">
        <f t="shared" si="56"/>
        <v>991-1825</v>
      </c>
      <c r="W191" s="951">
        <v>511001</v>
      </c>
      <c r="X191" s="641">
        <v>0</v>
      </c>
      <c r="Y191" s="641">
        <v>0</v>
      </c>
      <c r="Z191" s="100">
        <v>125</v>
      </c>
      <c r="AA191" s="100">
        <v>975</v>
      </c>
      <c r="AB191" s="100"/>
      <c r="AC191" s="100">
        <v>325</v>
      </c>
      <c r="AD191" s="356">
        <v>0</v>
      </c>
      <c r="AE191" s="100">
        <v>0</v>
      </c>
      <c r="AF191" s="356">
        <v>1750</v>
      </c>
      <c r="AG191" s="100">
        <v>0</v>
      </c>
      <c r="AH191" s="100">
        <v>250</v>
      </c>
      <c r="AI191" s="100"/>
      <c r="AJ191" s="100">
        <v>1875</v>
      </c>
      <c r="AK191" s="100">
        <v>975</v>
      </c>
      <c r="AL191" s="100">
        <v>250</v>
      </c>
      <c r="AM191" s="100">
        <v>1125</v>
      </c>
      <c r="AN191" s="100">
        <v>1450</v>
      </c>
      <c r="AO191" s="100">
        <v>0</v>
      </c>
      <c r="AP191" s="100"/>
      <c r="AQ191" s="356">
        <v>125</v>
      </c>
      <c r="AR191" s="100">
        <v>0</v>
      </c>
      <c r="AS191" s="100">
        <v>0</v>
      </c>
      <c r="AT191" s="100">
        <v>0</v>
      </c>
      <c r="AU191" s="356">
        <v>0</v>
      </c>
      <c r="AV191" s="100">
        <v>250</v>
      </c>
      <c r="AW191" s="100"/>
      <c r="AX191" s="100"/>
      <c r="AY191" s="100">
        <v>125</v>
      </c>
      <c r="AZ191" s="100"/>
      <c r="BA191" s="100"/>
      <c r="BB191" s="100"/>
      <c r="BC191" s="300">
        <f t="shared" si="62"/>
        <v>9600</v>
      </c>
      <c r="BD191" s="896">
        <f t="shared" si="63"/>
        <v>13</v>
      </c>
      <c r="BE191" s="896">
        <f t="shared" si="64"/>
        <v>738.46153846153845</v>
      </c>
      <c r="BH191" s="505"/>
    </row>
    <row r="192" spans="1:60" s="38" customFormat="1" ht="15" customHeight="1">
      <c r="A192" s="91">
        <v>27</v>
      </c>
      <c r="B192" s="183">
        <v>984</v>
      </c>
      <c r="C192" s="887" t="s">
        <v>61</v>
      </c>
      <c r="D192" s="184">
        <v>25</v>
      </c>
      <c r="E192" s="358">
        <v>131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0</v>
      </c>
      <c r="J192" s="356">
        <f>SUMIF(data!$D:$D,$B192&amp;$D192,data!$K:$K)</f>
        <v>0</v>
      </c>
      <c r="K192" s="356">
        <f>SUMIF(AJOUT!$A:$A,BRAN!$V:$V,AJOUT!$L:$L)</f>
        <v>0</v>
      </c>
      <c r="L192" s="356">
        <f>SUMIF(CBOUT!$A:$A,BRAN!$V:$V,CBOUT!$G:$G)</f>
        <v>0</v>
      </c>
      <c r="M192" s="540">
        <f>E192+F192+H192-I192-L192+G192-K192</f>
        <v>131</v>
      </c>
      <c r="N192" s="356">
        <f t="shared" si="59"/>
        <v>3275</v>
      </c>
      <c r="O192" s="357">
        <f t="shared" si="57"/>
        <v>9325</v>
      </c>
      <c r="P192" s="350"/>
      <c r="Q192" s="350"/>
      <c r="R192" s="350">
        <f>O192/INTGRATE!$N$293</f>
        <v>405.43478260869563</v>
      </c>
      <c r="S192" s="349">
        <f t="shared" si="65"/>
        <v>8.0777479892761406</v>
      </c>
      <c r="T192" s="475"/>
      <c r="U192" s="145"/>
      <c r="V192" s="960" t="str">
        <f t="shared" si="56"/>
        <v>98425</v>
      </c>
      <c r="W192" s="951">
        <v>433001</v>
      </c>
      <c r="X192" s="160">
        <v>0</v>
      </c>
      <c r="Y192" s="160">
        <v>1750</v>
      </c>
      <c r="Z192" s="639">
        <v>0</v>
      </c>
      <c r="AA192" s="639">
        <v>75</v>
      </c>
      <c r="AB192" s="639"/>
      <c r="AC192" s="639">
        <v>750</v>
      </c>
      <c r="AD192" s="356">
        <v>0</v>
      </c>
      <c r="AE192" s="639">
        <v>0</v>
      </c>
      <c r="AF192" s="356">
        <v>0</v>
      </c>
      <c r="AG192" s="639">
        <v>0</v>
      </c>
      <c r="AH192" s="639">
        <v>0</v>
      </c>
      <c r="AI192" s="639"/>
      <c r="AJ192" s="639">
        <v>1500</v>
      </c>
      <c r="AK192" s="639">
        <v>0</v>
      </c>
      <c r="AL192" s="639">
        <v>50</v>
      </c>
      <c r="AM192" s="639">
        <v>0</v>
      </c>
      <c r="AN192" s="639">
        <v>2375</v>
      </c>
      <c r="AO192" s="639">
        <v>0</v>
      </c>
      <c r="AP192" s="639"/>
      <c r="AQ192" s="356">
        <v>2000</v>
      </c>
      <c r="AR192" s="639">
        <v>0</v>
      </c>
      <c r="AS192" s="639"/>
      <c r="AT192" s="639">
        <v>25</v>
      </c>
      <c r="AU192" s="356">
        <v>0</v>
      </c>
      <c r="AV192" s="639">
        <v>800</v>
      </c>
      <c r="AW192" s="639"/>
      <c r="AX192" s="639"/>
      <c r="AY192" s="639">
        <v>0</v>
      </c>
      <c r="AZ192" s="639"/>
      <c r="BA192" s="639"/>
      <c r="BB192" s="639"/>
      <c r="BC192" s="300">
        <f t="shared" si="62"/>
        <v>9325</v>
      </c>
      <c r="BD192" s="896">
        <f t="shared" si="63"/>
        <v>9</v>
      </c>
      <c r="BE192" s="896">
        <f t="shared" si="64"/>
        <v>1036.1111111111111</v>
      </c>
      <c r="BH192" s="505"/>
    </row>
    <row r="193" spans="1:60" s="63" customFormat="1" ht="15" customHeight="1">
      <c r="A193" s="1226" t="s">
        <v>1764</v>
      </c>
      <c r="B193" s="1227"/>
      <c r="C193" s="1227"/>
      <c r="D193" s="1228"/>
      <c r="E193" s="64"/>
      <c r="F193" s="64"/>
      <c r="G193" s="64"/>
      <c r="H193" s="64"/>
      <c r="I193" s="64"/>
      <c r="J193" s="64"/>
      <c r="K193" s="64"/>
      <c r="L193" s="64"/>
      <c r="M193" s="541"/>
      <c r="N193" s="64"/>
      <c r="O193" s="64"/>
      <c r="P193" s="64"/>
      <c r="Q193" s="64"/>
      <c r="R193" s="64"/>
      <c r="S193" s="82"/>
      <c r="T193" s="1232"/>
      <c r="U193" s="140"/>
      <c r="V193" s="960" t="str">
        <f t="shared" si="56"/>
        <v/>
      </c>
      <c r="W193" s="951"/>
      <c r="X193" s="79">
        <f t="shared" ref="X193:BB193" si="66">SUM(X166:X192)</f>
        <v>29150</v>
      </c>
      <c r="Y193" s="79">
        <f t="shared" si="66"/>
        <v>9425</v>
      </c>
      <c r="Z193" s="79">
        <f t="shared" si="66"/>
        <v>52150</v>
      </c>
      <c r="AA193" s="79">
        <f t="shared" si="66"/>
        <v>30225</v>
      </c>
      <c r="AB193" s="79">
        <f t="shared" si="66"/>
        <v>0</v>
      </c>
      <c r="AC193" s="79">
        <f t="shared" si="66"/>
        <v>14200</v>
      </c>
      <c r="AD193" s="79">
        <f t="shared" si="66"/>
        <v>31325</v>
      </c>
      <c r="AE193" s="79">
        <f t="shared" si="66"/>
        <v>16900</v>
      </c>
      <c r="AF193" s="79">
        <f t="shared" si="66"/>
        <v>12050</v>
      </c>
      <c r="AG193" s="79">
        <f t="shared" si="66"/>
        <v>25150</v>
      </c>
      <c r="AH193" s="79">
        <f t="shared" si="66"/>
        <v>14200</v>
      </c>
      <c r="AI193" s="79">
        <f t="shared" si="66"/>
        <v>0</v>
      </c>
      <c r="AJ193" s="79">
        <f t="shared" si="66"/>
        <v>6725</v>
      </c>
      <c r="AK193" s="79">
        <f t="shared" si="66"/>
        <v>26875</v>
      </c>
      <c r="AL193" s="79">
        <f t="shared" si="66"/>
        <v>11475</v>
      </c>
      <c r="AM193" s="79">
        <f t="shared" si="66"/>
        <v>3750</v>
      </c>
      <c r="AN193" s="79">
        <f t="shared" si="66"/>
        <v>18950</v>
      </c>
      <c r="AO193" s="79">
        <f t="shared" si="66"/>
        <v>20375</v>
      </c>
      <c r="AP193" s="79">
        <f t="shared" si="66"/>
        <v>0</v>
      </c>
      <c r="AQ193" s="79">
        <f t="shared" si="66"/>
        <v>16900</v>
      </c>
      <c r="AR193" s="79">
        <f t="shared" si="66"/>
        <v>39300</v>
      </c>
      <c r="AS193" s="79">
        <f t="shared" si="66"/>
        <v>18725</v>
      </c>
      <c r="AT193" s="79">
        <f t="shared" si="66"/>
        <v>22300</v>
      </c>
      <c r="AU193" s="79">
        <f t="shared" si="66"/>
        <v>10800</v>
      </c>
      <c r="AV193" s="79">
        <f t="shared" si="66"/>
        <v>17100</v>
      </c>
      <c r="AW193" s="79">
        <f t="shared" si="66"/>
        <v>0</v>
      </c>
      <c r="AX193" s="79">
        <f t="shared" si="66"/>
        <v>0</v>
      </c>
      <c r="AY193" s="79">
        <f t="shared" si="66"/>
        <v>42575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608">
        <f>SUM(X193:BB193)</f>
        <v>490625</v>
      </c>
      <c r="BD193" s="899"/>
      <c r="BE193" s="899"/>
      <c r="BH193" s="506"/>
    </row>
    <row r="194" spans="1:60" s="63" customFormat="1" ht="15" customHeight="1">
      <c r="A194" s="1226" t="s">
        <v>1740</v>
      </c>
      <c r="B194" s="1227"/>
      <c r="C194" s="1227"/>
      <c r="D194" s="1228"/>
      <c r="E194" s="64">
        <f>SUM(E166:E173,E176:E192)</f>
        <v>3492</v>
      </c>
      <c r="F194" s="64">
        <f>SUM(F166:F173,F176:F192)</f>
        <v>437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1703</v>
      </c>
      <c r="J194" s="64">
        <f t="shared" si="67"/>
        <v>42575</v>
      </c>
      <c r="K194" s="64">
        <f t="shared" si="67"/>
        <v>0</v>
      </c>
      <c r="L194" s="64">
        <f t="shared" si="67"/>
        <v>0</v>
      </c>
      <c r="M194" s="64">
        <f t="shared" si="67"/>
        <v>2226</v>
      </c>
      <c r="N194" s="64">
        <f t="shared" si="67"/>
        <v>55650</v>
      </c>
      <c r="O194" s="64">
        <f t="shared" si="67"/>
        <v>490625</v>
      </c>
      <c r="P194" s="64">
        <f t="shared" si="67"/>
        <v>55650</v>
      </c>
      <c r="Q194" s="64">
        <f t="shared" si="67"/>
        <v>490625</v>
      </c>
      <c r="R194" s="64">
        <f t="shared" si="67"/>
        <v>21331.52173913044</v>
      </c>
      <c r="S194" s="64">
        <f>SUM(S166:S172,S176:S192)</f>
        <v>45.571449062831839</v>
      </c>
      <c r="T194" s="1233"/>
      <c r="U194" s="140">
        <f>SUM(U166:U168,U176:U192)*25</f>
        <v>0</v>
      </c>
      <c r="V194" s="960" t="str">
        <f t="shared" si="56"/>
        <v/>
      </c>
      <c r="W194" s="95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506"/>
    </row>
    <row r="195" spans="1:60" s="63" customFormat="1" ht="15" customHeight="1">
      <c r="A195" s="1226" t="s">
        <v>1765</v>
      </c>
      <c r="B195" s="1227"/>
      <c r="C195" s="1227"/>
      <c r="D195" s="1228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545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233"/>
      <c r="U195" s="155">
        <f>SUM(U174:U175)*40</f>
        <v>0</v>
      </c>
      <c r="V195" s="954" t="str">
        <f t="shared" si="56"/>
        <v/>
      </c>
      <c r="W195" s="95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506"/>
    </row>
    <row r="196" spans="1:60" s="129" customFormat="1" ht="15" customHeight="1">
      <c r="A196" s="1236" t="s">
        <v>1742</v>
      </c>
      <c r="B196" s="1237"/>
      <c r="C196" s="1237"/>
      <c r="D196" s="1238"/>
      <c r="E196" s="128">
        <f>SUM(E193:E195)</f>
        <v>3492</v>
      </c>
      <c r="F196" s="128">
        <f>SUM(F193:F195)</f>
        <v>437</v>
      </c>
      <c r="G196" s="128">
        <f>SUM(G193:G195)</f>
        <v>0</v>
      </c>
      <c r="H196" s="128">
        <f t="shared" ref="H196:N196" si="69">SUM(H193:H195)</f>
        <v>0</v>
      </c>
      <c r="I196" s="128">
        <f>SUM(I193:I195)</f>
        <v>1703</v>
      </c>
      <c r="J196" s="128">
        <f>SUM(J193:J195)</f>
        <v>42575</v>
      </c>
      <c r="K196" s="128">
        <f>SUM(K193:K195)</f>
        <v>0</v>
      </c>
      <c r="L196" s="128">
        <f t="shared" si="69"/>
        <v>0</v>
      </c>
      <c r="M196" s="546">
        <f t="shared" si="69"/>
        <v>2226</v>
      </c>
      <c r="N196" s="128">
        <f t="shared" si="69"/>
        <v>55650</v>
      </c>
      <c r="O196" s="1239">
        <f>SUM(O166:O192)</f>
        <v>490625</v>
      </c>
      <c r="P196" s="197"/>
      <c r="Q196" s="197"/>
      <c r="R196" s="1222">
        <f>SUM(R166:R192)</f>
        <v>21331.52173913044</v>
      </c>
      <c r="S196" s="1224" t="s">
        <v>43</v>
      </c>
      <c r="T196" s="1233"/>
      <c r="U196" s="147">
        <f>SUM(U166:U192)</f>
        <v>0</v>
      </c>
      <c r="V196" s="954" t="str">
        <f t="shared" si="56"/>
        <v/>
      </c>
      <c r="W196" s="951"/>
      <c r="X196" s="302"/>
      <c r="Y196" s="302"/>
      <c r="Z196" s="302"/>
      <c r="AA196" s="302"/>
      <c r="AB196" s="302"/>
      <c r="AC196" s="302"/>
      <c r="AD196" s="302"/>
      <c r="AE196" s="302"/>
      <c r="AF196" s="302"/>
      <c r="AG196" s="302"/>
      <c r="AH196" s="302"/>
      <c r="AI196" s="302"/>
      <c r="AJ196" s="302"/>
      <c r="AK196" s="302"/>
      <c r="AL196" s="302"/>
      <c r="AM196" s="302"/>
      <c r="AN196" s="302"/>
      <c r="AO196" s="302"/>
      <c r="AP196" s="302"/>
      <c r="AQ196" s="302"/>
      <c r="AR196" s="302"/>
      <c r="AS196" s="302"/>
      <c r="AT196" s="302"/>
      <c r="AU196" s="302"/>
      <c r="AV196" s="302"/>
      <c r="AW196" s="302"/>
      <c r="AX196" s="302"/>
      <c r="AY196" s="302"/>
      <c r="AZ196" s="302"/>
      <c r="BA196" s="302"/>
      <c r="BB196" s="302"/>
      <c r="BC196" s="421"/>
      <c r="BD196" s="421"/>
      <c r="BE196" s="421"/>
      <c r="BH196" s="506"/>
    </row>
    <row r="197" spans="1:60" s="86" customFormat="1" ht="15" customHeight="1">
      <c r="A197" s="1226" t="s">
        <v>1743</v>
      </c>
      <c r="B197" s="1227"/>
      <c r="C197" s="1227"/>
      <c r="D197" s="1228"/>
      <c r="E197" s="120">
        <f>SUM(E193:E194)*25+E195*40</f>
        <v>87300</v>
      </c>
      <c r="F197" s="120">
        <f>SUM(F193:F194)*25+F195*40</f>
        <v>10925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42575</v>
      </c>
      <c r="J197" s="120">
        <f>SUM(J193:J194)+J195</f>
        <v>42575</v>
      </c>
      <c r="K197" s="120">
        <f>+K194*25</f>
        <v>0</v>
      </c>
      <c r="L197" s="120">
        <f>SUM(L193:L194)*25+L195*40</f>
        <v>0</v>
      </c>
      <c r="M197" s="547">
        <f>SUM(M193:M194)*25+M195*40</f>
        <v>55650</v>
      </c>
      <c r="N197" s="120">
        <f>SUM(N193:N194)+N195</f>
        <v>55650</v>
      </c>
      <c r="O197" s="1240"/>
      <c r="P197" s="198"/>
      <c r="Q197" s="198"/>
      <c r="R197" s="1223"/>
      <c r="S197" s="1225"/>
      <c r="T197" s="1234"/>
      <c r="U197" s="148">
        <f>SUM(U193:U195)</f>
        <v>0</v>
      </c>
      <c r="V197" s="954" t="str">
        <f t="shared" si="56"/>
        <v/>
      </c>
      <c r="W197" s="95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506"/>
    </row>
    <row r="198" spans="1:60" s="86" customFormat="1" ht="15" customHeight="1">
      <c r="A198" s="310" t="s">
        <v>137</v>
      </c>
      <c r="B198" s="37"/>
      <c r="C198" s="37"/>
      <c r="D198" s="37"/>
      <c r="E198" s="133"/>
      <c r="F198" s="133"/>
      <c r="G198" s="133"/>
      <c r="H198" s="37"/>
      <c r="I198" s="37"/>
      <c r="J198" s="37"/>
      <c r="K198" s="37"/>
      <c r="L198" s="37"/>
      <c r="M198" s="543"/>
      <c r="N198" s="37"/>
      <c r="O198" s="37"/>
      <c r="P198" s="37"/>
      <c r="Q198" s="37"/>
      <c r="R198" s="37"/>
      <c r="S198" s="37"/>
      <c r="T198" s="528"/>
      <c r="U198" s="149"/>
      <c r="V198" s="954" t="str">
        <f t="shared" si="56"/>
        <v/>
      </c>
      <c r="W198" s="95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506"/>
    </row>
    <row r="199" spans="1:60" s="86" customFormat="1" ht="15" customHeight="1">
      <c r="A199" s="310" t="s">
        <v>1694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535"/>
      <c r="N199" s="38"/>
      <c r="O199" s="38"/>
      <c r="P199" s="38"/>
      <c r="Q199" s="38"/>
      <c r="R199" s="38"/>
      <c r="S199" s="38"/>
      <c r="T199" s="529"/>
      <c r="U199" s="137"/>
      <c r="V199" s="954" t="str">
        <f t="shared" si="56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1695</v>
      </c>
      <c r="B200" s="430"/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544"/>
      <c r="N200" s="430"/>
      <c r="O200" s="430"/>
      <c r="P200" s="430"/>
      <c r="Q200" s="430"/>
      <c r="R200" s="430"/>
      <c r="S200" s="430"/>
      <c r="T200" s="530"/>
      <c r="U200" s="137"/>
      <c r="V200" s="954" t="str">
        <f t="shared" si="56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38" customFormat="1" ht="15" customHeight="1">
      <c r="A201" s="512" t="s">
        <v>1733</v>
      </c>
      <c r="B201" s="512"/>
      <c r="C201" s="512"/>
      <c r="D201" s="512"/>
      <c r="E201" s="512"/>
      <c r="F201" s="512"/>
      <c r="G201" s="512"/>
      <c r="H201" s="512"/>
      <c r="I201" s="512"/>
      <c r="J201" s="512"/>
      <c r="K201" s="512"/>
      <c r="L201" s="512"/>
      <c r="M201" s="538"/>
      <c r="N201" s="512"/>
      <c r="O201" s="512"/>
      <c r="P201" s="512"/>
      <c r="Q201" s="512"/>
      <c r="R201" s="512"/>
      <c r="S201" s="512"/>
      <c r="T201" s="78"/>
      <c r="U201" s="143"/>
      <c r="V201" s="959" t="str">
        <f t="shared" si="56"/>
        <v/>
      </c>
      <c r="W201" s="94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505"/>
    </row>
    <row r="202" spans="1:60" s="38" customFormat="1" ht="15" customHeight="1">
      <c r="A202" s="513" t="s">
        <v>1768</v>
      </c>
      <c r="B202" s="513"/>
      <c r="C202" s="513"/>
      <c r="D202" s="513"/>
      <c r="E202" s="513"/>
      <c r="F202" s="513"/>
      <c r="G202" s="513"/>
      <c r="H202" s="513"/>
      <c r="I202" s="513"/>
      <c r="J202" s="513"/>
      <c r="K202" s="513"/>
      <c r="L202" s="513"/>
      <c r="M202" s="539"/>
      <c r="N202" s="513"/>
      <c r="O202" s="513"/>
      <c r="P202" s="513"/>
      <c r="Q202" s="513"/>
      <c r="R202" s="513"/>
      <c r="S202" s="513"/>
      <c r="T202" s="476"/>
      <c r="U202" s="144"/>
      <c r="V202" s="959" t="str">
        <f t="shared" si="56"/>
        <v/>
      </c>
      <c r="W202" s="94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505"/>
    </row>
    <row r="203" spans="1:60" s="63" customFormat="1" ht="28.5" customHeight="1">
      <c r="A203" s="1046" t="s">
        <v>1700</v>
      </c>
      <c r="B203" s="1037" t="s">
        <v>1676</v>
      </c>
      <c r="C203" s="1037" t="s">
        <v>1677</v>
      </c>
      <c r="D203" s="1049" t="s">
        <v>1678</v>
      </c>
      <c r="E203" s="61" t="s">
        <v>0</v>
      </c>
      <c r="F203" s="1052" t="s">
        <v>1680</v>
      </c>
      <c r="G203" s="1057"/>
      <c r="H203" s="1053"/>
      <c r="I203" s="1052" t="s">
        <v>1681</v>
      </c>
      <c r="J203" s="1057"/>
      <c r="K203" s="1057"/>
      <c r="L203" s="1057"/>
      <c r="M203" s="1052" t="s">
        <v>1687</v>
      </c>
      <c r="N203" s="1053"/>
      <c r="O203" s="194" t="s">
        <v>1727</v>
      </c>
      <c r="P203" s="194"/>
      <c r="Q203" s="194"/>
      <c r="R203" s="194" t="s">
        <v>1728</v>
      </c>
      <c r="S203" s="1049" t="s">
        <v>1689</v>
      </c>
      <c r="T203" s="1176" t="s">
        <v>1692</v>
      </c>
      <c r="U203" s="1002" t="s">
        <v>1693</v>
      </c>
      <c r="V203" s="950"/>
      <c r="W203" s="95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506"/>
    </row>
    <row r="204" spans="1:60" s="63" customFormat="1" ht="46.5" customHeight="1">
      <c r="A204" s="1047"/>
      <c r="B204" s="1038"/>
      <c r="C204" s="1038"/>
      <c r="D204" s="1050" t="s">
        <v>3</v>
      </c>
      <c r="E204" s="64" t="s">
        <v>1679</v>
      </c>
      <c r="F204" s="783" t="s">
        <v>1682</v>
      </c>
      <c r="G204" s="585" t="s">
        <v>1683</v>
      </c>
      <c r="H204" s="784" t="s">
        <v>1685</v>
      </c>
      <c r="I204" s="1052" t="s">
        <v>1684</v>
      </c>
      <c r="J204" s="1057"/>
      <c r="K204" s="585" t="s">
        <v>1688</v>
      </c>
      <c r="L204" s="784" t="s">
        <v>1686</v>
      </c>
      <c r="M204" s="1052" t="s">
        <v>1732</v>
      </c>
      <c r="N204" s="1053"/>
      <c r="O204" s="787" t="s">
        <v>1730</v>
      </c>
      <c r="P204" s="195"/>
      <c r="Q204" s="195"/>
      <c r="R204" s="787" t="s">
        <v>1731</v>
      </c>
      <c r="S204" s="1050"/>
      <c r="T204" s="1177"/>
      <c r="U204" s="1003"/>
      <c r="V204" s="950" t="str">
        <f t="shared" ref="V204:V221" si="70">B204&amp;D204</f>
        <v>SIZE</v>
      </c>
      <c r="W204" s="95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506"/>
    </row>
    <row r="205" spans="1:60" s="63" customFormat="1" ht="20.25" customHeight="1">
      <c r="A205" s="1048"/>
      <c r="B205" s="1039"/>
      <c r="C205" s="1039"/>
      <c r="D205" s="1051" t="s">
        <v>6</v>
      </c>
      <c r="E205" s="64" t="s">
        <v>1674</v>
      </c>
      <c r="F205" s="64" t="s">
        <v>1674</v>
      </c>
      <c r="G205" s="64" t="s">
        <v>1674</v>
      </c>
      <c r="H205" s="64" t="s">
        <v>1674</v>
      </c>
      <c r="I205" s="64" t="s">
        <v>1674</v>
      </c>
      <c r="J205" s="64" t="s">
        <v>6</v>
      </c>
      <c r="K205" s="64" t="s">
        <v>1674</v>
      </c>
      <c r="L205" s="64" t="s">
        <v>1674</v>
      </c>
      <c r="M205" s="64" t="s">
        <v>1674</v>
      </c>
      <c r="N205" s="65" t="s">
        <v>6</v>
      </c>
      <c r="O205" s="65" t="s">
        <v>6</v>
      </c>
      <c r="P205" s="196"/>
      <c r="Q205" s="196"/>
      <c r="R205" s="65" t="s">
        <v>1729</v>
      </c>
      <c r="S205" s="1051"/>
      <c r="T205" s="1178"/>
      <c r="U205" s="788" t="s">
        <v>1674</v>
      </c>
      <c r="V205" s="955" t="str">
        <f t="shared" si="70"/>
        <v>(Kg)</v>
      </c>
      <c r="W205" s="951"/>
      <c r="X205" s="340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13</v>
      </c>
      <c r="BD205" s="895" t="s">
        <v>1931</v>
      </c>
      <c r="BE205" s="895" t="s">
        <v>1930</v>
      </c>
      <c r="BH205" s="506"/>
    </row>
    <row r="206" spans="1:60" s="38" customFormat="1" ht="15" customHeight="1">
      <c r="A206" s="68">
        <v>1</v>
      </c>
      <c r="B206" s="200" t="s">
        <v>1369</v>
      </c>
      <c r="C206" s="410" t="s">
        <v>39</v>
      </c>
      <c r="D206" s="201">
        <v>25</v>
      </c>
      <c r="E206" s="540">
        <v>0</v>
      </c>
      <c r="F206" s="100">
        <f>SUMIF(pro!$A:$A,$V:$V,pro!$N:$N)</f>
        <v>0</v>
      </c>
      <c r="G206" s="356"/>
      <c r="H206" s="356">
        <f>SUMIF(CBIN!$A:$A,BRAN!$V:$V,CBIN!$G:$G)</f>
        <v>0</v>
      </c>
      <c r="I206" s="100">
        <f>SUMIF(data!$D:$D,$B206&amp;$D206,data!$J:$J)</f>
        <v>0</v>
      </c>
      <c r="J206" s="356">
        <f>SUMIF(data!$D:$D,$B206&amp;$D206,data!$K:$K)</f>
        <v>0</v>
      </c>
      <c r="K206" s="356">
        <f>SUMIF(AJOUT!$A:$A,BRAN!$V:$V,AJOUT!$L:$L)</f>
        <v>0</v>
      </c>
      <c r="L206" s="356">
        <f>SUMIF(CBOUT!$A:$A,BRAN!$V:$V,CBOUT!$G:$G)</f>
        <v>0</v>
      </c>
      <c r="M206" s="540">
        <f>E206+F206+H206-I206-L206+G206-K206</f>
        <v>0</v>
      </c>
      <c r="N206" s="356">
        <f>+M206*D206</f>
        <v>0</v>
      </c>
      <c r="O206" s="357">
        <f t="shared" ref="O206:O275" si="71">SUM(X206:BB206)</f>
        <v>0</v>
      </c>
      <c r="P206" s="355">
        <f>SUM(N233:N243,N206:N207,N216,N232)+N227+N228+N209</f>
        <v>15575</v>
      </c>
      <c r="Q206" s="355">
        <f>SUM(O233:O243,O206:O207,O216,O232)+O227+O228+O209</f>
        <v>403945</v>
      </c>
      <c r="R206" s="350">
        <f>O206/INTGRATE!$N$293</f>
        <v>0</v>
      </c>
      <c r="S206" s="349">
        <f t="shared" ref="S206:S212" si="72">IF(R206=0,0,N206/R206)</f>
        <v>0</v>
      </c>
      <c r="T206" s="677"/>
      <c r="U206" s="145"/>
      <c r="V206" s="960" t="str">
        <f t="shared" si="70"/>
        <v>GD0425</v>
      </c>
      <c r="W206" s="943">
        <v>127000</v>
      </c>
      <c r="X206" s="456">
        <v>0</v>
      </c>
      <c r="Y206" s="456">
        <v>0</v>
      </c>
      <c r="Z206" s="100">
        <v>0</v>
      </c>
      <c r="AA206" s="100">
        <v>0</v>
      </c>
      <c r="AB206" s="100"/>
      <c r="AC206" s="100">
        <v>0</v>
      </c>
      <c r="AD206" s="100">
        <v>0</v>
      </c>
      <c r="AE206" s="100">
        <v>0</v>
      </c>
      <c r="AF206" s="100">
        <v>0</v>
      </c>
      <c r="AG206" s="356">
        <v>0</v>
      </c>
      <c r="AH206" s="100">
        <v>0</v>
      </c>
      <c r="AI206" s="100"/>
      <c r="AJ206" s="100">
        <v>0</v>
      </c>
      <c r="AK206" s="356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/>
      <c r="AQ206" s="356">
        <v>0</v>
      </c>
      <c r="AR206" s="100">
        <v>0</v>
      </c>
      <c r="AS206" s="100">
        <v>0</v>
      </c>
      <c r="AT206" s="100">
        <v>0</v>
      </c>
      <c r="AU206" s="356">
        <v>0</v>
      </c>
      <c r="AV206" s="100">
        <v>0</v>
      </c>
      <c r="AW206" s="100"/>
      <c r="AX206" s="100"/>
      <c r="AY206" s="100">
        <v>0</v>
      </c>
      <c r="AZ206" s="100"/>
      <c r="BA206" s="100"/>
      <c r="BB206" s="100"/>
      <c r="BC206" s="298">
        <f t="shared" ref="BC206:BC276" si="73">SUM(X206:BB206)</f>
        <v>0</v>
      </c>
      <c r="BD206" s="896">
        <f>COUNTIF(X206:BB206,"&gt;0")</f>
        <v>0</v>
      </c>
      <c r="BE206" s="896">
        <f>IFERROR(BC206/BD206,0)</f>
        <v>0</v>
      </c>
      <c r="BH206" s="505"/>
    </row>
    <row r="207" spans="1:60" s="38" customFormat="1" ht="15" customHeight="1">
      <c r="A207" s="68">
        <v>2</v>
      </c>
      <c r="B207" s="200" t="s">
        <v>1369</v>
      </c>
      <c r="C207" s="410" t="s">
        <v>39</v>
      </c>
      <c r="D207" s="599" t="s">
        <v>901</v>
      </c>
      <c r="E207" s="540">
        <v>0</v>
      </c>
      <c r="F207" s="100">
        <f>+J207</f>
        <v>0</v>
      </c>
      <c r="G207" s="356"/>
      <c r="H207" s="356"/>
      <c r="I207" s="100">
        <f>SUMIF(data!$D:$D,$B207&amp;$D207,data!$J:$J)</f>
        <v>0</v>
      </c>
      <c r="J207" s="356">
        <f>SUMIF(data!$D:$D,$B207&amp;$D207,data!$K:$K)</f>
        <v>0</v>
      </c>
      <c r="K207" s="356"/>
      <c r="L207" s="356"/>
      <c r="M207" s="540">
        <f>E207+F207+H207-I207-L207+G207-K207</f>
        <v>0</v>
      </c>
      <c r="N207" s="356"/>
      <c r="O207" s="357">
        <f t="shared" si="71"/>
        <v>0</v>
      </c>
      <c r="P207" s="355"/>
      <c r="Q207" s="355"/>
      <c r="R207" s="350">
        <f>O207/INTGRATE!$N$293</f>
        <v>0</v>
      </c>
      <c r="S207" s="349">
        <f t="shared" si="72"/>
        <v>0</v>
      </c>
      <c r="T207" s="677"/>
      <c r="U207" s="145"/>
      <c r="V207" s="960" t="str">
        <f t="shared" si="70"/>
        <v>GD04silo</v>
      </c>
      <c r="W207" s="943">
        <v>127000</v>
      </c>
      <c r="X207" s="456">
        <v>0</v>
      </c>
      <c r="Y207" s="456">
        <v>0</v>
      </c>
      <c r="Z207" s="100">
        <v>0</v>
      </c>
      <c r="AA207" s="100">
        <v>0</v>
      </c>
      <c r="AB207" s="100"/>
      <c r="AC207" s="100">
        <v>0</v>
      </c>
      <c r="AD207" s="100">
        <v>0</v>
      </c>
      <c r="AE207" s="100">
        <v>0</v>
      </c>
      <c r="AF207" s="100">
        <v>0</v>
      </c>
      <c r="AG207" s="356">
        <v>0</v>
      </c>
      <c r="AH207" s="100">
        <v>0</v>
      </c>
      <c r="AI207" s="100"/>
      <c r="AJ207" s="100">
        <v>0</v>
      </c>
      <c r="AK207" s="356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/>
      <c r="AQ207" s="356">
        <v>0</v>
      </c>
      <c r="AR207" s="100">
        <v>0</v>
      </c>
      <c r="AS207" s="100">
        <v>0</v>
      </c>
      <c r="AT207" s="100">
        <v>0</v>
      </c>
      <c r="AU207" s="356">
        <v>0</v>
      </c>
      <c r="AV207" s="100">
        <v>0</v>
      </c>
      <c r="AW207" s="100"/>
      <c r="AX207" s="100"/>
      <c r="AY207" s="100">
        <v>0</v>
      </c>
      <c r="AZ207" s="100"/>
      <c r="BA207" s="100"/>
      <c r="BB207" s="100"/>
      <c r="BC207" s="298">
        <f t="shared" si="73"/>
        <v>0</v>
      </c>
      <c r="BD207" s="896">
        <f t="shared" ref="BD207" si="74">COUNTIF(X207:BB207,"&gt;0")</f>
        <v>0</v>
      </c>
      <c r="BE207" s="896">
        <f t="shared" ref="BE207" si="75">IFERROR(BC207/BD207,0)</f>
        <v>0</v>
      </c>
      <c r="BH207" s="505"/>
    </row>
    <row r="208" spans="1:60" s="38" customFormat="1" ht="15" customHeight="1">
      <c r="A208" s="68">
        <v>3</v>
      </c>
      <c r="B208" s="410" t="s">
        <v>1611</v>
      </c>
      <c r="C208" s="410" t="s">
        <v>115</v>
      </c>
      <c r="D208" s="599" t="s">
        <v>901</v>
      </c>
      <c r="E208" s="540">
        <v>0</v>
      </c>
      <c r="F208" s="100">
        <f>+J208</f>
        <v>0</v>
      </c>
      <c r="G208" s="356"/>
      <c r="H208" s="356"/>
      <c r="I208" s="100">
        <f>SUMIF(data!$D:$D,$B208&amp;$D208,data!$J:$J)</f>
        <v>0</v>
      </c>
      <c r="J208" s="356">
        <f>SUMIF(data!$D:$D,$B208&amp;$D208,data!$K:$K)</f>
        <v>0</v>
      </c>
      <c r="K208" s="356">
        <v>0</v>
      </c>
      <c r="L208" s="356">
        <f>SUMIF(CBOUT!$A:$A,BRAN!$V:$V,CBOUT!$G:$G)</f>
        <v>0</v>
      </c>
      <c r="M208" s="540">
        <v>0</v>
      </c>
      <c r="N208" s="356">
        <f t="shared" ref="N208:N210" si="76">M208*25</f>
        <v>0</v>
      </c>
      <c r="O208" s="357">
        <f t="shared" si="71"/>
        <v>0</v>
      </c>
      <c r="P208" s="355"/>
      <c r="Q208" s="355"/>
      <c r="R208" s="350">
        <f>O208/INTGRATE!$N$293</f>
        <v>0</v>
      </c>
      <c r="S208" s="349">
        <f t="shared" si="72"/>
        <v>0</v>
      </c>
      <c r="T208" s="677"/>
      <c r="U208" s="145"/>
      <c r="V208" s="960" t="str">
        <f t="shared" si="70"/>
        <v>GD12silo</v>
      </c>
      <c r="W208" s="943">
        <v>122001</v>
      </c>
      <c r="X208" s="456">
        <v>0</v>
      </c>
      <c r="Y208" s="456">
        <v>0</v>
      </c>
      <c r="Z208" s="100">
        <v>0</v>
      </c>
      <c r="AA208" s="100">
        <v>0</v>
      </c>
      <c r="AB208" s="100"/>
      <c r="AC208" s="100">
        <v>0</v>
      </c>
      <c r="AD208" s="100">
        <v>0</v>
      </c>
      <c r="AE208" s="100">
        <v>0</v>
      </c>
      <c r="AF208" s="100">
        <v>0</v>
      </c>
      <c r="AG208" s="356">
        <v>0</v>
      </c>
      <c r="AH208" s="100">
        <v>0</v>
      </c>
      <c r="AI208" s="100"/>
      <c r="AJ208" s="100">
        <v>0</v>
      </c>
      <c r="AK208" s="356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/>
      <c r="AQ208" s="356">
        <v>0</v>
      </c>
      <c r="AR208" s="100">
        <v>0</v>
      </c>
      <c r="AS208" s="100">
        <v>0</v>
      </c>
      <c r="AT208" s="100">
        <v>0</v>
      </c>
      <c r="AU208" s="356">
        <v>0</v>
      </c>
      <c r="AV208" s="100">
        <v>0</v>
      </c>
      <c r="AW208" s="100"/>
      <c r="AX208" s="100"/>
      <c r="AY208" s="100">
        <v>0</v>
      </c>
      <c r="AZ208" s="100"/>
      <c r="BA208" s="100"/>
      <c r="BB208" s="100"/>
      <c r="BC208" s="298">
        <f t="shared" ref="BC208:BC272" si="77">SUM(X208:BB208)</f>
        <v>0</v>
      </c>
      <c r="BD208" s="896">
        <f t="shared" ref="BD208:BD272" si="78">COUNTIF(X208:BB208,"&gt;0")</f>
        <v>0</v>
      </c>
      <c r="BE208" s="896">
        <f t="shared" ref="BE208:BE272" si="79">IFERROR(BC208/BD208,0)</f>
        <v>0</v>
      </c>
      <c r="BH208" s="505"/>
    </row>
    <row r="209" spans="1:60" s="38" customFormat="1" ht="15" customHeight="1">
      <c r="A209" s="68">
        <v>4</v>
      </c>
      <c r="B209" s="410" t="s">
        <v>1656</v>
      </c>
      <c r="C209" s="410" t="s">
        <v>1504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>
        <f>SUMIF(AJOUT!$A:$A,BRAN!$V:$V,AJOUT!$L:$L)</f>
        <v>0</v>
      </c>
      <c r="L209" s="356">
        <f>SUMIF(CBOUT!$A:$A,BRAN!$V:$V,CBOUT!$G:$G)</f>
        <v>0</v>
      </c>
      <c r="M209" s="540">
        <v>0</v>
      </c>
      <c r="N209" s="356">
        <f t="shared" si="76"/>
        <v>0</v>
      </c>
      <c r="O209" s="357">
        <f t="shared" si="71"/>
        <v>0</v>
      </c>
      <c r="P209" s="355"/>
      <c r="Q209" s="355"/>
      <c r="R209" s="350">
        <f>O209/INTGRATE!$N$293</f>
        <v>0</v>
      </c>
      <c r="S209" s="349">
        <f t="shared" si="72"/>
        <v>0</v>
      </c>
      <c r="T209" s="677"/>
      <c r="U209" s="145"/>
      <c r="V209" s="960" t="str">
        <f t="shared" si="70"/>
        <v>GD11silo</v>
      </c>
      <c r="W209" s="943">
        <v>122001</v>
      </c>
      <c r="X209" s="456">
        <v>0</v>
      </c>
      <c r="Y209" s="456">
        <v>0</v>
      </c>
      <c r="Z209" s="100">
        <v>0</v>
      </c>
      <c r="AA209" s="100">
        <v>0</v>
      </c>
      <c r="AB209" s="100"/>
      <c r="AC209" s="100">
        <v>0</v>
      </c>
      <c r="AD209" s="100">
        <v>0</v>
      </c>
      <c r="AE209" s="100">
        <v>0</v>
      </c>
      <c r="AF209" s="100">
        <v>0</v>
      </c>
      <c r="AG209" s="356">
        <v>0</v>
      </c>
      <c r="AH209" s="100">
        <v>0</v>
      </c>
      <c r="AI209" s="100"/>
      <c r="AJ209" s="100">
        <v>0</v>
      </c>
      <c r="AK209" s="356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/>
      <c r="AQ209" s="356">
        <v>0</v>
      </c>
      <c r="AR209" s="100">
        <v>0</v>
      </c>
      <c r="AS209" s="100">
        <v>0</v>
      </c>
      <c r="AT209" s="100">
        <v>0</v>
      </c>
      <c r="AU209" s="356">
        <v>0</v>
      </c>
      <c r="AV209" s="100">
        <v>0</v>
      </c>
      <c r="AW209" s="100"/>
      <c r="AX209" s="100"/>
      <c r="AY209" s="100">
        <v>0</v>
      </c>
      <c r="AZ209" s="100"/>
      <c r="BA209" s="100"/>
      <c r="BB209" s="100"/>
      <c r="BC209" s="298">
        <f t="shared" si="77"/>
        <v>0</v>
      </c>
      <c r="BD209" s="896">
        <f t="shared" si="78"/>
        <v>0</v>
      </c>
      <c r="BE209" s="896">
        <f t="shared" si="79"/>
        <v>0</v>
      </c>
      <c r="BH209" s="505"/>
    </row>
    <row r="210" spans="1:60" s="38" customFormat="1" ht="15" customHeight="1">
      <c r="A210" s="68">
        <v>5</v>
      </c>
      <c r="B210" s="410" t="s">
        <v>1584</v>
      </c>
      <c r="C210" s="410" t="s">
        <v>115</v>
      </c>
      <c r="D210" s="599" t="s">
        <v>901</v>
      </c>
      <c r="E210" s="540">
        <v>0</v>
      </c>
      <c r="F210" s="100">
        <f>+J210</f>
        <v>0</v>
      </c>
      <c r="G210" s="356"/>
      <c r="H210" s="356">
        <f>SUMIF(CBIN!$A:$A,BRAN!$V:$V,CBIN!$G:$G)</f>
        <v>0</v>
      </c>
      <c r="I210" s="100">
        <f>SUMIF(data!$D:$D,$B210&amp;$D210,data!$J:$J)</f>
        <v>0</v>
      </c>
      <c r="J210" s="356">
        <f>SUMIF(data!$D:$D,$B210&amp;$D210,data!$K:$K)</f>
        <v>0</v>
      </c>
      <c r="K210" s="356">
        <f>SUMIF(AJOUT!$A:$A,BRAN!$V:$V,AJOUT!$L:$L)</f>
        <v>0</v>
      </c>
      <c r="L210" s="356">
        <f>SUMIF(CBOUT!$A:$A,BRAN!$V:$V,CBOUT!$G:$G)</f>
        <v>0</v>
      </c>
      <c r="M210" s="540">
        <v>0</v>
      </c>
      <c r="N210" s="356">
        <f t="shared" si="76"/>
        <v>0</v>
      </c>
      <c r="O210" s="357">
        <f t="shared" si="71"/>
        <v>0</v>
      </c>
      <c r="P210" s="355"/>
      <c r="Q210" s="355"/>
      <c r="R210" s="350">
        <f>O210/INTGRATE!$N$293</f>
        <v>0</v>
      </c>
      <c r="S210" s="349">
        <f t="shared" si="72"/>
        <v>0</v>
      </c>
      <c r="T210" s="677"/>
      <c r="U210" s="145"/>
      <c r="V210" s="960" t="str">
        <f t="shared" si="70"/>
        <v>GD14silo</v>
      </c>
      <c r="W210" s="943">
        <v>127001</v>
      </c>
      <c r="X210" s="456">
        <v>0</v>
      </c>
      <c r="Y210" s="456">
        <v>0</v>
      </c>
      <c r="Z210" s="100">
        <v>0</v>
      </c>
      <c r="AA210" s="100">
        <v>0</v>
      </c>
      <c r="AB210" s="100"/>
      <c r="AC210" s="100">
        <v>0</v>
      </c>
      <c r="AD210" s="100">
        <v>0</v>
      </c>
      <c r="AE210" s="100">
        <v>0</v>
      </c>
      <c r="AF210" s="100">
        <v>0</v>
      </c>
      <c r="AG210" s="356">
        <v>0</v>
      </c>
      <c r="AH210" s="100">
        <v>0</v>
      </c>
      <c r="AI210" s="100"/>
      <c r="AJ210" s="100">
        <v>0</v>
      </c>
      <c r="AK210" s="356">
        <v>0</v>
      </c>
      <c r="AL210" s="100">
        <v>0</v>
      </c>
      <c r="AM210" s="100">
        <v>0</v>
      </c>
      <c r="AN210" s="100">
        <v>0</v>
      </c>
      <c r="AO210" s="100">
        <v>0</v>
      </c>
      <c r="AP210" s="100"/>
      <c r="AQ210" s="356">
        <v>0</v>
      </c>
      <c r="AR210" s="100">
        <v>0</v>
      </c>
      <c r="AS210" s="100">
        <v>0</v>
      </c>
      <c r="AT210" s="100">
        <v>0</v>
      </c>
      <c r="AU210" s="356">
        <v>0</v>
      </c>
      <c r="AV210" s="100">
        <v>0</v>
      </c>
      <c r="AW210" s="100"/>
      <c r="AX210" s="100"/>
      <c r="AY210" s="100">
        <v>0</v>
      </c>
      <c r="AZ210" s="100"/>
      <c r="BA210" s="100"/>
      <c r="BB210" s="100"/>
      <c r="BC210" s="298">
        <f t="shared" si="77"/>
        <v>0</v>
      </c>
      <c r="BD210" s="896">
        <f t="shared" si="78"/>
        <v>0</v>
      </c>
      <c r="BE210" s="896">
        <f t="shared" si="79"/>
        <v>0</v>
      </c>
      <c r="BH210" s="505"/>
    </row>
    <row r="211" spans="1:60" s="38" customFormat="1" ht="15" customHeight="1">
      <c r="A211" s="68">
        <v>6</v>
      </c>
      <c r="B211" s="410" t="s">
        <v>1584</v>
      </c>
      <c r="C211" s="410" t="s">
        <v>115</v>
      </c>
      <c r="D211" s="599">
        <v>25</v>
      </c>
      <c r="E211" s="540">
        <v>3640</v>
      </c>
      <c r="F211" s="100">
        <f>SUMIF(pro!$A:$A,$V:$V,pro!$N:$N)</f>
        <v>0</v>
      </c>
      <c r="G211" s="356"/>
      <c r="H211" s="356">
        <f>SUMIF(CBIN!$A:$A,BRAN!$V:$V,CBIN!$G:$G)</f>
        <v>0</v>
      </c>
      <c r="I211" s="100">
        <f>SUMIF(data!$D:$D,$B211&amp;$D211,data!$J:$J)</f>
        <v>1992</v>
      </c>
      <c r="J211" s="356">
        <f>SUMIF(data!$D:$D,$B211&amp;$D211,data!$K:$K)</f>
        <v>49800</v>
      </c>
      <c r="K211" s="356">
        <f>SUMIF(AJOUT!$A:$A,BRAN!$V:$V,AJOUT!$L:$L)</f>
        <v>0</v>
      </c>
      <c r="L211" s="356">
        <f>SUMIF(CBOUT!$A:$A,BRAN!$V:$V,CBOUT!$G:$G)</f>
        <v>0</v>
      </c>
      <c r="M211" s="540">
        <f>E211+F211+H211-I211-L211+G211-K211</f>
        <v>1648</v>
      </c>
      <c r="N211" s="356">
        <f>+M211*D211</f>
        <v>41200</v>
      </c>
      <c r="O211" s="357">
        <f t="shared" si="71"/>
        <v>284825</v>
      </c>
      <c r="P211" s="355"/>
      <c r="Q211" s="355"/>
      <c r="R211" s="350">
        <f>O211/INTGRATE!$N$293</f>
        <v>12383.695652173914</v>
      </c>
      <c r="S211" s="349">
        <f t="shared" si="72"/>
        <v>3.3269551478978316</v>
      </c>
      <c r="T211" s="677"/>
      <c r="U211" s="145"/>
      <c r="V211" s="960" t="str">
        <f t="shared" si="70"/>
        <v>GD1425</v>
      </c>
      <c r="W211" s="943">
        <v>127001</v>
      </c>
      <c r="X211" s="456">
        <v>0</v>
      </c>
      <c r="Y211" s="456">
        <v>0</v>
      </c>
      <c r="Z211" s="100">
        <v>35000</v>
      </c>
      <c r="AA211" s="100">
        <v>14000</v>
      </c>
      <c r="AB211" s="100"/>
      <c r="AC211" s="100">
        <v>0</v>
      </c>
      <c r="AD211" s="100">
        <v>5000</v>
      </c>
      <c r="AE211" s="100">
        <v>10950</v>
      </c>
      <c r="AF211" s="100">
        <v>3250</v>
      </c>
      <c r="AG211" s="356">
        <v>41300</v>
      </c>
      <c r="AH211" s="100">
        <v>23375</v>
      </c>
      <c r="AI211" s="100"/>
      <c r="AJ211" s="100">
        <v>0</v>
      </c>
      <c r="AK211" s="356">
        <v>0</v>
      </c>
      <c r="AL211" s="100">
        <v>0</v>
      </c>
      <c r="AM211" s="100">
        <v>0</v>
      </c>
      <c r="AN211" s="100">
        <v>9250</v>
      </c>
      <c r="AO211" s="100">
        <v>38000</v>
      </c>
      <c r="AP211" s="100"/>
      <c r="AQ211" s="356">
        <v>25</v>
      </c>
      <c r="AR211" s="100">
        <v>0</v>
      </c>
      <c r="AS211" s="100">
        <v>10825</v>
      </c>
      <c r="AT211" s="100">
        <v>7000</v>
      </c>
      <c r="AU211" s="356">
        <v>0</v>
      </c>
      <c r="AV211" s="100">
        <v>37050</v>
      </c>
      <c r="AW211" s="100"/>
      <c r="AX211" s="100"/>
      <c r="AY211" s="100">
        <v>49800</v>
      </c>
      <c r="AZ211" s="100"/>
      <c r="BA211" s="100"/>
      <c r="BB211" s="100"/>
      <c r="BC211" s="298">
        <f t="shared" si="77"/>
        <v>284825</v>
      </c>
      <c r="BD211" s="896">
        <f t="shared" si="78"/>
        <v>14</v>
      </c>
      <c r="BE211" s="896">
        <f t="shared" si="79"/>
        <v>20344.642857142859</v>
      </c>
      <c r="BH211" s="505"/>
    </row>
    <row r="212" spans="1:60" s="38" customFormat="1" ht="15" customHeight="1">
      <c r="A212" s="68">
        <v>7</v>
      </c>
      <c r="B212" s="410" t="s">
        <v>1953</v>
      </c>
      <c r="C212" s="410" t="s">
        <v>61</v>
      </c>
      <c r="D212" s="599" t="s">
        <v>901</v>
      </c>
      <c r="E212" s="540"/>
      <c r="F212" s="100">
        <f>+J212</f>
        <v>29900</v>
      </c>
      <c r="G212" s="356"/>
      <c r="H212" s="356"/>
      <c r="I212" s="100"/>
      <c r="J212" s="356">
        <f>SUMIF(data!$D:$D,$B212&amp;$D212,data!$K:$K)</f>
        <v>29900</v>
      </c>
      <c r="K212" s="356">
        <f>SUMIF(AJOUT!$A:$A,BRAN!$V:$V,AJOUT!$L:$L)</f>
        <v>0</v>
      </c>
      <c r="L212" s="356">
        <f>SUMIF(CBOUT!$A:$A,BRAN!$V:$V,CBOUT!$G:$G)</f>
        <v>0</v>
      </c>
      <c r="M212" s="540"/>
      <c r="N212" s="356"/>
      <c r="O212" s="357">
        <f>SUM(X212:BB212)</f>
        <v>131540</v>
      </c>
      <c r="P212" s="355"/>
      <c r="Q212" s="355"/>
      <c r="R212" s="350">
        <f>O212/INTGRATE!$N$293</f>
        <v>5719.130434782609</v>
      </c>
      <c r="S212" s="349">
        <f t="shared" si="72"/>
        <v>0</v>
      </c>
      <c r="T212" s="677"/>
      <c r="U212" s="145"/>
      <c r="V212" s="960" t="str">
        <f t="shared" si="70"/>
        <v>GD14Asilo</v>
      </c>
      <c r="W212" s="943">
        <v>127061</v>
      </c>
      <c r="X212" s="456">
        <v>0</v>
      </c>
      <c r="Y212" s="456">
        <v>0</v>
      </c>
      <c r="Z212" s="100">
        <v>0</v>
      </c>
      <c r="AA212" s="100">
        <v>0</v>
      </c>
      <c r="AB212" s="100"/>
      <c r="AC212" s="100">
        <v>0</v>
      </c>
      <c r="AD212" s="100">
        <v>0</v>
      </c>
      <c r="AE212" s="100">
        <v>0</v>
      </c>
      <c r="AF212" s="100">
        <v>0</v>
      </c>
      <c r="AG212" s="356">
        <v>0</v>
      </c>
      <c r="AH212" s="100">
        <v>0</v>
      </c>
      <c r="AI212" s="100"/>
      <c r="AJ212" s="100">
        <v>0</v>
      </c>
      <c r="AK212" s="356">
        <v>0</v>
      </c>
      <c r="AL212" s="100">
        <v>0</v>
      </c>
      <c r="AM212" s="100">
        <v>0</v>
      </c>
      <c r="AN212" s="100">
        <v>0</v>
      </c>
      <c r="AO212" s="100">
        <v>0</v>
      </c>
      <c r="AP212" s="100"/>
      <c r="AQ212" s="356">
        <v>13960</v>
      </c>
      <c r="AR212" s="100">
        <v>15070</v>
      </c>
      <c r="AS212" s="100">
        <v>14970</v>
      </c>
      <c r="AT212" s="100">
        <v>14980</v>
      </c>
      <c r="AU212" s="356">
        <v>14870</v>
      </c>
      <c r="AV212" s="100">
        <v>27790</v>
      </c>
      <c r="AW212" s="100"/>
      <c r="AX212" s="100"/>
      <c r="AY212" s="100">
        <v>29900</v>
      </c>
      <c r="AZ212" s="100"/>
      <c r="BA212" s="100"/>
      <c r="BB212" s="100"/>
      <c r="BC212" s="298">
        <f t="shared" si="77"/>
        <v>131540</v>
      </c>
      <c r="BD212" s="896">
        <f t="shared" si="78"/>
        <v>7</v>
      </c>
      <c r="BE212" s="896">
        <f t="shared" si="79"/>
        <v>18791.428571428572</v>
      </c>
      <c r="BH212" s="505"/>
    </row>
    <row r="213" spans="1:60" s="38" customFormat="1" ht="15" customHeight="1">
      <c r="A213" s="68">
        <v>8</v>
      </c>
      <c r="B213" s="410" t="s">
        <v>2459</v>
      </c>
      <c r="C213" s="410" t="s">
        <v>61</v>
      </c>
      <c r="D213" s="599" t="s">
        <v>901</v>
      </c>
      <c r="E213" s="540"/>
      <c r="F213" s="100">
        <f>+J213</f>
        <v>0</v>
      </c>
      <c r="G213" s="356"/>
      <c r="H213" s="356"/>
      <c r="I213" s="100"/>
      <c r="J213" s="356">
        <f>SUMIF(data!$D:$D,$B213&amp;$D213,data!$K:$K)</f>
        <v>0</v>
      </c>
      <c r="K213" s="356">
        <v>0</v>
      </c>
      <c r="L213" s="356">
        <f>SUMIF(CBOUT!$A:$A,BRAN!$V:$V,CBOUT!$G:$G)</f>
        <v>0</v>
      </c>
      <c r="M213" s="540"/>
      <c r="N213" s="356"/>
      <c r="O213" s="357">
        <f>SUM(X213:BB213)</f>
        <v>194110</v>
      </c>
      <c r="P213" s="355"/>
      <c r="Q213" s="355"/>
      <c r="R213" s="350">
        <f>O213/INTGRATE!$N$293</f>
        <v>8439.565217391304</v>
      </c>
      <c r="S213" s="349">
        <f t="shared" ref="S213" si="80">IF(R213=0,0,N213/R213)</f>
        <v>0</v>
      </c>
      <c r="T213" s="677"/>
      <c r="U213" s="145"/>
      <c r="V213" s="960" t="str">
        <f t="shared" si="70"/>
        <v>GD14APsilo</v>
      </c>
      <c r="W213" s="943">
        <v>12706832</v>
      </c>
      <c r="X213" s="456">
        <v>0</v>
      </c>
      <c r="Y213" s="456">
        <v>14930</v>
      </c>
      <c r="Z213" s="100">
        <v>14930</v>
      </c>
      <c r="AA213" s="100">
        <v>15000</v>
      </c>
      <c r="AB213" s="100"/>
      <c r="AC213" s="100">
        <v>14770</v>
      </c>
      <c r="AD213" s="100">
        <v>14840</v>
      </c>
      <c r="AE213" s="100">
        <v>0</v>
      </c>
      <c r="AF213" s="100">
        <v>13910</v>
      </c>
      <c r="AG213" s="356">
        <v>14820</v>
      </c>
      <c r="AH213" s="100">
        <v>14940</v>
      </c>
      <c r="AI213" s="100"/>
      <c r="AJ213" s="100">
        <v>14830</v>
      </c>
      <c r="AK213" s="356">
        <v>14920</v>
      </c>
      <c r="AL213" s="100">
        <v>0</v>
      </c>
      <c r="AM213" s="100">
        <v>14930</v>
      </c>
      <c r="AN213" s="100">
        <v>14820</v>
      </c>
      <c r="AO213" s="100">
        <v>16470</v>
      </c>
      <c r="AP213" s="100"/>
      <c r="AQ213" s="356">
        <v>0</v>
      </c>
      <c r="AR213" s="100">
        <v>0</v>
      </c>
      <c r="AS213" s="100">
        <v>0</v>
      </c>
      <c r="AT213" s="100">
        <v>0</v>
      </c>
      <c r="AU213" s="356">
        <v>0</v>
      </c>
      <c r="AV213" s="100">
        <v>0</v>
      </c>
      <c r="AW213" s="100"/>
      <c r="AX213" s="100"/>
      <c r="AY213" s="100">
        <v>0</v>
      </c>
      <c r="AZ213" s="100"/>
      <c r="BA213" s="100"/>
      <c r="BB213" s="100"/>
      <c r="BC213" s="298">
        <f t="shared" si="77"/>
        <v>194110</v>
      </c>
      <c r="BD213" s="896">
        <f t="shared" si="78"/>
        <v>13</v>
      </c>
      <c r="BE213" s="896">
        <f t="shared" si="79"/>
        <v>14931.538461538461</v>
      </c>
      <c r="BH213" s="505"/>
    </row>
    <row r="214" spans="1:60" s="38" customFormat="1" ht="15" customHeight="1">
      <c r="A214" s="68">
        <v>9</v>
      </c>
      <c r="B214" s="410" t="s">
        <v>1949</v>
      </c>
      <c r="C214" s="410" t="s">
        <v>115</v>
      </c>
      <c r="D214" s="599">
        <v>25</v>
      </c>
      <c r="E214" s="540">
        <v>0</v>
      </c>
      <c r="F214" s="100">
        <f>SUMIF(pro!$A:$A,$V:$V,pro!$N:$N)</f>
        <v>0</v>
      </c>
      <c r="G214" s="356"/>
      <c r="H214" s="356"/>
      <c r="I214" s="100">
        <f>SUMIF(data!$D:$D,$B214&amp;$D214,data!$J:$J)</f>
        <v>0</v>
      </c>
      <c r="J214" s="356">
        <f>SUMIF(data!$D:$D,$B214&amp;$D214,data!$K:$K)</f>
        <v>0</v>
      </c>
      <c r="K214" s="356">
        <f>SUMIF(AJOUT!$A:$A,BRAN!$V:$V,AJOUT!$L:$L)</f>
        <v>0</v>
      </c>
      <c r="L214" s="356">
        <f>SUMIF(CBOUT!$A:$A,BRAN!$V:$V,CBOUT!$G:$G)</f>
        <v>0</v>
      </c>
      <c r="M214" s="540">
        <f>E214+F214+H214-I214-L214+G214-K214</f>
        <v>0</v>
      </c>
      <c r="N214" s="356">
        <f t="shared" ref="N214:N275" si="81">+M214*D214</f>
        <v>0</v>
      </c>
      <c r="O214" s="357">
        <f>SUM(X214:BB214)</f>
        <v>0</v>
      </c>
      <c r="P214" s="355"/>
      <c r="Q214" s="355"/>
      <c r="R214" s="350">
        <f>O214/INTGRATE!$N$293</f>
        <v>0</v>
      </c>
      <c r="S214" s="349">
        <f>IF(R214=0,0,N214/R214)</f>
        <v>0</v>
      </c>
      <c r="T214" s="677"/>
      <c r="U214" s="145"/>
      <c r="V214" s="960" t="str">
        <f t="shared" si="70"/>
        <v>GD14P25</v>
      </c>
      <c r="W214" s="943">
        <v>127008</v>
      </c>
      <c r="X214" s="456">
        <v>0</v>
      </c>
      <c r="Y214" s="456">
        <v>0</v>
      </c>
      <c r="Z214" s="100">
        <v>0</v>
      </c>
      <c r="AA214" s="100">
        <v>0</v>
      </c>
      <c r="AB214" s="100"/>
      <c r="AC214" s="100">
        <v>0</v>
      </c>
      <c r="AD214" s="100">
        <v>0</v>
      </c>
      <c r="AE214" s="100">
        <v>0</v>
      </c>
      <c r="AF214" s="100">
        <v>0</v>
      </c>
      <c r="AG214" s="356">
        <v>0</v>
      </c>
      <c r="AH214" s="100">
        <v>0</v>
      </c>
      <c r="AI214" s="100"/>
      <c r="AJ214" s="100">
        <v>0</v>
      </c>
      <c r="AK214" s="356">
        <v>0</v>
      </c>
      <c r="AL214" s="100">
        <v>0</v>
      </c>
      <c r="AM214" s="100">
        <v>0</v>
      </c>
      <c r="AN214" s="100">
        <v>0</v>
      </c>
      <c r="AO214" s="100">
        <v>0</v>
      </c>
      <c r="AP214" s="100"/>
      <c r="AQ214" s="356">
        <v>0</v>
      </c>
      <c r="AR214" s="100">
        <v>0</v>
      </c>
      <c r="AS214" s="100">
        <v>0</v>
      </c>
      <c r="AT214" s="100">
        <v>0</v>
      </c>
      <c r="AU214" s="356">
        <v>0</v>
      </c>
      <c r="AV214" s="100">
        <v>0</v>
      </c>
      <c r="AW214" s="100"/>
      <c r="AX214" s="100"/>
      <c r="AY214" s="100">
        <v>0</v>
      </c>
      <c r="AZ214" s="100"/>
      <c r="BA214" s="100"/>
      <c r="BB214" s="100"/>
      <c r="BC214" s="298">
        <f t="shared" si="77"/>
        <v>0</v>
      </c>
      <c r="BD214" s="896">
        <f t="shared" si="78"/>
        <v>0</v>
      </c>
      <c r="BE214" s="896">
        <f t="shared" si="79"/>
        <v>0</v>
      </c>
      <c r="BH214" s="505"/>
    </row>
    <row r="215" spans="1:60" s="38" customFormat="1" ht="15" customHeight="1">
      <c r="A215" s="68">
        <v>10</v>
      </c>
      <c r="B215" s="410" t="s">
        <v>1981</v>
      </c>
      <c r="C215" s="410" t="s">
        <v>115</v>
      </c>
      <c r="D215" s="599">
        <v>25</v>
      </c>
      <c r="E215" s="540">
        <v>0</v>
      </c>
      <c r="F215" s="100">
        <f>SUMIF(pro!$A:$A,$V:$V,pro!$N:$N)</f>
        <v>0</v>
      </c>
      <c r="G215" s="356"/>
      <c r="H215" s="356"/>
      <c r="I215" s="100">
        <f>SUMIF(data!$D:$D,$B215&amp;$D215,data!$J:$J)</f>
        <v>0</v>
      </c>
      <c r="J215" s="356">
        <f>SUMIF(data!$D:$D,$B215&amp;$D215,data!$K:$K)</f>
        <v>0</v>
      </c>
      <c r="K215" s="356">
        <f>SUMIF(AJOUT!$A:$A,BRAN!$V:$V,AJOUT!$L:$L)</f>
        <v>0</v>
      </c>
      <c r="L215" s="356"/>
      <c r="M215" s="540">
        <f>E215+F215+H215-I215-L215+G215-K215</f>
        <v>0</v>
      </c>
      <c r="N215" s="356">
        <f t="shared" si="81"/>
        <v>0</v>
      </c>
      <c r="O215" s="357">
        <f>SUM(X215:BB215)</f>
        <v>0</v>
      </c>
      <c r="P215" s="925" t="s">
        <v>1855</v>
      </c>
      <c r="Q215" s="355"/>
      <c r="R215" s="350">
        <f>O215/INTGRATE!$N$293</f>
        <v>0</v>
      </c>
      <c r="S215" s="349">
        <f>IF(R215=0,0,N215/R215)</f>
        <v>0</v>
      </c>
      <c r="T215" s="677"/>
      <c r="U215" s="145"/>
      <c r="V215" s="960" t="str">
        <f t="shared" si="70"/>
        <v>GD1525</v>
      </c>
      <c r="W215" s="943">
        <v>128001</v>
      </c>
      <c r="X215" s="456">
        <v>0</v>
      </c>
      <c r="Y215" s="456">
        <v>0</v>
      </c>
      <c r="Z215" s="100">
        <v>0</v>
      </c>
      <c r="AA215" s="100">
        <v>0</v>
      </c>
      <c r="AB215" s="100"/>
      <c r="AC215" s="100">
        <v>0</v>
      </c>
      <c r="AD215" s="100">
        <v>0</v>
      </c>
      <c r="AE215" s="100">
        <v>0</v>
      </c>
      <c r="AF215" s="100">
        <v>0</v>
      </c>
      <c r="AG215" s="356">
        <v>0</v>
      </c>
      <c r="AH215" s="100">
        <v>0</v>
      </c>
      <c r="AI215" s="100"/>
      <c r="AJ215" s="100">
        <v>0</v>
      </c>
      <c r="AK215" s="356">
        <v>0</v>
      </c>
      <c r="AL215" s="100">
        <v>0</v>
      </c>
      <c r="AM215" s="100">
        <v>0</v>
      </c>
      <c r="AN215" s="100">
        <v>0</v>
      </c>
      <c r="AO215" s="100">
        <v>0</v>
      </c>
      <c r="AP215" s="100"/>
      <c r="AQ215" s="356">
        <v>0</v>
      </c>
      <c r="AR215" s="100">
        <v>0</v>
      </c>
      <c r="AS215" s="100">
        <v>0</v>
      </c>
      <c r="AT215" s="100">
        <v>0</v>
      </c>
      <c r="AU215" s="356">
        <v>0</v>
      </c>
      <c r="AV215" s="100">
        <v>0</v>
      </c>
      <c r="AW215" s="100"/>
      <c r="AX215" s="100"/>
      <c r="AY215" s="100">
        <v>0</v>
      </c>
      <c r="AZ215" s="100"/>
      <c r="BA215" s="100"/>
      <c r="BB215" s="100"/>
      <c r="BC215" s="298">
        <f t="shared" si="77"/>
        <v>0</v>
      </c>
      <c r="BD215" s="896">
        <f t="shared" si="78"/>
        <v>0</v>
      </c>
      <c r="BE215" s="896">
        <f t="shared" si="79"/>
        <v>0</v>
      </c>
      <c r="BH215" s="505"/>
    </row>
    <row r="216" spans="1:60" s="38" customFormat="1" ht="15" customHeight="1">
      <c r="A216" s="68">
        <v>11</v>
      </c>
      <c r="B216" s="410" t="s">
        <v>1396</v>
      </c>
      <c r="C216" s="410" t="s">
        <v>39</v>
      </c>
      <c r="D216" s="599" t="s">
        <v>901</v>
      </c>
      <c r="E216" s="540">
        <v>0</v>
      </c>
      <c r="F216" s="100">
        <f>+J216</f>
        <v>0</v>
      </c>
      <c r="G216" s="356"/>
      <c r="H216" s="356">
        <f>SUMIF(CBIN!$A:$A,BRAN!$V:$V,CBIN!$G:$G)</f>
        <v>0</v>
      </c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>
        <f>SUMIF(CBOUT!$A:$A,BRAN!$V:$V,CBOUT!$G:$G)</f>
        <v>0</v>
      </c>
      <c r="M216" s="540">
        <f>E216+F216+H216-I216-L216+G216-K216</f>
        <v>0</v>
      </c>
      <c r="N216" s="356"/>
      <c r="O216" s="357">
        <f t="shared" si="71"/>
        <v>0</v>
      </c>
      <c r="P216" s="355">
        <f>+N245+N246+N223+N224+N230+N231</f>
        <v>23325</v>
      </c>
      <c r="Q216" s="355">
        <f>+O245+O246+O223+O224+O230+O231</f>
        <v>173345</v>
      </c>
      <c r="R216" s="350">
        <f>O216/INTGRATE!$N$293</f>
        <v>0</v>
      </c>
      <c r="S216" s="349">
        <f t="shared" ref="S216:S275" si="82">IF(R216=0,0,N216/R216)</f>
        <v>0</v>
      </c>
      <c r="T216" s="677"/>
      <c r="U216" s="145"/>
      <c r="V216" s="960" t="str">
        <f t="shared" si="70"/>
        <v>GD04Asilo</v>
      </c>
      <c r="W216" s="943">
        <v>127060</v>
      </c>
      <c r="X216" s="456">
        <v>0</v>
      </c>
      <c r="Y216" s="456">
        <v>0</v>
      </c>
      <c r="Z216" s="100">
        <v>0</v>
      </c>
      <c r="AA216" s="100">
        <v>0</v>
      </c>
      <c r="AB216" s="100"/>
      <c r="AC216" s="100">
        <v>0</v>
      </c>
      <c r="AD216" s="100">
        <v>0</v>
      </c>
      <c r="AE216" s="100">
        <v>0</v>
      </c>
      <c r="AF216" s="100">
        <v>0</v>
      </c>
      <c r="AG216" s="356">
        <v>0</v>
      </c>
      <c r="AH216" s="100">
        <v>0</v>
      </c>
      <c r="AI216" s="100"/>
      <c r="AJ216" s="100">
        <v>0</v>
      </c>
      <c r="AK216" s="356">
        <v>0</v>
      </c>
      <c r="AL216" s="100">
        <v>0</v>
      </c>
      <c r="AM216" s="100">
        <v>0</v>
      </c>
      <c r="AN216" s="100">
        <v>0</v>
      </c>
      <c r="AO216" s="100">
        <v>0</v>
      </c>
      <c r="AP216" s="100"/>
      <c r="AQ216" s="356">
        <v>0</v>
      </c>
      <c r="AR216" s="100">
        <v>0</v>
      </c>
      <c r="AS216" s="100">
        <v>0</v>
      </c>
      <c r="AT216" s="100">
        <v>0</v>
      </c>
      <c r="AU216" s="356">
        <v>0</v>
      </c>
      <c r="AV216" s="100">
        <v>0</v>
      </c>
      <c r="AW216" s="100"/>
      <c r="AX216" s="100"/>
      <c r="AY216" s="100">
        <v>0</v>
      </c>
      <c r="AZ216" s="100"/>
      <c r="BA216" s="100"/>
      <c r="BB216" s="100"/>
      <c r="BC216" s="298">
        <f t="shared" si="77"/>
        <v>0</v>
      </c>
      <c r="BD216" s="896">
        <f t="shared" si="78"/>
        <v>0</v>
      </c>
      <c r="BE216" s="896">
        <f t="shared" si="79"/>
        <v>0</v>
      </c>
      <c r="BH216" s="505"/>
    </row>
    <row r="217" spans="1:60" s="38" customFormat="1" ht="15" customHeight="1">
      <c r="A217" s="68">
        <v>12</v>
      </c>
      <c r="B217" s="695" t="s">
        <v>14</v>
      </c>
      <c r="C217" s="695" t="s">
        <v>1314</v>
      </c>
      <c r="D217" s="696">
        <v>25</v>
      </c>
      <c r="E217" s="540">
        <v>293</v>
      </c>
      <c r="F217" s="100">
        <f>SUMIF(pro!$A:$A,$V:$V,pro!$N:$N)</f>
        <v>0</v>
      </c>
      <c r="G217" s="356"/>
      <c r="H217" s="356">
        <f>SUMIF(CBIN!$A:$A,BRAN!$V:$V,CBIN!$G:$G)</f>
        <v>0</v>
      </c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>
        <f>SUMIF(CBOUT!$A:$A,BRAN!$V:$V,CBOUT!$G:$G)</f>
        <v>0</v>
      </c>
      <c r="M217" s="540">
        <f>E217+F217+H217-I217-L217+G217-K217</f>
        <v>293</v>
      </c>
      <c r="N217" s="356">
        <f t="shared" si="81"/>
        <v>7325</v>
      </c>
      <c r="O217" s="357">
        <f t="shared" si="71"/>
        <v>84325</v>
      </c>
      <c r="P217" s="355"/>
      <c r="Q217" s="355"/>
      <c r="R217" s="350">
        <f>O217/INTGRATE!$N$293</f>
        <v>3666.304347826087</v>
      </c>
      <c r="S217" s="349">
        <f t="shared" si="82"/>
        <v>1.9979246961162169</v>
      </c>
      <c r="T217" s="472"/>
      <c r="U217" s="145"/>
      <c r="V217" s="960" t="str">
        <f t="shared" si="70"/>
        <v>GT1125</v>
      </c>
      <c r="W217" s="943">
        <v>112601</v>
      </c>
      <c r="X217" s="456">
        <v>500</v>
      </c>
      <c r="Y217" s="456">
        <v>14250</v>
      </c>
      <c r="Z217" s="100">
        <v>1250</v>
      </c>
      <c r="AA217" s="100">
        <v>0</v>
      </c>
      <c r="AB217" s="100"/>
      <c r="AC217" s="100">
        <v>0</v>
      </c>
      <c r="AD217" s="100">
        <v>0</v>
      </c>
      <c r="AE217" s="100">
        <v>14250</v>
      </c>
      <c r="AF217" s="100">
        <v>0</v>
      </c>
      <c r="AG217" s="356">
        <v>0</v>
      </c>
      <c r="AH217" s="100">
        <v>6000</v>
      </c>
      <c r="AI217" s="100"/>
      <c r="AJ217" s="100">
        <v>0</v>
      </c>
      <c r="AK217" s="356">
        <v>4000</v>
      </c>
      <c r="AL217" s="100">
        <v>8250</v>
      </c>
      <c r="AM217" s="100">
        <v>8000</v>
      </c>
      <c r="AN217" s="100">
        <v>500</v>
      </c>
      <c r="AO217" s="100">
        <v>14250</v>
      </c>
      <c r="AP217" s="100"/>
      <c r="AQ217" s="356">
        <v>6500</v>
      </c>
      <c r="AR217" s="100">
        <v>6000</v>
      </c>
      <c r="AS217" s="100">
        <v>125</v>
      </c>
      <c r="AT217" s="100">
        <v>0</v>
      </c>
      <c r="AU217" s="356">
        <v>0</v>
      </c>
      <c r="AV217" s="100">
        <v>450</v>
      </c>
      <c r="AW217" s="100"/>
      <c r="AX217" s="100"/>
      <c r="AY217" s="100">
        <v>0</v>
      </c>
      <c r="AZ217" s="100"/>
      <c r="BA217" s="100"/>
      <c r="BB217" s="100"/>
      <c r="BC217" s="298">
        <f t="shared" si="77"/>
        <v>84325</v>
      </c>
      <c r="BD217" s="896">
        <f t="shared" si="78"/>
        <v>14</v>
      </c>
      <c r="BE217" s="896">
        <f t="shared" si="79"/>
        <v>6023.2142857142853</v>
      </c>
      <c r="BH217" s="505"/>
    </row>
    <row r="218" spans="1:60" s="38" customFormat="1" ht="15" customHeight="1">
      <c r="A218" s="68">
        <v>13</v>
      </c>
      <c r="B218" s="695" t="s">
        <v>14</v>
      </c>
      <c r="C218" s="695" t="s">
        <v>1314</v>
      </c>
      <c r="D218" s="696" t="s">
        <v>81</v>
      </c>
      <c r="E218" s="540">
        <v>0</v>
      </c>
      <c r="F218" s="100">
        <f>+J218</f>
        <v>0</v>
      </c>
      <c r="G218" s="356"/>
      <c r="H218" s="356"/>
      <c r="I218" s="100">
        <f>SUMIF(data!$D:$D,$B218&amp;$D218,data!$J:$J)</f>
        <v>0</v>
      </c>
      <c r="J218" s="356">
        <f>SUMIF(data!$D:$D,$B218&amp;$D218,data!$K:$K)</f>
        <v>0</v>
      </c>
      <c r="K218" s="356">
        <f>SUMIF(AJOUT!$A:$A,BRAN!$V:$V,AJOUT!$L:$L)</f>
        <v>0</v>
      </c>
      <c r="L218" s="356">
        <f>SUMIF(CBOUT!$A:$A,BRAN!$V:$V,CBOUT!$G:$G)</f>
        <v>0</v>
      </c>
      <c r="M218" s="540">
        <v>0</v>
      </c>
      <c r="N218" s="356"/>
      <c r="O218" s="357">
        <f>SUM(X218:BB218)</f>
        <v>0</v>
      </c>
      <c r="P218" s="925"/>
      <c r="Q218" s="355"/>
      <c r="R218" s="350">
        <f>O218/INTGRATE!$N$293</f>
        <v>0</v>
      </c>
      <c r="S218" s="349">
        <f>IF(R218=0,0,N218/R218)</f>
        <v>0</v>
      </c>
      <c r="T218" s="472"/>
      <c r="U218" s="145"/>
      <c r="V218" s="960" t="str">
        <f t="shared" si="70"/>
        <v>GT11SILO</v>
      </c>
      <c r="W218" s="943">
        <v>112601</v>
      </c>
      <c r="X218" s="456">
        <v>0</v>
      </c>
      <c r="Y218" s="456">
        <v>0</v>
      </c>
      <c r="Z218" s="100">
        <v>0</v>
      </c>
      <c r="AA218" s="100">
        <v>0</v>
      </c>
      <c r="AB218" s="100"/>
      <c r="AC218" s="100">
        <v>0</v>
      </c>
      <c r="AD218" s="100">
        <v>0</v>
      </c>
      <c r="AE218" s="100">
        <v>0</v>
      </c>
      <c r="AF218" s="100">
        <v>0</v>
      </c>
      <c r="AG218" s="356">
        <v>0</v>
      </c>
      <c r="AH218" s="100">
        <v>0</v>
      </c>
      <c r="AI218" s="100"/>
      <c r="AJ218" s="100">
        <v>0</v>
      </c>
      <c r="AK218" s="356">
        <v>0</v>
      </c>
      <c r="AL218" s="100">
        <v>0</v>
      </c>
      <c r="AM218" s="100">
        <v>0</v>
      </c>
      <c r="AN218" s="100">
        <v>0</v>
      </c>
      <c r="AO218" s="100">
        <v>0</v>
      </c>
      <c r="AP218" s="100"/>
      <c r="AQ218" s="356">
        <v>0</v>
      </c>
      <c r="AR218" s="100">
        <v>0</v>
      </c>
      <c r="AS218" s="100">
        <v>0</v>
      </c>
      <c r="AT218" s="100">
        <v>0</v>
      </c>
      <c r="AU218" s="356">
        <v>0</v>
      </c>
      <c r="AV218" s="100">
        <v>0</v>
      </c>
      <c r="AW218" s="100"/>
      <c r="AX218" s="100"/>
      <c r="AY218" s="100">
        <v>0</v>
      </c>
      <c r="AZ218" s="100"/>
      <c r="BA218" s="100"/>
      <c r="BB218" s="100"/>
      <c r="BC218" s="298">
        <f t="shared" si="77"/>
        <v>0</v>
      </c>
      <c r="BD218" s="896">
        <f t="shared" si="78"/>
        <v>0</v>
      </c>
      <c r="BE218" s="896">
        <f t="shared" si="79"/>
        <v>0</v>
      </c>
      <c r="BH218" s="505"/>
    </row>
    <row r="219" spans="1:60" s="38" customFormat="1" ht="15" customHeight="1">
      <c r="A219" s="68">
        <v>14</v>
      </c>
      <c r="B219" s="695" t="s">
        <v>1928</v>
      </c>
      <c r="C219" s="695" t="s">
        <v>115</v>
      </c>
      <c r="D219" s="696" t="s">
        <v>81</v>
      </c>
      <c r="E219" s="540"/>
      <c r="F219" s="100">
        <f>+J219</f>
        <v>0</v>
      </c>
      <c r="G219" s="356"/>
      <c r="H219" s="356"/>
      <c r="I219" s="100">
        <f>SUMIF(data!$D:$D,$B219&amp;$D219,data!$J:$J)</f>
        <v>0</v>
      </c>
      <c r="J219" s="356">
        <f>SUMIF(data!$D:$D,$B219&amp;$D219,data!$K:$K)</f>
        <v>0</v>
      </c>
      <c r="K219" s="356"/>
      <c r="L219" s="356"/>
      <c r="M219" s="540"/>
      <c r="N219" s="356"/>
      <c r="O219" s="357">
        <f>SUM(X219:BB219)</f>
        <v>26870</v>
      </c>
      <c r="P219" s="355"/>
      <c r="Q219" s="355"/>
      <c r="R219" s="350">
        <f>O219/INTGRATE!$N$293</f>
        <v>1168.2608695652175</v>
      </c>
      <c r="S219" s="349">
        <f>IF(R219=0,0,N219/R219)</f>
        <v>0</v>
      </c>
      <c r="T219" s="472"/>
      <c r="U219" s="145"/>
      <c r="V219" s="960" t="str">
        <f t="shared" si="70"/>
        <v>GT11SSILO</v>
      </c>
      <c r="W219" s="943">
        <v>114301</v>
      </c>
      <c r="X219" s="456">
        <v>13450</v>
      </c>
      <c r="Y219" s="456">
        <v>13420</v>
      </c>
      <c r="Z219" s="100">
        <v>0</v>
      </c>
      <c r="AA219" s="100">
        <v>0</v>
      </c>
      <c r="AB219" s="100"/>
      <c r="AC219" s="100">
        <v>0</v>
      </c>
      <c r="AD219" s="100">
        <v>0</v>
      </c>
      <c r="AE219" s="100">
        <v>0</v>
      </c>
      <c r="AF219" s="100">
        <v>0</v>
      </c>
      <c r="AG219" s="356">
        <v>0</v>
      </c>
      <c r="AH219" s="100">
        <v>0</v>
      </c>
      <c r="AI219" s="100"/>
      <c r="AJ219" s="100">
        <v>0</v>
      </c>
      <c r="AK219" s="356">
        <v>0</v>
      </c>
      <c r="AL219" s="100">
        <v>0</v>
      </c>
      <c r="AM219" s="100">
        <v>0</v>
      </c>
      <c r="AN219" s="100">
        <v>0</v>
      </c>
      <c r="AO219" s="100">
        <v>0</v>
      </c>
      <c r="AP219" s="100"/>
      <c r="AQ219" s="356">
        <v>0</v>
      </c>
      <c r="AR219" s="100">
        <v>0</v>
      </c>
      <c r="AS219" s="100">
        <v>0</v>
      </c>
      <c r="AT219" s="100">
        <v>0</v>
      </c>
      <c r="AU219" s="356">
        <v>0</v>
      </c>
      <c r="AV219" s="100">
        <v>0</v>
      </c>
      <c r="AW219" s="100"/>
      <c r="AX219" s="100"/>
      <c r="AY219" s="100">
        <v>0</v>
      </c>
      <c r="AZ219" s="100"/>
      <c r="BA219" s="100"/>
      <c r="BB219" s="100"/>
      <c r="BC219" s="298">
        <f t="shared" si="77"/>
        <v>26870</v>
      </c>
      <c r="BD219" s="896">
        <f t="shared" si="78"/>
        <v>2</v>
      </c>
      <c r="BE219" s="896">
        <f t="shared" si="79"/>
        <v>13435</v>
      </c>
      <c r="BH219" s="505"/>
    </row>
    <row r="220" spans="1:60" s="38" customFormat="1" ht="15" customHeight="1">
      <c r="A220" s="68">
        <v>15</v>
      </c>
      <c r="B220" s="695" t="s">
        <v>1928</v>
      </c>
      <c r="C220" s="695" t="s">
        <v>115</v>
      </c>
      <c r="D220" s="696">
        <v>25</v>
      </c>
      <c r="E220" s="540">
        <v>677</v>
      </c>
      <c r="F220" s="100">
        <f>SUMIF(pro!$A:$A,$V:$V,pro!$N:$N)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>
        <f>SUMIF(AJOUT!$A:$A,BRAN!$V:$V,AJOUT!$L:$L)</f>
        <v>0</v>
      </c>
      <c r="L220" s="356">
        <f>SUMIF(CBOUT!$A:$A,BRAN!$V:$V,CBOUT!$G:$G)</f>
        <v>0</v>
      </c>
      <c r="M220" s="540">
        <f>E220+F220+H220-I220-L220+G220-K220</f>
        <v>677</v>
      </c>
      <c r="N220" s="356">
        <f t="shared" si="81"/>
        <v>16925</v>
      </c>
      <c r="O220" s="357">
        <f>SUM(X220:BB220)</f>
        <v>40175</v>
      </c>
      <c r="P220" s="355"/>
      <c r="Q220" s="355"/>
      <c r="R220" s="350">
        <f>O220/INTGRATE!$N$293</f>
        <v>1746.7391304347825</v>
      </c>
      <c r="S220" s="349">
        <f>IF(R220=0,0,N220/R220)</f>
        <v>9.6894835096453029</v>
      </c>
      <c r="T220" s="472"/>
      <c r="U220" s="145"/>
      <c r="V220" s="960" t="str">
        <f t="shared" si="70"/>
        <v>GT11S25</v>
      </c>
      <c r="W220" s="943">
        <v>114301</v>
      </c>
      <c r="X220" s="456">
        <v>7250</v>
      </c>
      <c r="Y220" s="456">
        <v>7250</v>
      </c>
      <c r="Z220" s="100">
        <v>0</v>
      </c>
      <c r="AA220" s="100">
        <v>9425</v>
      </c>
      <c r="AB220" s="100"/>
      <c r="AC220" s="100">
        <v>0</v>
      </c>
      <c r="AD220" s="100">
        <v>0</v>
      </c>
      <c r="AE220" s="100">
        <v>0</v>
      </c>
      <c r="AF220" s="100">
        <v>0</v>
      </c>
      <c r="AG220" s="356">
        <v>0</v>
      </c>
      <c r="AH220" s="100">
        <v>0</v>
      </c>
      <c r="AI220" s="100"/>
      <c r="AJ220" s="100">
        <v>0</v>
      </c>
      <c r="AK220" s="356">
        <v>0</v>
      </c>
      <c r="AL220" s="100">
        <v>7250</v>
      </c>
      <c r="AM220" s="100">
        <v>0</v>
      </c>
      <c r="AN220" s="100">
        <v>0</v>
      </c>
      <c r="AO220" s="100">
        <v>0</v>
      </c>
      <c r="AP220" s="100"/>
      <c r="AQ220" s="356">
        <v>9000</v>
      </c>
      <c r="AR220" s="100">
        <v>0</v>
      </c>
      <c r="AS220" s="100">
        <v>0</v>
      </c>
      <c r="AT220" s="100">
        <v>0</v>
      </c>
      <c r="AU220" s="356">
        <v>0</v>
      </c>
      <c r="AV220" s="100">
        <v>0</v>
      </c>
      <c r="AW220" s="100"/>
      <c r="AX220" s="100"/>
      <c r="AY220" s="100">
        <v>0</v>
      </c>
      <c r="AZ220" s="100"/>
      <c r="BA220" s="100"/>
      <c r="BB220" s="100"/>
      <c r="BC220" s="298">
        <f t="shared" si="77"/>
        <v>40175</v>
      </c>
      <c r="BD220" s="896">
        <f t="shared" si="78"/>
        <v>5</v>
      </c>
      <c r="BE220" s="896">
        <f t="shared" si="79"/>
        <v>8035</v>
      </c>
      <c r="BH220" s="505"/>
    </row>
    <row r="221" spans="1:60" s="38" customFormat="1" ht="15" customHeight="1">
      <c r="A221" s="68">
        <v>16</v>
      </c>
      <c r="B221" s="695" t="s">
        <v>1503</v>
      </c>
      <c r="C221" s="695" t="s">
        <v>61</v>
      </c>
      <c r="D221" s="696">
        <v>25</v>
      </c>
      <c r="E221" s="540">
        <v>0</v>
      </c>
      <c r="F221" s="100">
        <f>SUMIF(pro!$A:$A,$V:$V,pro!$N:$N)</f>
        <v>0</v>
      </c>
      <c r="G221" s="356"/>
      <c r="H221" s="356">
        <f>SUMIF(CBIN!$A:$A,BRAN!$V:$V,CBIN!$G:$G)</f>
        <v>0</v>
      </c>
      <c r="I221" s="100">
        <f>SUMIF(data!$D:$D,$B221&amp;$D221,data!$J:$J)</f>
        <v>0</v>
      </c>
      <c r="J221" s="356">
        <f>SUMIF(data!$D:$D,$B221&amp;$D221,data!$K:$K)</f>
        <v>0</v>
      </c>
      <c r="K221" s="356">
        <f>SUMIF(AJOUT!$A:$A,BRAN!$V:$V,AJOUT!$L:$L)</f>
        <v>0</v>
      </c>
      <c r="L221" s="356">
        <f>SUMIF(CBOUT!$A:$A,BRAN!$V:$V,CBOUT!$G:$G)</f>
        <v>0</v>
      </c>
      <c r="M221" s="540">
        <f>E221+F221+H221-I221-L221+G221-K221</f>
        <v>0</v>
      </c>
      <c r="N221" s="356">
        <f t="shared" si="81"/>
        <v>0</v>
      </c>
      <c r="O221" s="357">
        <f t="shared" si="71"/>
        <v>6075</v>
      </c>
      <c r="P221" s="355"/>
      <c r="Q221" s="355"/>
      <c r="R221" s="350">
        <f>O221/INTGRATE!$N$293</f>
        <v>264.13043478260869</v>
      </c>
      <c r="S221" s="349">
        <f t="shared" si="82"/>
        <v>0</v>
      </c>
      <c r="T221" s="630"/>
      <c r="U221" s="145"/>
      <c r="V221" s="960" t="str">
        <f t="shared" si="70"/>
        <v>GT1225</v>
      </c>
      <c r="W221" s="943">
        <v>114601</v>
      </c>
      <c r="X221" s="456">
        <v>0</v>
      </c>
      <c r="Y221" s="456">
        <v>0</v>
      </c>
      <c r="Z221" s="100">
        <v>0</v>
      </c>
      <c r="AA221" s="100">
        <v>6075</v>
      </c>
      <c r="AB221" s="100"/>
      <c r="AC221" s="100">
        <v>0</v>
      </c>
      <c r="AD221" s="100">
        <v>0</v>
      </c>
      <c r="AE221" s="100">
        <v>0</v>
      </c>
      <c r="AF221" s="100">
        <v>0</v>
      </c>
      <c r="AG221" s="356">
        <v>0</v>
      </c>
      <c r="AH221" s="100">
        <v>0</v>
      </c>
      <c r="AI221" s="100"/>
      <c r="AJ221" s="100">
        <v>0</v>
      </c>
      <c r="AK221" s="356">
        <v>0</v>
      </c>
      <c r="AL221" s="100">
        <v>0</v>
      </c>
      <c r="AM221" s="100">
        <v>0</v>
      </c>
      <c r="AN221" s="100">
        <v>0</v>
      </c>
      <c r="AO221" s="100">
        <v>0</v>
      </c>
      <c r="AP221" s="100"/>
      <c r="AQ221" s="356">
        <v>0</v>
      </c>
      <c r="AR221" s="100">
        <v>0</v>
      </c>
      <c r="AS221" s="100">
        <v>0</v>
      </c>
      <c r="AT221" s="100">
        <v>0</v>
      </c>
      <c r="AU221" s="356">
        <v>0</v>
      </c>
      <c r="AV221" s="100">
        <v>0</v>
      </c>
      <c r="AW221" s="100"/>
      <c r="AX221" s="100"/>
      <c r="AY221" s="100">
        <v>0</v>
      </c>
      <c r="AZ221" s="100"/>
      <c r="BA221" s="100"/>
      <c r="BB221" s="100"/>
      <c r="BC221" s="298">
        <f t="shared" si="77"/>
        <v>6075</v>
      </c>
      <c r="BD221" s="896">
        <f t="shared" si="78"/>
        <v>1</v>
      </c>
      <c r="BE221" s="896">
        <f t="shared" si="79"/>
        <v>6075</v>
      </c>
      <c r="BH221" s="505"/>
    </row>
    <row r="222" spans="1:60" s="38" customFormat="1" ht="15" customHeight="1">
      <c r="A222" s="68">
        <v>17</v>
      </c>
      <c r="B222" s="695" t="s">
        <v>1503</v>
      </c>
      <c r="C222" s="695" t="s">
        <v>61</v>
      </c>
      <c r="D222" s="696" t="s">
        <v>901</v>
      </c>
      <c r="E222" s="540">
        <v>0</v>
      </c>
      <c r="F222" s="100">
        <f>+J222</f>
        <v>27080</v>
      </c>
      <c r="G222" s="356"/>
      <c r="H222" s="356"/>
      <c r="I222" s="100">
        <f>SUMIF(data!$D:$D,$B222&amp;$D222,data!$J:$J)</f>
        <v>0</v>
      </c>
      <c r="J222" s="356">
        <f>SUMIF(data!$D:$D,$B222&amp;$D222,data!$K:$K)</f>
        <v>27080</v>
      </c>
      <c r="K222" s="356">
        <v>0</v>
      </c>
      <c r="L222" s="356">
        <v>0</v>
      </c>
      <c r="M222" s="540">
        <v>0</v>
      </c>
      <c r="N222" s="356"/>
      <c r="O222" s="357">
        <f t="shared" si="71"/>
        <v>41100</v>
      </c>
      <c r="P222" s="355"/>
      <c r="Q222" s="355"/>
      <c r="R222" s="350">
        <f>O222/INTGRATE!$N$293</f>
        <v>1786.9565217391305</v>
      </c>
      <c r="S222" s="349">
        <f>IF(R222=0,0,N222/R222)</f>
        <v>0</v>
      </c>
      <c r="T222" s="472"/>
      <c r="U222" s="145"/>
      <c r="V222" s="960" t="str">
        <f t="shared" ref="V222:V231" si="83">B222&amp;D222</f>
        <v>GT12silo</v>
      </c>
      <c r="W222" s="943">
        <v>114601</v>
      </c>
      <c r="X222" s="456">
        <v>0</v>
      </c>
      <c r="Y222" s="456">
        <v>0</v>
      </c>
      <c r="Z222" s="100">
        <v>0</v>
      </c>
      <c r="AA222" s="100">
        <v>0</v>
      </c>
      <c r="AB222" s="100"/>
      <c r="AC222" s="100">
        <v>0</v>
      </c>
      <c r="AD222" s="100">
        <v>0</v>
      </c>
      <c r="AE222" s="100">
        <v>0</v>
      </c>
      <c r="AF222" s="100">
        <v>0</v>
      </c>
      <c r="AG222" s="356">
        <v>0</v>
      </c>
      <c r="AH222" s="100">
        <v>0</v>
      </c>
      <c r="AI222" s="100"/>
      <c r="AJ222" s="100">
        <v>0</v>
      </c>
      <c r="AK222" s="356">
        <v>0</v>
      </c>
      <c r="AL222" s="100">
        <v>0</v>
      </c>
      <c r="AM222" s="100">
        <v>0</v>
      </c>
      <c r="AN222" s="100">
        <v>0</v>
      </c>
      <c r="AO222" s="100">
        <v>0</v>
      </c>
      <c r="AP222" s="100"/>
      <c r="AQ222" s="356">
        <v>0</v>
      </c>
      <c r="AR222" s="100">
        <v>0</v>
      </c>
      <c r="AS222" s="100">
        <v>14020</v>
      </c>
      <c r="AT222" s="100">
        <v>0</v>
      </c>
      <c r="AU222" s="356">
        <v>0</v>
      </c>
      <c r="AV222" s="100">
        <v>0</v>
      </c>
      <c r="AW222" s="100"/>
      <c r="AX222" s="100"/>
      <c r="AY222" s="100">
        <v>27080</v>
      </c>
      <c r="AZ222" s="100"/>
      <c r="BA222" s="100"/>
      <c r="BB222" s="100"/>
      <c r="BC222" s="298">
        <f t="shared" si="77"/>
        <v>41100</v>
      </c>
      <c r="BD222" s="896">
        <f t="shared" si="78"/>
        <v>2</v>
      </c>
      <c r="BE222" s="896">
        <f t="shared" si="79"/>
        <v>20550</v>
      </c>
      <c r="BH222" s="505"/>
    </row>
    <row r="223" spans="1:60" s="38" customFormat="1" ht="15" customHeight="1">
      <c r="A223" s="68">
        <v>18</v>
      </c>
      <c r="B223" s="695" t="s">
        <v>1448</v>
      </c>
      <c r="C223" s="695" t="s">
        <v>40</v>
      </c>
      <c r="D223" s="696">
        <v>25</v>
      </c>
      <c r="E223" s="540">
        <v>285</v>
      </c>
      <c r="F223" s="100">
        <f>SUMIF(pro!$A:$A,$V:$V,pro!$N:$N)</f>
        <v>0</v>
      </c>
      <c r="G223" s="356"/>
      <c r="H223" s="356">
        <f>SUMIF(CBIN!$A:$A,BRAN!$V:$V,CBIN!$G:$G)</f>
        <v>0</v>
      </c>
      <c r="I223" s="100">
        <f>SUMIF(data!$D:$D,$B223&amp;$D223,data!$J:$J)</f>
        <v>0</v>
      </c>
      <c r="J223" s="356">
        <f>SUMIF(data!$D:$D,$B223&amp;$D223,data!$K:$K)</f>
        <v>0</v>
      </c>
      <c r="K223" s="356">
        <f>SUMIF(AJOUT!$A:$A,BRAN!$V:$V,AJOUT!$L:$L)</f>
        <v>0</v>
      </c>
      <c r="L223" s="356">
        <f>SUMIF(CBOUT!$A:$A,BRAN!$V:$V,CBOUT!$G:$G)</f>
        <v>0</v>
      </c>
      <c r="M223" s="540">
        <f t="shared" ref="M223:M250" si="84">E223+F223+H223-I223-L223+G223-K223</f>
        <v>285</v>
      </c>
      <c r="N223" s="356">
        <f t="shared" si="81"/>
        <v>7125</v>
      </c>
      <c r="O223" s="357">
        <f t="shared" si="71"/>
        <v>11225</v>
      </c>
      <c r="P223" s="355"/>
      <c r="Q223" s="355"/>
      <c r="R223" s="350">
        <f>O223/INTGRATE!$N$293</f>
        <v>488.04347826086956</v>
      </c>
      <c r="S223" s="349">
        <f t="shared" si="82"/>
        <v>14.599109131403118</v>
      </c>
      <c r="T223" s="472"/>
      <c r="U223" s="145"/>
      <c r="V223" s="960" t="str">
        <f t="shared" si="83"/>
        <v>GT12B25</v>
      </c>
      <c r="W223" s="943" t="s">
        <v>881</v>
      </c>
      <c r="X223" s="456">
        <v>750</v>
      </c>
      <c r="Y223" s="456">
        <v>0</v>
      </c>
      <c r="Z223" s="100">
        <v>0</v>
      </c>
      <c r="AA223" s="100">
        <v>5000</v>
      </c>
      <c r="AB223" s="100"/>
      <c r="AC223" s="100">
        <v>0</v>
      </c>
      <c r="AD223" s="100">
        <v>0</v>
      </c>
      <c r="AE223" s="100">
        <v>0</v>
      </c>
      <c r="AF223" s="100">
        <v>0</v>
      </c>
      <c r="AG223" s="356">
        <v>0</v>
      </c>
      <c r="AH223" s="100">
        <v>0</v>
      </c>
      <c r="AI223" s="100"/>
      <c r="AJ223" s="100">
        <v>0</v>
      </c>
      <c r="AK223" s="356">
        <v>0</v>
      </c>
      <c r="AL223" s="100">
        <v>0</v>
      </c>
      <c r="AM223" s="100">
        <v>0</v>
      </c>
      <c r="AN223" s="100">
        <v>4225</v>
      </c>
      <c r="AO223" s="100">
        <v>0</v>
      </c>
      <c r="AP223" s="100"/>
      <c r="AQ223" s="356">
        <v>0</v>
      </c>
      <c r="AR223" s="100">
        <v>750</v>
      </c>
      <c r="AS223" s="100">
        <v>500</v>
      </c>
      <c r="AT223" s="100">
        <v>0</v>
      </c>
      <c r="AU223" s="356">
        <v>0</v>
      </c>
      <c r="AV223" s="100">
        <v>0</v>
      </c>
      <c r="AW223" s="100"/>
      <c r="AX223" s="100"/>
      <c r="AY223" s="100">
        <v>0</v>
      </c>
      <c r="AZ223" s="100"/>
      <c r="BA223" s="100"/>
      <c r="BB223" s="100"/>
      <c r="BC223" s="298">
        <f t="shared" si="77"/>
        <v>11225</v>
      </c>
      <c r="BD223" s="896">
        <f t="shared" si="78"/>
        <v>5</v>
      </c>
      <c r="BE223" s="896">
        <f t="shared" si="79"/>
        <v>2245</v>
      </c>
      <c r="BH223" s="505"/>
    </row>
    <row r="224" spans="1:60" s="38" customFormat="1" ht="15" customHeight="1">
      <c r="A224" s="68">
        <v>19</v>
      </c>
      <c r="B224" s="695" t="s">
        <v>1448</v>
      </c>
      <c r="C224" s="695" t="s">
        <v>40</v>
      </c>
      <c r="D224" s="696" t="s">
        <v>901</v>
      </c>
      <c r="E224" s="540"/>
      <c r="F224" s="100">
        <f>+J224</f>
        <v>0</v>
      </c>
      <c r="G224" s="356"/>
      <c r="H224" s="356"/>
      <c r="I224" s="100"/>
      <c r="J224" s="356">
        <f>SUMIF(data!$D:$D,$B224&amp;$D224,data!$K:$K)</f>
        <v>0</v>
      </c>
      <c r="K224" s="356">
        <f>SUMIF(AJOUT!$A:$A,BRAN!$V:$V,AJOUT!$L:$L)</f>
        <v>0</v>
      </c>
      <c r="L224" s="356"/>
      <c r="M224" s="540"/>
      <c r="N224" s="356"/>
      <c r="O224" s="357">
        <f>SUM(X224:BB224)</f>
        <v>0</v>
      </c>
      <c r="P224" s="355"/>
      <c r="Q224" s="355"/>
      <c r="R224" s="350">
        <f>O224/INTGRATE!$N$293</f>
        <v>0</v>
      </c>
      <c r="S224" s="349">
        <f>IF(R224=0,0,N224/R224)</f>
        <v>0</v>
      </c>
      <c r="T224" s="472"/>
      <c r="U224" s="145"/>
      <c r="V224" s="960" t="str">
        <f t="shared" si="83"/>
        <v>GT12Bsilo</v>
      </c>
      <c r="W224" s="943" t="s">
        <v>881</v>
      </c>
      <c r="X224" s="456">
        <v>0</v>
      </c>
      <c r="Y224" s="456">
        <v>0</v>
      </c>
      <c r="Z224" s="100">
        <v>0</v>
      </c>
      <c r="AA224" s="100">
        <v>0</v>
      </c>
      <c r="AB224" s="100"/>
      <c r="AC224" s="100">
        <v>0</v>
      </c>
      <c r="AD224" s="100">
        <v>0</v>
      </c>
      <c r="AE224" s="100">
        <v>0</v>
      </c>
      <c r="AF224" s="100">
        <v>0</v>
      </c>
      <c r="AG224" s="356">
        <v>0</v>
      </c>
      <c r="AH224" s="100">
        <v>0</v>
      </c>
      <c r="AI224" s="100"/>
      <c r="AJ224" s="100">
        <v>0</v>
      </c>
      <c r="AK224" s="356">
        <v>0</v>
      </c>
      <c r="AL224" s="100">
        <v>0</v>
      </c>
      <c r="AM224" s="100">
        <v>0</v>
      </c>
      <c r="AN224" s="100">
        <v>0</v>
      </c>
      <c r="AO224" s="100">
        <v>0</v>
      </c>
      <c r="AP224" s="100"/>
      <c r="AQ224" s="356">
        <v>0</v>
      </c>
      <c r="AR224" s="100">
        <v>0</v>
      </c>
      <c r="AS224" s="100">
        <v>0</v>
      </c>
      <c r="AT224" s="100">
        <v>0</v>
      </c>
      <c r="AU224" s="356">
        <v>0</v>
      </c>
      <c r="AV224" s="100">
        <v>0</v>
      </c>
      <c r="AW224" s="100"/>
      <c r="AX224" s="100"/>
      <c r="AY224" s="100">
        <v>0</v>
      </c>
      <c r="AZ224" s="100"/>
      <c r="BA224" s="100"/>
      <c r="BB224" s="100"/>
      <c r="BC224" s="298">
        <f t="shared" si="77"/>
        <v>0</v>
      </c>
      <c r="BD224" s="896">
        <f t="shared" si="78"/>
        <v>0</v>
      </c>
      <c r="BE224" s="896">
        <f t="shared" si="79"/>
        <v>0</v>
      </c>
      <c r="BH224" s="505"/>
    </row>
    <row r="225" spans="1:60" s="38" customFormat="1" ht="15" customHeight="1">
      <c r="A225" s="68">
        <v>20</v>
      </c>
      <c r="B225" s="695" t="s">
        <v>1960</v>
      </c>
      <c r="C225" s="695" t="s">
        <v>40</v>
      </c>
      <c r="D225" s="696">
        <v>25</v>
      </c>
      <c r="E225" s="540">
        <v>180</v>
      </c>
      <c r="F225" s="100">
        <f>SUMIF(pro!$A:$A,$V:$V,pro!$N:$N)</f>
        <v>0</v>
      </c>
      <c r="G225" s="356"/>
      <c r="H225" s="356">
        <f>SUMIF(CBIN!$A:$A,BRAN!$V:$V,CBIN!$G:$G)</f>
        <v>0</v>
      </c>
      <c r="I225" s="100">
        <f>SUMIF(data!$D:$D,$B225&amp;$D225,data!$J:$J)</f>
        <v>0</v>
      </c>
      <c r="J225" s="356">
        <f>SUMIF(data!$D:$D,$B225&amp;$D225,data!$K:$K)</f>
        <v>0</v>
      </c>
      <c r="K225" s="356">
        <f>SUMIF(AJOUT!$A:$A,BRAN!$V:$V,AJOUT!$L:$L)</f>
        <v>0</v>
      </c>
      <c r="L225" s="356">
        <f>SUMIF(CBOUT!$A:$A,BRAN!$V:$V,CBOUT!$G:$G)</f>
        <v>0</v>
      </c>
      <c r="M225" s="540">
        <f>E225+F225+H225-I225-L225+G225-K225</f>
        <v>180</v>
      </c>
      <c r="N225" s="356">
        <f t="shared" si="81"/>
        <v>4500</v>
      </c>
      <c r="O225" s="357">
        <f>SUM(X225:BB225)</f>
        <v>15000</v>
      </c>
      <c r="P225" s="355"/>
      <c r="Q225" s="355"/>
      <c r="R225" s="350">
        <f>O225/INTGRATE!$N$293</f>
        <v>652.17391304347825</v>
      </c>
      <c r="S225" s="349">
        <f>IF(R225=0,0,N225/R225)</f>
        <v>6.9</v>
      </c>
      <c r="T225" s="472"/>
      <c r="U225" s="145"/>
      <c r="V225" s="960" t="str">
        <f t="shared" si="83"/>
        <v>GT12BS25</v>
      </c>
      <c r="W225" s="943" t="s">
        <v>1961</v>
      </c>
      <c r="X225" s="456">
        <v>0</v>
      </c>
      <c r="Y225" s="456">
        <v>0</v>
      </c>
      <c r="Z225" s="100">
        <v>0</v>
      </c>
      <c r="AA225" s="100">
        <v>7500</v>
      </c>
      <c r="AB225" s="100"/>
      <c r="AC225" s="100">
        <v>0</v>
      </c>
      <c r="AD225" s="100">
        <v>0</v>
      </c>
      <c r="AE225" s="100">
        <v>7500</v>
      </c>
      <c r="AF225" s="100">
        <v>0</v>
      </c>
      <c r="AG225" s="356">
        <v>0</v>
      </c>
      <c r="AH225" s="100">
        <v>0</v>
      </c>
      <c r="AI225" s="100"/>
      <c r="AJ225" s="100">
        <v>0</v>
      </c>
      <c r="AK225" s="356">
        <v>0</v>
      </c>
      <c r="AL225" s="100">
        <v>0</v>
      </c>
      <c r="AM225" s="100">
        <v>0</v>
      </c>
      <c r="AN225" s="100">
        <v>0</v>
      </c>
      <c r="AO225" s="100">
        <v>0</v>
      </c>
      <c r="AP225" s="100"/>
      <c r="AQ225" s="356">
        <v>0</v>
      </c>
      <c r="AR225" s="100">
        <v>0</v>
      </c>
      <c r="AS225" s="100">
        <v>0</v>
      </c>
      <c r="AT225" s="100">
        <v>0</v>
      </c>
      <c r="AU225" s="356">
        <v>0</v>
      </c>
      <c r="AV225" s="100">
        <v>0</v>
      </c>
      <c r="AW225" s="100"/>
      <c r="AX225" s="100"/>
      <c r="AY225" s="100">
        <v>0</v>
      </c>
      <c r="AZ225" s="100"/>
      <c r="BA225" s="100"/>
      <c r="BB225" s="100"/>
      <c r="BC225" s="298">
        <f t="shared" si="77"/>
        <v>15000</v>
      </c>
      <c r="BD225" s="896">
        <f t="shared" si="78"/>
        <v>2</v>
      </c>
      <c r="BE225" s="896">
        <f t="shared" si="79"/>
        <v>7500</v>
      </c>
      <c r="BH225" s="505"/>
    </row>
    <row r="226" spans="1:60" s="38" customFormat="1" ht="15" customHeight="1">
      <c r="A226" s="68">
        <v>21</v>
      </c>
      <c r="B226" s="695" t="s">
        <v>2619</v>
      </c>
      <c r="C226" s="695" t="s">
        <v>40</v>
      </c>
      <c r="D226" s="696">
        <v>25</v>
      </c>
      <c r="E226" s="540">
        <v>0</v>
      </c>
      <c r="F226" s="100">
        <f>SUMIF(pro!$A:$A,$V:$V,pro!$N:$N)</f>
        <v>0</v>
      </c>
      <c r="G226" s="356"/>
      <c r="H226" s="356">
        <f>SUMIF(CBIN!$A:$A,BRAN!$V:$V,CBIN!$G:$G)</f>
        <v>0</v>
      </c>
      <c r="I226" s="100">
        <f>SUMIF(data!$D:$D,$B226&amp;$D226,data!$J:$J)</f>
        <v>0</v>
      </c>
      <c r="J226" s="356">
        <f>SUMIF(data!$D:$D,$B226&amp;$D226,data!$K:$K)</f>
        <v>0</v>
      </c>
      <c r="K226" s="356">
        <f>SUMIF(AJOUT!$A:$A,BRAN!$V:$V,AJOUT!$L:$L)</f>
        <v>0</v>
      </c>
      <c r="L226" s="356">
        <f>SUMIF(CBOUT!$A:$A,BRAN!$V:$V,CBOUT!$G:$G)</f>
        <v>0</v>
      </c>
      <c r="M226" s="540">
        <f>E226+F226+H226-I226-L226+G226-K226</f>
        <v>0</v>
      </c>
      <c r="N226" s="356">
        <f t="shared" si="81"/>
        <v>0</v>
      </c>
      <c r="O226" s="357">
        <f>SUM(X226:BB226)</f>
        <v>3150</v>
      </c>
      <c r="P226" s="355"/>
      <c r="Q226" s="355"/>
      <c r="R226" s="350">
        <f>O226/INTGRATE!$N$293</f>
        <v>136.95652173913044</v>
      </c>
      <c r="S226" s="349">
        <f>IF(R226=0,0,N226/R226)</f>
        <v>0</v>
      </c>
      <c r="T226" s="472"/>
      <c r="U226" s="145"/>
      <c r="V226" s="960" t="str">
        <f t="shared" si="83"/>
        <v>GT12BSP25</v>
      </c>
      <c r="W226" s="943" t="s">
        <v>2620</v>
      </c>
      <c r="X226" s="456">
        <v>0</v>
      </c>
      <c r="Y226" s="456">
        <v>0</v>
      </c>
      <c r="Z226" s="100">
        <v>0</v>
      </c>
      <c r="AA226" s="100">
        <v>0</v>
      </c>
      <c r="AB226" s="100"/>
      <c r="AC226" s="100">
        <v>0</v>
      </c>
      <c r="AD226" s="100">
        <v>0</v>
      </c>
      <c r="AE226" s="100">
        <v>0</v>
      </c>
      <c r="AF226" s="100">
        <v>0</v>
      </c>
      <c r="AG226" s="356">
        <v>0</v>
      </c>
      <c r="AH226" s="100">
        <v>3150</v>
      </c>
      <c r="AI226" s="100"/>
      <c r="AJ226" s="100">
        <v>0</v>
      </c>
      <c r="AK226" s="356">
        <v>0</v>
      </c>
      <c r="AL226" s="100">
        <v>0</v>
      </c>
      <c r="AM226" s="100">
        <v>0</v>
      </c>
      <c r="AN226" s="100">
        <v>0</v>
      </c>
      <c r="AO226" s="100">
        <v>0</v>
      </c>
      <c r="AP226" s="100"/>
      <c r="AQ226" s="356">
        <v>0</v>
      </c>
      <c r="AR226" s="100">
        <v>0</v>
      </c>
      <c r="AS226" s="100">
        <v>0</v>
      </c>
      <c r="AT226" s="100">
        <v>0</v>
      </c>
      <c r="AU226" s="356">
        <v>0</v>
      </c>
      <c r="AV226" s="100">
        <v>0</v>
      </c>
      <c r="AW226" s="100"/>
      <c r="AX226" s="100"/>
      <c r="AY226" s="100">
        <v>0</v>
      </c>
      <c r="AZ226" s="100"/>
      <c r="BA226" s="100"/>
      <c r="BB226" s="100"/>
      <c r="BC226" s="298">
        <f t="shared" si="77"/>
        <v>3150</v>
      </c>
      <c r="BD226" s="896">
        <f t="shared" si="78"/>
        <v>1</v>
      </c>
      <c r="BE226" s="896">
        <f t="shared" si="79"/>
        <v>3150</v>
      </c>
      <c r="BH226" s="505"/>
    </row>
    <row r="227" spans="1:60" s="38" customFormat="1" ht="15" customHeight="1">
      <c r="A227" s="68">
        <v>22</v>
      </c>
      <c r="B227" s="695" t="s">
        <v>1443</v>
      </c>
      <c r="C227" s="695" t="s">
        <v>1504</v>
      </c>
      <c r="D227" s="696" t="s">
        <v>901</v>
      </c>
      <c r="E227" s="540">
        <v>0</v>
      </c>
      <c r="F227" s="100">
        <f>+J227</f>
        <v>0</v>
      </c>
      <c r="G227" s="356"/>
      <c r="H227" s="356"/>
      <c r="I227" s="100"/>
      <c r="J227" s="356">
        <f>SUMIF(data!$D:$D,$B227&amp;$D227,data!$K:$K)</f>
        <v>0</v>
      </c>
      <c r="K227" s="356">
        <f>SUMIF(AJOUT!$A:$A,BRAN!$V:$V,AJOUT!$L:$L)</f>
        <v>0</v>
      </c>
      <c r="L227" s="356"/>
      <c r="M227" s="540">
        <v>0</v>
      </c>
      <c r="N227" s="356"/>
      <c r="O227" s="357">
        <f>SUM(X227:BB227)</f>
        <v>12650</v>
      </c>
      <c r="P227" s="355"/>
      <c r="Q227" s="355"/>
      <c r="R227" s="350">
        <f>O227/INTGRATE!$N$293</f>
        <v>550</v>
      </c>
      <c r="S227" s="349">
        <f>IF(R227=0,0,N227/R227)</f>
        <v>0</v>
      </c>
      <c r="T227" s="472"/>
      <c r="U227" s="145"/>
      <c r="V227" s="960" t="str">
        <f t="shared" si="83"/>
        <v>GT12Asilo</v>
      </c>
      <c r="W227" s="943">
        <v>113601</v>
      </c>
      <c r="X227" s="456">
        <v>0</v>
      </c>
      <c r="Y227" s="456">
        <v>0</v>
      </c>
      <c r="Z227" s="100">
        <v>0</v>
      </c>
      <c r="AA227" s="100">
        <v>0</v>
      </c>
      <c r="AB227" s="100"/>
      <c r="AC227" s="100">
        <v>0</v>
      </c>
      <c r="AD227" s="100">
        <v>0</v>
      </c>
      <c r="AE227" s="100">
        <v>0</v>
      </c>
      <c r="AF227" s="100">
        <v>0</v>
      </c>
      <c r="AG227" s="356">
        <v>12650</v>
      </c>
      <c r="AH227" s="100">
        <v>0</v>
      </c>
      <c r="AI227" s="100"/>
      <c r="AJ227" s="100">
        <v>0</v>
      </c>
      <c r="AK227" s="356">
        <v>0</v>
      </c>
      <c r="AL227" s="100">
        <v>0</v>
      </c>
      <c r="AM227" s="100">
        <v>0</v>
      </c>
      <c r="AN227" s="100">
        <v>0</v>
      </c>
      <c r="AO227" s="100">
        <v>0</v>
      </c>
      <c r="AP227" s="100"/>
      <c r="AQ227" s="356">
        <v>0</v>
      </c>
      <c r="AR227" s="100">
        <v>0</v>
      </c>
      <c r="AS227" s="100">
        <v>0</v>
      </c>
      <c r="AT227" s="100">
        <v>0</v>
      </c>
      <c r="AU227" s="356">
        <v>0</v>
      </c>
      <c r="AV227" s="100">
        <v>0</v>
      </c>
      <c r="AW227" s="100"/>
      <c r="AX227" s="100"/>
      <c r="AY227" s="100">
        <v>0</v>
      </c>
      <c r="AZ227" s="100"/>
      <c r="BA227" s="100"/>
      <c r="BB227" s="100"/>
      <c r="BC227" s="298">
        <f t="shared" si="77"/>
        <v>12650</v>
      </c>
      <c r="BD227" s="896">
        <f t="shared" si="78"/>
        <v>1</v>
      </c>
      <c r="BE227" s="896">
        <f t="shared" si="79"/>
        <v>12650</v>
      </c>
      <c r="BH227" s="505"/>
    </row>
    <row r="228" spans="1:60" s="38" customFormat="1" ht="15" customHeight="1">
      <c r="A228" s="68">
        <v>23</v>
      </c>
      <c r="B228" s="695" t="s">
        <v>1443</v>
      </c>
      <c r="C228" s="695" t="s">
        <v>1504</v>
      </c>
      <c r="D228" s="696">
        <v>25</v>
      </c>
      <c r="E228" s="540">
        <v>118</v>
      </c>
      <c r="F228" s="100">
        <f>SUMIF(pro!$A:$A,$V:$V,pro!$N:$N)</f>
        <v>0</v>
      </c>
      <c r="G228" s="356"/>
      <c r="H228" s="356">
        <f>SUMIF(CBIN!$A:$A,BRAN!$V:$V,CBIN!$G:$G)</f>
        <v>0</v>
      </c>
      <c r="I228" s="100">
        <f>SUMIF(data!$D:$D,$B228&amp;$D228,data!$J:$J)</f>
        <v>0</v>
      </c>
      <c r="J228" s="356">
        <f>SUMIF(data!$D:$D,$B228&amp;$D228,data!$K:$K)</f>
        <v>0</v>
      </c>
      <c r="K228" s="356">
        <f>SUMIF(AJOUT!$A:$A,BRAN!$V:$V,AJOUT!$L:$L)</f>
        <v>0</v>
      </c>
      <c r="L228" s="356">
        <f>SUMIF(CBOUT!$A:$A,BRAN!$V:$V,CBOUT!$G:$G)</f>
        <v>0</v>
      </c>
      <c r="M228" s="540">
        <f t="shared" si="84"/>
        <v>118</v>
      </c>
      <c r="N228" s="356">
        <f t="shared" si="81"/>
        <v>2950</v>
      </c>
      <c r="O228" s="357">
        <f t="shared" si="71"/>
        <v>0</v>
      </c>
      <c r="P228" s="355"/>
      <c r="Q228" s="355"/>
      <c r="R228" s="350">
        <f>O228/INTGRATE!$N$293</f>
        <v>0</v>
      </c>
      <c r="S228" s="349">
        <f t="shared" si="82"/>
        <v>0</v>
      </c>
      <c r="T228" s="472"/>
      <c r="U228" s="145"/>
      <c r="V228" s="960" t="str">
        <f t="shared" si="83"/>
        <v>GT12A25</v>
      </c>
      <c r="W228" s="943">
        <v>113601</v>
      </c>
      <c r="X228" s="456">
        <v>0</v>
      </c>
      <c r="Y228" s="456">
        <v>0</v>
      </c>
      <c r="Z228" s="100">
        <v>0</v>
      </c>
      <c r="AA228" s="100">
        <v>0</v>
      </c>
      <c r="AB228" s="100"/>
      <c r="AC228" s="100">
        <v>0</v>
      </c>
      <c r="AD228" s="100">
        <v>0</v>
      </c>
      <c r="AE228" s="100">
        <v>0</v>
      </c>
      <c r="AF228" s="100">
        <v>0</v>
      </c>
      <c r="AG228" s="356">
        <v>0</v>
      </c>
      <c r="AH228" s="100">
        <v>0</v>
      </c>
      <c r="AI228" s="100"/>
      <c r="AJ228" s="100">
        <v>0</v>
      </c>
      <c r="AK228" s="356">
        <v>0</v>
      </c>
      <c r="AL228" s="100">
        <v>0</v>
      </c>
      <c r="AM228" s="100">
        <v>0</v>
      </c>
      <c r="AN228" s="100">
        <v>0</v>
      </c>
      <c r="AO228" s="100">
        <v>0</v>
      </c>
      <c r="AP228" s="100"/>
      <c r="AQ228" s="356">
        <v>0</v>
      </c>
      <c r="AR228" s="100">
        <v>0</v>
      </c>
      <c r="AS228" s="100">
        <v>0</v>
      </c>
      <c r="AT228" s="100">
        <v>0</v>
      </c>
      <c r="AU228" s="356">
        <v>0</v>
      </c>
      <c r="AV228" s="100">
        <v>0</v>
      </c>
      <c r="AW228" s="100"/>
      <c r="AX228" s="100"/>
      <c r="AY228" s="100">
        <v>0</v>
      </c>
      <c r="AZ228" s="100"/>
      <c r="BA228" s="100"/>
      <c r="BB228" s="100"/>
      <c r="BC228" s="298">
        <f t="shared" si="77"/>
        <v>0</v>
      </c>
      <c r="BD228" s="896">
        <f t="shared" si="78"/>
        <v>0</v>
      </c>
      <c r="BE228" s="896">
        <f t="shared" si="79"/>
        <v>0</v>
      </c>
      <c r="BH228" s="505"/>
    </row>
    <row r="229" spans="1:60" s="38" customFormat="1" ht="15" customHeight="1">
      <c r="A229" s="68">
        <v>24</v>
      </c>
      <c r="B229" s="695" t="s">
        <v>1912</v>
      </c>
      <c r="C229" s="902" t="s">
        <v>1550</v>
      </c>
      <c r="D229" s="696">
        <v>25</v>
      </c>
      <c r="E229" s="540">
        <v>621</v>
      </c>
      <c r="F229" s="100">
        <f>SUMIF(pro!$A:$A,$V:$V,pro!$N:$N)</f>
        <v>0</v>
      </c>
      <c r="G229" s="356"/>
      <c r="H229" s="356">
        <f>SUMIF(CBIN!$A:$A,BRAN!$V:$V,CBIN!$G:$G)</f>
        <v>0</v>
      </c>
      <c r="I229" s="100">
        <f>SUMIF(data!$D:$D,$B229&amp;$D229,data!$J:$J)</f>
        <v>0</v>
      </c>
      <c r="J229" s="356">
        <f>SUMIF(data!$D:$D,$B229&amp;$D229,data!$K:$K)</f>
        <v>0</v>
      </c>
      <c r="K229" s="356">
        <f>SUMIF(AJOUT!$A:$A,BRAN!$V:$V,AJOUT!$L:$L)</f>
        <v>0</v>
      </c>
      <c r="L229" s="356">
        <f>SUMIF(CBOUT!$A:$A,BRAN!$V:$V,CBOUT!$G:$G)</f>
        <v>0</v>
      </c>
      <c r="M229" s="540">
        <f t="shared" si="84"/>
        <v>621</v>
      </c>
      <c r="N229" s="356">
        <f t="shared" si="81"/>
        <v>15525</v>
      </c>
      <c r="O229" s="357">
        <f t="shared" si="71"/>
        <v>20825</v>
      </c>
      <c r="P229" s="355"/>
      <c r="Q229" s="355"/>
      <c r="R229" s="350">
        <f>O229/INTGRATE!$N$293</f>
        <v>905.43478260869563</v>
      </c>
      <c r="S229" s="349">
        <f t="shared" si="82"/>
        <v>17.146458583433375</v>
      </c>
      <c r="T229" s="472"/>
      <c r="U229" s="145"/>
      <c r="V229" s="960" t="str">
        <f t="shared" si="83"/>
        <v>GT12S25</v>
      </c>
      <c r="W229" s="943">
        <v>113301</v>
      </c>
      <c r="X229" s="456">
        <v>0</v>
      </c>
      <c r="Y229" s="456">
        <v>0</v>
      </c>
      <c r="Z229" s="100">
        <v>0</v>
      </c>
      <c r="AA229" s="100">
        <v>0</v>
      </c>
      <c r="AB229" s="100"/>
      <c r="AC229" s="100">
        <v>0</v>
      </c>
      <c r="AD229" s="100">
        <v>0</v>
      </c>
      <c r="AE229" s="100">
        <v>0</v>
      </c>
      <c r="AF229" s="100">
        <v>0</v>
      </c>
      <c r="AG229" s="356">
        <v>0</v>
      </c>
      <c r="AH229" s="100">
        <v>4325</v>
      </c>
      <c r="AI229" s="100"/>
      <c r="AJ229" s="100">
        <v>0</v>
      </c>
      <c r="AK229" s="356">
        <v>0</v>
      </c>
      <c r="AL229" s="100">
        <v>9000</v>
      </c>
      <c r="AM229" s="100">
        <v>0</v>
      </c>
      <c r="AN229" s="100">
        <v>0</v>
      </c>
      <c r="AO229" s="100">
        <v>0</v>
      </c>
      <c r="AP229" s="100"/>
      <c r="AQ229" s="356">
        <v>7500</v>
      </c>
      <c r="AR229" s="100">
        <v>0</v>
      </c>
      <c r="AS229" s="100">
        <v>0</v>
      </c>
      <c r="AT229" s="100">
        <v>0</v>
      </c>
      <c r="AU229" s="356">
        <v>0</v>
      </c>
      <c r="AV229" s="100">
        <v>0</v>
      </c>
      <c r="AW229" s="100"/>
      <c r="AX229" s="100"/>
      <c r="AY229" s="100">
        <v>0</v>
      </c>
      <c r="AZ229" s="100"/>
      <c r="BA229" s="100"/>
      <c r="BB229" s="100"/>
      <c r="BC229" s="298">
        <f t="shared" si="77"/>
        <v>20825</v>
      </c>
      <c r="BD229" s="896">
        <f t="shared" si="78"/>
        <v>3</v>
      </c>
      <c r="BE229" s="896">
        <f t="shared" si="79"/>
        <v>6941.666666666667</v>
      </c>
      <c r="BH229" s="505"/>
    </row>
    <row r="230" spans="1:60" s="38" customFormat="1" ht="15" customHeight="1">
      <c r="A230" s="68">
        <v>25</v>
      </c>
      <c r="B230" s="695" t="s">
        <v>1899</v>
      </c>
      <c r="C230" s="695" t="s">
        <v>40</v>
      </c>
      <c r="D230" s="696">
        <v>25</v>
      </c>
      <c r="E230" s="540">
        <v>245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>E230+F230+H230-I230-L230+G230-K230</f>
        <v>245</v>
      </c>
      <c r="N230" s="356">
        <f t="shared" si="81"/>
        <v>6125</v>
      </c>
      <c r="O230" s="357">
        <f>SUM(X230:BB230)</f>
        <v>7700</v>
      </c>
      <c r="P230" s="355"/>
      <c r="Q230" s="355"/>
      <c r="R230" s="350">
        <f>O230/INTGRATE!$N$293</f>
        <v>334.78260869565219</v>
      </c>
      <c r="S230" s="349">
        <f>IF(R230=0,0,N230/R230)</f>
        <v>18.295454545454543</v>
      </c>
      <c r="T230" s="472"/>
      <c r="U230" s="145"/>
      <c r="V230" s="960" t="str">
        <f t="shared" si="83"/>
        <v>GT12AS25</v>
      </c>
      <c r="W230" s="943">
        <v>113301</v>
      </c>
      <c r="X230" s="456">
        <v>0</v>
      </c>
      <c r="Y230" s="456">
        <v>7700</v>
      </c>
      <c r="Z230" s="100">
        <v>0</v>
      </c>
      <c r="AA230" s="100">
        <v>0</v>
      </c>
      <c r="AB230" s="100"/>
      <c r="AC230" s="100">
        <v>0</v>
      </c>
      <c r="AD230" s="100">
        <v>0</v>
      </c>
      <c r="AE230" s="100">
        <v>0</v>
      </c>
      <c r="AF230" s="100">
        <v>0</v>
      </c>
      <c r="AG230" s="356">
        <v>0</v>
      </c>
      <c r="AH230" s="100">
        <v>0</v>
      </c>
      <c r="AI230" s="100"/>
      <c r="AJ230" s="100">
        <v>0</v>
      </c>
      <c r="AK230" s="356">
        <v>0</v>
      </c>
      <c r="AL230" s="100">
        <v>0</v>
      </c>
      <c r="AM230" s="100">
        <v>0</v>
      </c>
      <c r="AN230" s="100">
        <v>0</v>
      </c>
      <c r="AO230" s="100">
        <v>0</v>
      </c>
      <c r="AP230" s="100"/>
      <c r="AQ230" s="356">
        <v>0</v>
      </c>
      <c r="AR230" s="100">
        <v>0</v>
      </c>
      <c r="AS230" s="100">
        <v>0</v>
      </c>
      <c r="AT230" s="100">
        <v>0</v>
      </c>
      <c r="AU230" s="356">
        <v>0</v>
      </c>
      <c r="AV230" s="100">
        <v>0</v>
      </c>
      <c r="AW230" s="100"/>
      <c r="AX230" s="100"/>
      <c r="AY230" s="100">
        <v>0</v>
      </c>
      <c r="AZ230" s="100"/>
      <c r="BA230" s="100"/>
      <c r="BB230" s="100"/>
      <c r="BC230" s="298">
        <f t="shared" si="77"/>
        <v>7700</v>
      </c>
      <c r="BD230" s="896">
        <f t="shared" si="78"/>
        <v>1</v>
      </c>
      <c r="BE230" s="896">
        <f t="shared" si="79"/>
        <v>7700</v>
      </c>
      <c r="BH230" s="505"/>
    </row>
    <row r="231" spans="1:60" s="38" customFormat="1" ht="15" customHeight="1">
      <c r="A231" s="68">
        <v>26</v>
      </c>
      <c r="B231" s="695" t="s">
        <v>1899</v>
      </c>
      <c r="C231" s="695" t="s">
        <v>40</v>
      </c>
      <c r="D231" s="696" t="s">
        <v>81</v>
      </c>
      <c r="E231" s="540"/>
      <c r="F231" s="100">
        <f>+J231</f>
        <v>0</v>
      </c>
      <c r="G231" s="356"/>
      <c r="H231" s="356"/>
      <c r="I231" s="100">
        <f>SUMIF(data!$D:$D,$B231&amp;$D231,data!$J:$J)</f>
        <v>0</v>
      </c>
      <c r="J231" s="356">
        <f>SUMIF(data!$D:$D,$B231&amp;$D231,data!$K:$K)</f>
        <v>0</v>
      </c>
      <c r="K231" s="356"/>
      <c r="L231" s="356"/>
      <c r="M231" s="540"/>
      <c r="N231" s="356"/>
      <c r="O231" s="357">
        <f>SUM(X231:BB231)</f>
        <v>107020</v>
      </c>
      <c r="P231" s="925" t="s">
        <v>2489</v>
      </c>
      <c r="Q231" s="355"/>
      <c r="R231" s="350">
        <f>O231/INTGRATE!$N$293</f>
        <v>4653.04347826087</v>
      </c>
      <c r="S231" s="349">
        <f>IF(R231=0,0,N231/R231)</f>
        <v>0</v>
      </c>
      <c r="T231" s="472"/>
      <c r="U231" s="145"/>
      <c r="V231" s="960" t="str">
        <f t="shared" si="83"/>
        <v>GT12ASSILO</v>
      </c>
      <c r="W231" s="943">
        <v>113301</v>
      </c>
      <c r="X231" s="456">
        <v>0</v>
      </c>
      <c r="Y231" s="456">
        <v>0</v>
      </c>
      <c r="Z231" s="100">
        <v>0</v>
      </c>
      <c r="AA231" s="100">
        <v>13530</v>
      </c>
      <c r="AB231" s="100"/>
      <c r="AC231" s="100">
        <v>0</v>
      </c>
      <c r="AD231" s="100">
        <v>0</v>
      </c>
      <c r="AE231" s="100">
        <v>0</v>
      </c>
      <c r="AF231" s="100">
        <v>0</v>
      </c>
      <c r="AG231" s="356">
        <v>13590</v>
      </c>
      <c r="AH231" s="100">
        <v>13450</v>
      </c>
      <c r="AI231" s="100"/>
      <c r="AJ231" s="100">
        <v>13920</v>
      </c>
      <c r="AK231" s="356">
        <v>12810</v>
      </c>
      <c r="AL231" s="100">
        <v>13030</v>
      </c>
      <c r="AM231" s="100">
        <v>0</v>
      </c>
      <c r="AN231" s="100">
        <v>0</v>
      </c>
      <c r="AO231" s="100">
        <v>0</v>
      </c>
      <c r="AP231" s="100"/>
      <c r="AQ231" s="356">
        <v>13720</v>
      </c>
      <c r="AR231" s="100">
        <v>12970</v>
      </c>
      <c r="AS231" s="100">
        <v>0</v>
      </c>
      <c r="AT231" s="100">
        <v>0</v>
      </c>
      <c r="AU231" s="356">
        <v>0</v>
      </c>
      <c r="AV231" s="100">
        <v>0</v>
      </c>
      <c r="AW231" s="100"/>
      <c r="AX231" s="100"/>
      <c r="AY231" s="100">
        <v>0</v>
      </c>
      <c r="AZ231" s="100"/>
      <c r="BA231" s="100"/>
      <c r="BB231" s="100"/>
      <c r="BC231" s="298">
        <f t="shared" si="77"/>
        <v>107020</v>
      </c>
      <c r="BD231" s="896">
        <f t="shared" si="78"/>
        <v>8</v>
      </c>
      <c r="BE231" s="896">
        <f t="shared" si="79"/>
        <v>13377.5</v>
      </c>
      <c r="BH231" s="505"/>
    </row>
    <row r="232" spans="1:60" s="38" customFormat="1" ht="15" customHeight="1">
      <c r="A232" s="68">
        <v>27</v>
      </c>
      <c r="B232" s="163" t="s">
        <v>1252</v>
      </c>
      <c r="C232" s="163" t="s">
        <v>39</v>
      </c>
      <c r="D232" s="164">
        <v>25</v>
      </c>
      <c r="E232" s="540">
        <v>0</v>
      </c>
      <c r="F232" s="100">
        <f>SUMIF(pro!$A:$A,$V:$V,pro!$N:$N)</f>
        <v>0</v>
      </c>
      <c r="G232" s="356"/>
      <c r="H232" s="356">
        <f>SUMIF(CBIN!$A:$A,BRAN!$V:$V,CBIN!$G:$G)</f>
        <v>0</v>
      </c>
      <c r="I232" s="100">
        <f>SUMIF(data!$D:$D,$B232&amp;$D232,data!$J:$J)</f>
        <v>0</v>
      </c>
      <c r="J232" s="356">
        <f>SUMIF(data!$D:$D,$B232&amp;$D232,data!$K:$K)</f>
        <v>0</v>
      </c>
      <c r="K232" s="356">
        <f>SUMIF(AJOUT!$A:$A,BRAN!$V:$V,AJOUT!$L:$L)</f>
        <v>0</v>
      </c>
      <c r="L232" s="356">
        <f>SUMIF(CBOUT!$A:$A,BRAN!$V:$V,CBOUT!$G:$G)</f>
        <v>0</v>
      </c>
      <c r="M232" s="540">
        <f t="shared" si="84"/>
        <v>0</v>
      </c>
      <c r="N232" s="356">
        <f t="shared" si="81"/>
        <v>0</v>
      </c>
      <c r="O232" s="357">
        <f t="shared" si="71"/>
        <v>0</v>
      </c>
      <c r="P232" s="359">
        <f>+N217+N250+N251+N252+N254+N258+N259+N260+N261+N218+N253</f>
        <v>38475</v>
      </c>
      <c r="Q232" s="359">
        <f>+O217+O250+O251+O252+O254+O258+O259+O260+O261+O218+O253</f>
        <v>441125</v>
      </c>
      <c r="R232" s="350">
        <f>O232/INTGRATE!$N$293</f>
        <v>0</v>
      </c>
      <c r="S232" s="349">
        <f>IF(R232=0,0,N232/R232)</f>
        <v>0</v>
      </c>
      <c r="T232" s="472"/>
      <c r="U232" s="145"/>
      <c r="V232" s="960" t="str">
        <f t="shared" ref="V232:V279" si="85">B232&amp;D232</f>
        <v>CD0225</v>
      </c>
      <c r="W232" s="943">
        <v>546000</v>
      </c>
      <c r="X232" s="456">
        <v>0</v>
      </c>
      <c r="Y232" s="456">
        <v>0</v>
      </c>
      <c r="Z232" s="100">
        <v>0</v>
      </c>
      <c r="AA232" s="100">
        <v>0</v>
      </c>
      <c r="AB232" s="100"/>
      <c r="AC232" s="100">
        <v>0</v>
      </c>
      <c r="AD232" s="100">
        <v>0</v>
      </c>
      <c r="AE232" s="100">
        <v>0</v>
      </c>
      <c r="AF232" s="100">
        <v>0</v>
      </c>
      <c r="AG232" s="356">
        <v>0</v>
      </c>
      <c r="AH232" s="100">
        <v>0</v>
      </c>
      <c r="AI232" s="100"/>
      <c r="AJ232" s="100">
        <v>0</v>
      </c>
      <c r="AK232" s="356">
        <v>0</v>
      </c>
      <c r="AL232" s="100">
        <v>0</v>
      </c>
      <c r="AM232" s="100">
        <v>0</v>
      </c>
      <c r="AN232" s="100">
        <v>0</v>
      </c>
      <c r="AO232" s="100">
        <v>0</v>
      </c>
      <c r="AP232" s="100"/>
      <c r="AQ232" s="356">
        <v>0</v>
      </c>
      <c r="AR232" s="100">
        <v>0</v>
      </c>
      <c r="AS232" s="100">
        <v>0</v>
      </c>
      <c r="AT232" s="100">
        <v>0</v>
      </c>
      <c r="AU232" s="356">
        <v>0</v>
      </c>
      <c r="AV232" s="100">
        <v>0</v>
      </c>
      <c r="AW232" s="100"/>
      <c r="AX232" s="100"/>
      <c r="AY232" s="100">
        <v>0</v>
      </c>
      <c r="AZ232" s="100"/>
      <c r="BA232" s="100"/>
      <c r="BB232" s="100"/>
      <c r="BC232" s="298">
        <f t="shared" si="77"/>
        <v>0</v>
      </c>
      <c r="BD232" s="896">
        <f t="shared" si="78"/>
        <v>0</v>
      </c>
      <c r="BE232" s="896">
        <f t="shared" si="79"/>
        <v>0</v>
      </c>
      <c r="BH232" s="505"/>
    </row>
    <row r="233" spans="1:60" s="38" customFormat="1" ht="15" customHeight="1">
      <c r="A233" s="68">
        <v>28</v>
      </c>
      <c r="B233" s="428" t="s">
        <v>2493</v>
      </c>
      <c r="C233" s="851" t="s">
        <v>39</v>
      </c>
      <c r="D233" s="852">
        <v>25</v>
      </c>
      <c r="E233" s="540">
        <v>102</v>
      </c>
      <c r="F233" s="100">
        <f>SUMIF(pro!$A:$A,$V:$V,pro!$N:$N)</f>
        <v>0</v>
      </c>
      <c r="G233" s="356"/>
      <c r="H233" s="356">
        <f>SUMIF(CBIN!$A:$A,BRAN!$V:$V,CBIN!$G:$G)</f>
        <v>0</v>
      </c>
      <c r="I233" s="100">
        <f>SUMIF(data!$D:$D,$B233&amp;$D233,data!$J:$J)</f>
        <v>0</v>
      </c>
      <c r="J233" s="356">
        <f>SUMIF(data!$D:$D,$B233&amp;$D233,data!$K:$K)</f>
        <v>0</v>
      </c>
      <c r="K233" s="356">
        <f>SUMIF(AJOUT!$A:$A,BRAN!$V:$V,AJOUT!$L:$L)</f>
        <v>0</v>
      </c>
      <c r="L233" s="356">
        <f>SUMIF(CBOUT!$A:$A,BRAN!$V:$V,CBOUT!$G:$G)</f>
        <v>0</v>
      </c>
      <c r="M233" s="540">
        <f t="shared" si="84"/>
        <v>102</v>
      </c>
      <c r="N233" s="356">
        <f t="shared" si="81"/>
        <v>2550</v>
      </c>
      <c r="O233" s="357">
        <f t="shared" si="71"/>
        <v>44300</v>
      </c>
      <c r="P233" s="355">
        <f>+N229+N208+N210+N211+N214+N219+N220+N215</f>
        <v>73650</v>
      </c>
      <c r="Q233" s="355">
        <f>+O229+O208+O210+O211+O214+O219+O220+O215</f>
        <v>372695</v>
      </c>
      <c r="R233" s="350">
        <f>O233/INTGRATE!$N$293</f>
        <v>1926.0869565217392</v>
      </c>
      <c r="S233" s="349">
        <f t="shared" si="82"/>
        <v>1.3239277652370203</v>
      </c>
      <c r="T233" s="472"/>
      <c r="U233" s="145"/>
      <c r="V233" s="960" t="str">
        <f t="shared" si="85"/>
        <v>BS045A25</v>
      </c>
      <c r="W233" s="943">
        <v>433060</v>
      </c>
      <c r="X233" s="456">
        <v>0</v>
      </c>
      <c r="Y233" s="456">
        <v>1350</v>
      </c>
      <c r="Z233" s="100">
        <v>1125</v>
      </c>
      <c r="AA233" s="100">
        <v>6875</v>
      </c>
      <c r="AB233" s="100"/>
      <c r="AC233" s="100">
        <v>0</v>
      </c>
      <c r="AD233" s="100">
        <v>0</v>
      </c>
      <c r="AE233" s="100">
        <v>0</v>
      </c>
      <c r="AF233" s="100">
        <v>1350</v>
      </c>
      <c r="AG233" s="356">
        <v>1125</v>
      </c>
      <c r="AH233" s="100">
        <v>6800</v>
      </c>
      <c r="AI233" s="100"/>
      <c r="AJ233" s="100">
        <v>0</v>
      </c>
      <c r="AK233" s="356">
        <v>0</v>
      </c>
      <c r="AL233" s="100">
        <v>0</v>
      </c>
      <c r="AM233" s="100">
        <v>1350</v>
      </c>
      <c r="AN233" s="100">
        <v>750</v>
      </c>
      <c r="AO233" s="100">
        <v>6400</v>
      </c>
      <c r="AP233" s="100"/>
      <c r="AQ233" s="356">
        <v>0</v>
      </c>
      <c r="AR233" s="100">
        <v>0</v>
      </c>
      <c r="AS233" s="100">
        <v>0</v>
      </c>
      <c r="AT233" s="100">
        <v>2700</v>
      </c>
      <c r="AU233" s="356">
        <v>1500</v>
      </c>
      <c r="AV233" s="100">
        <v>12975</v>
      </c>
      <c r="AW233" s="100"/>
      <c r="AX233" s="100"/>
      <c r="AY233" s="100">
        <v>0</v>
      </c>
      <c r="AZ233" s="100"/>
      <c r="BA233" s="100"/>
      <c r="BB233" s="100"/>
      <c r="BC233" s="298">
        <f t="shared" si="77"/>
        <v>44300</v>
      </c>
      <c r="BD233" s="896">
        <f t="shared" si="78"/>
        <v>12</v>
      </c>
      <c r="BE233" s="896">
        <f t="shared" si="79"/>
        <v>3691.6666666666665</v>
      </c>
      <c r="BH233" s="505"/>
    </row>
    <row r="234" spans="1:60" s="38" customFormat="1" ht="14.25" customHeight="1">
      <c r="A234" s="68">
        <v>29</v>
      </c>
      <c r="B234" s="428" t="s">
        <v>2492</v>
      </c>
      <c r="C234" s="851" t="s">
        <v>39</v>
      </c>
      <c r="D234" s="852">
        <v>25</v>
      </c>
      <c r="E234" s="540">
        <v>403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0</v>
      </c>
      <c r="J234" s="356">
        <f>SUMIF(data!$D:$D,$B234&amp;$D234,data!$K:$K)</f>
        <v>0</v>
      </c>
      <c r="K234" s="356">
        <f>SUMIF(AJOUT!$A:$A,BRAN!$V:$V,AJOUT!$L:$L)</f>
        <v>0</v>
      </c>
      <c r="L234" s="356">
        <f>SUMIF(CBOUT!$A:$A,BRAN!$V:$V,CBOUT!$G:$G)</f>
        <v>0</v>
      </c>
      <c r="M234" s="540">
        <f>E234+F234+H234-I234-L234+G234-K234</f>
        <v>403</v>
      </c>
      <c r="N234" s="356">
        <f t="shared" si="81"/>
        <v>10075</v>
      </c>
      <c r="O234" s="357">
        <f t="shared" ref="O234:O236" si="86">SUM(X234:BB234)</f>
        <v>64375</v>
      </c>
      <c r="P234" s="925" t="s">
        <v>1856</v>
      </c>
      <c r="Q234" s="355"/>
      <c r="R234" s="350">
        <f>O234/INTGRATE!$N$293</f>
        <v>2798.913043478261</v>
      </c>
      <c r="S234" s="349">
        <f t="shared" ref="S234:S236" si="87">IF(R234=0,0,N234/R234)</f>
        <v>3.5996116504854365</v>
      </c>
      <c r="T234" s="472"/>
      <c r="U234" s="145"/>
      <c r="V234" s="960" t="str">
        <f t="shared" si="85"/>
        <v>BS04A5A25</v>
      </c>
      <c r="W234" s="943">
        <v>433760</v>
      </c>
      <c r="X234" s="456">
        <v>3850</v>
      </c>
      <c r="Y234" s="456">
        <v>3275</v>
      </c>
      <c r="Z234" s="100">
        <v>3750</v>
      </c>
      <c r="AA234" s="100">
        <v>1600</v>
      </c>
      <c r="AB234" s="100"/>
      <c r="AC234" s="100">
        <v>0</v>
      </c>
      <c r="AD234" s="100">
        <v>0</v>
      </c>
      <c r="AE234" s="100">
        <v>3625</v>
      </c>
      <c r="AF234" s="100">
        <v>3300</v>
      </c>
      <c r="AG234" s="356">
        <v>4175</v>
      </c>
      <c r="AH234" s="100">
        <v>1725</v>
      </c>
      <c r="AI234" s="100"/>
      <c r="AJ234" s="100">
        <v>0</v>
      </c>
      <c r="AK234" s="356">
        <v>0</v>
      </c>
      <c r="AL234" s="100">
        <v>3625</v>
      </c>
      <c r="AM234" s="100">
        <v>3275</v>
      </c>
      <c r="AN234" s="100">
        <v>4550</v>
      </c>
      <c r="AO234" s="100">
        <v>1725</v>
      </c>
      <c r="AP234" s="100"/>
      <c r="AQ234" s="356">
        <v>0</v>
      </c>
      <c r="AR234" s="100">
        <v>0</v>
      </c>
      <c r="AS234" s="100">
        <v>7800</v>
      </c>
      <c r="AT234" s="100">
        <v>5600</v>
      </c>
      <c r="AU234" s="356">
        <v>9050</v>
      </c>
      <c r="AV234" s="100">
        <v>3450</v>
      </c>
      <c r="AW234" s="100"/>
      <c r="AX234" s="100"/>
      <c r="AY234" s="100">
        <v>0</v>
      </c>
      <c r="AZ234" s="100"/>
      <c r="BA234" s="100"/>
      <c r="BB234" s="100"/>
      <c r="BC234" s="298">
        <f t="shared" si="77"/>
        <v>64375</v>
      </c>
      <c r="BD234" s="896">
        <f t="shared" si="78"/>
        <v>16</v>
      </c>
      <c r="BE234" s="896">
        <f t="shared" si="79"/>
        <v>4023.4375</v>
      </c>
      <c r="BH234" s="505"/>
    </row>
    <row r="235" spans="1:60" s="38" customFormat="1" ht="15" customHeight="1">
      <c r="A235" s="68">
        <v>30</v>
      </c>
      <c r="B235" s="428" t="s">
        <v>1967</v>
      </c>
      <c r="C235" s="851" t="s">
        <v>39</v>
      </c>
      <c r="D235" s="852">
        <v>25</v>
      </c>
      <c r="E235" s="540">
        <v>0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0</v>
      </c>
      <c r="J235" s="356">
        <f>SUMIF(data!$D:$D,$B235&amp;$D235,data!$K:$K)</f>
        <v>0</v>
      </c>
      <c r="K235" s="356">
        <v>0</v>
      </c>
      <c r="L235" s="356">
        <f>SUMIF(CBOUT!$A:$A,BRAN!$V:$V,CBOUT!$G:$G)</f>
        <v>0</v>
      </c>
      <c r="M235" s="540">
        <f>E235+F235+H235-I235-L235+G235-K235</f>
        <v>0</v>
      </c>
      <c r="N235" s="356">
        <f t="shared" si="81"/>
        <v>0</v>
      </c>
      <c r="O235" s="357">
        <f t="shared" si="86"/>
        <v>0</v>
      </c>
      <c r="P235" s="355"/>
      <c r="Q235" s="355"/>
      <c r="R235" s="350">
        <f>O235/INTGRATE!$N$293</f>
        <v>0</v>
      </c>
      <c r="S235" s="349">
        <f t="shared" si="87"/>
        <v>0</v>
      </c>
      <c r="T235" s="472"/>
      <c r="U235" s="145"/>
      <c r="V235" s="960" t="str">
        <f>B235&amp;D235</f>
        <v>BS04V25</v>
      </c>
      <c r="W235" s="943">
        <v>433769</v>
      </c>
      <c r="X235" s="456">
        <v>0</v>
      </c>
      <c r="Y235" s="456">
        <v>0</v>
      </c>
      <c r="Z235" s="100">
        <v>0</v>
      </c>
      <c r="AA235" s="100">
        <v>0</v>
      </c>
      <c r="AB235" s="100"/>
      <c r="AC235" s="100">
        <v>0</v>
      </c>
      <c r="AD235" s="100">
        <v>0</v>
      </c>
      <c r="AE235" s="100">
        <v>0</v>
      </c>
      <c r="AF235" s="100">
        <v>0</v>
      </c>
      <c r="AG235" s="356">
        <v>0</v>
      </c>
      <c r="AH235" s="100">
        <v>0</v>
      </c>
      <c r="AI235" s="100"/>
      <c r="AJ235" s="100">
        <v>0</v>
      </c>
      <c r="AK235" s="356">
        <v>0</v>
      </c>
      <c r="AL235" s="100">
        <v>0</v>
      </c>
      <c r="AM235" s="100">
        <v>0</v>
      </c>
      <c r="AN235" s="100">
        <v>0</v>
      </c>
      <c r="AO235" s="100">
        <v>0</v>
      </c>
      <c r="AP235" s="100"/>
      <c r="AQ235" s="356">
        <v>0</v>
      </c>
      <c r="AR235" s="100">
        <v>0</v>
      </c>
      <c r="AS235" s="100">
        <v>0</v>
      </c>
      <c r="AT235" s="100">
        <v>0</v>
      </c>
      <c r="AU235" s="356">
        <v>0</v>
      </c>
      <c r="AV235" s="100">
        <v>0</v>
      </c>
      <c r="AW235" s="100"/>
      <c r="AX235" s="100"/>
      <c r="AY235" s="100">
        <v>0</v>
      </c>
      <c r="AZ235" s="100"/>
      <c r="BA235" s="100"/>
      <c r="BB235" s="100"/>
      <c r="BC235" s="298">
        <f t="shared" si="77"/>
        <v>0</v>
      </c>
      <c r="BD235" s="896">
        <f t="shared" si="78"/>
        <v>0</v>
      </c>
      <c r="BE235" s="896">
        <f t="shared" si="79"/>
        <v>0</v>
      </c>
      <c r="BH235" s="505"/>
    </row>
    <row r="236" spans="1:60" s="38" customFormat="1" ht="15" customHeight="1">
      <c r="A236" s="68">
        <v>31</v>
      </c>
      <c r="B236" s="428" t="s">
        <v>1967</v>
      </c>
      <c r="C236" s="851" t="s">
        <v>39</v>
      </c>
      <c r="D236" s="852">
        <v>40</v>
      </c>
      <c r="E236" s="540">
        <v>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v>0</v>
      </c>
      <c r="L236" s="356">
        <f>SUMIF(CBOUT!$A:$A,BRAN!$V:$V,CBOUT!$G:$G)</f>
        <v>0</v>
      </c>
      <c r="M236" s="540">
        <f>E236+F236+H236-I236-L236+G236-K236</f>
        <v>0</v>
      </c>
      <c r="N236" s="356">
        <f t="shared" si="81"/>
        <v>0</v>
      </c>
      <c r="O236" s="357">
        <f t="shared" si="86"/>
        <v>0</v>
      </c>
      <c r="P236" s="355"/>
      <c r="Q236" s="355"/>
      <c r="R236" s="350">
        <f>O236/INTGRATE!$N$293</f>
        <v>0</v>
      </c>
      <c r="S236" s="349">
        <f t="shared" si="87"/>
        <v>0</v>
      </c>
      <c r="T236" s="472"/>
      <c r="U236" s="145"/>
      <c r="V236" s="960" t="str">
        <f t="shared" si="85"/>
        <v>BS04V40</v>
      </c>
      <c r="W236" s="943">
        <v>433769</v>
      </c>
      <c r="X236" s="456">
        <v>0</v>
      </c>
      <c r="Y236" s="456">
        <v>0</v>
      </c>
      <c r="Z236" s="100">
        <v>0</v>
      </c>
      <c r="AA236" s="100">
        <v>0</v>
      </c>
      <c r="AB236" s="100"/>
      <c r="AC236" s="100">
        <v>0</v>
      </c>
      <c r="AD236" s="100">
        <v>0</v>
      </c>
      <c r="AE236" s="100">
        <v>0</v>
      </c>
      <c r="AF236" s="100">
        <v>0</v>
      </c>
      <c r="AG236" s="356">
        <v>0</v>
      </c>
      <c r="AH236" s="100">
        <v>0</v>
      </c>
      <c r="AI236" s="100"/>
      <c r="AJ236" s="100">
        <v>0</v>
      </c>
      <c r="AK236" s="356">
        <v>0</v>
      </c>
      <c r="AL236" s="100">
        <v>0</v>
      </c>
      <c r="AM236" s="100">
        <v>0</v>
      </c>
      <c r="AN236" s="100">
        <v>0</v>
      </c>
      <c r="AO236" s="100">
        <v>0</v>
      </c>
      <c r="AP236" s="100"/>
      <c r="AQ236" s="356">
        <v>0</v>
      </c>
      <c r="AR236" s="100">
        <v>0</v>
      </c>
      <c r="AS236" s="100">
        <v>0</v>
      </c>
      <c r="AT236" s="100">
        <v>0</v>
      </c>
      <c r="AU236" s="356">
        <v>0</v>
      </c>
      <c r="AV236" s="100">
        <v>0</v>
      </c>
      <c r="AW236" s="100"/>
      <c r="AX236" s="100"/>
      <c r="AY236" s="100">
        <v>0</v>
      </c>
      <c r="AZ236" s="100"/>
      <c r="BA236" s="100"/>
      <c r="BB236" s="100"/>
      <c r="BC236" s="298">
        <f t="shared" si="77"/>
        <v>0</v>
      </c>
      <c r="BD236" s="896">
        <f t="shared" si="78"/>
        <v>0</v>
      </c>
      <c r="BE236" s="896">
        <f t="shared" si="79"/>
        <v>0</v>
      </c>
      <c r="BH236" s="505"/>
    </row>
    <row r="237" spans="1:60" s="38" customFormat="1" ht="15" customHeight="1">
      <c r="A237" s="68">
        <v>32</v>
      </c>
      <c r="B237" s="428" t="s">
        <v>2661</v>
      </c>
      <c r="C237" s="851" t="s">
        <v>39</v>
      </c>
      <c r="D237" s="852">
        <v>40</v>
      </c>
      <c r="E237" s="540">
        <v>0</v>
      </c>
      <c r="F237" s="100">
        <f>SUMIF(pro!$A:$A,$V:$V,pro!$N:$N)</f>
        <v>0</v>
      </c>
      <c r="G237" s="356"/>
      <c r="H237" s="356"/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/>
      <c r="M237" s="540">
        <f>E237+F237+H237-I237-L237+G237-K237</f>
        <v>0</v>
      </c>
      <c r="N237" s="356">
        <f t="shared" ref="N237" si="88">+M237*D237</f>
        <v>0</v>
      </c>
      <c r="O237" s="357">
        <f t="shared" ref="O237" si="89">SUM(X237:BB237)</f>
        <v>7200</v>
      </c>
      <c r="P237" s="355"/>
      <c r="Q237" s="355"/>
      <c r="R237" s="350">
        <f>O237/INTGRATE!$N$293</f>
        <v>313.04347826086956</v>
      </c>
      <c r="S237" s="349">
        <f t="shared" ref="S237" si="90">IF(R237=0,0,N237/R237)</f>
        <v>0</v>
      </c>
      <c r="T237" s="472"/>
      <c r="U237" s="145"/>
      <c r="V237" s="960" t="str">
        <f t="shared" si="85"/>
        <v>BS06TA40</v>
      </c>
      <c r="W237" s="943">
        <v>433778</v>
      </c>
      <c r="X237" s="456">
        <v>0</v>
      </c>
      <c r="Y237" s="456">
        <v>0</v>
      </c>
      <c r="Z237" s="100">
        <v>0</v>
      </c>
      <c r="AA237" s="100">
        <v>0</v>
      </c>
      <c r="AB237" s="100"/>
      <c r="AC237" s="100">
        <v>0</v>
      </c>
      <c r="AD237" s="100">
        <v>0</v>
      </c>
      <c r="AE237" s="100">
        <v>0</v>
      </c>
      <c r="AF237" s="100">
        <v>0</v>
      </c>
      <c r="AG237" s="356">
        <v>0</v>
      </c>
      <c r="AH237" s="100">
        <v>0</v>
      </c>
      <c r="AI237" s="100"/>
      <c r="AJ237" s="100">
        <v>0</v>
      </c>
      <c r="AK237" s="356">
        <v>0</v>
      </c>
      <c r="AL237" s="100">
        <v>7200</v>
      </c>
      <c r="AM237" s="100">
        <v>0</v>
      </c>
      <c r="AN237" s="100">
        <v>0</v>
      </c>
      <c r="AO237" s="100">
        <v>0</v>
      </c>
      <c r="AP237" s="100"/>
      <c r="AQ237" s="356">
        <v>0</v>
      </c>
      <c r="AR237" s="100">
        <v>0</v>
      </c>
      <c r="AS237" s="100">
        <v>0</v>
      </c>
      <c r="AT237" s="100">
        <v>0</v>
      </c>
      <c r="AU237" s="356">
        <v>0</v>
      </c>
      <c r="AV237" s="100">
        <v>0</v>
      </c>
      <c r="AW237" s="100"/>
      <c r="AX237" s="100"/>
      <c r="AY237" s="100">
        <v>0</v>
      </c>
      <c r="AZ237" s="100"/>
      <c r="BA237" s="100"/>
      <c r="BB237" s="100"/>
      <c r="BC237" s="298">
        <f t="shared" ref="BC237" si="91">SUM(X237:BB237)</f>
        <v>7200</v>
      </c>
      <c r="BD237" s="896">
        <f t="shared" ref="BD237" si="92">COUNTIF(X237:BB237,"&gt;0")</f>
        <v>1</v>
      </c>
      <c r="BE237" s="896">
        <f t="shared" ref="BE237" si="93">IFERROR(BC237/BD237,0)</f>
        <v>7200</v>
      </c>
      <c r="BH237" s="704"/>
    </row>
    <row r="238" spans="1:60" s="38" customFormat="1" ht="15" customHeight="1">
      <c r="A238" s="68">
        <v>33</v>
      </c>
      <c r="B238" s="428" t="s">
        <v>2649</v>
      </c>
      <c r="C238" s="851" t="s">
        <v>39</v>
      </c>
      <c r="D238" s="852" t="s">
        <v>81</v>
      </c>
      <c r="E238" s="540">
        <v>0</v>
      </c>
      <c r="F238" s="100">
        <f>+J238</f>
        <v>16020</v>
      </c>
      <c r="G238" s="356"/>
      <c r="H238" s="356"/>
      <c r="I238" s="100">
        <f>SUMIF(data!$D:$D,$B238&amp;$D238,data!$J:$J)</f>
        <v>0</v>
      </c>
      <c r="J238" s="356">
        <f>SUMIF(data!$D:$D,$B238&amp;$D238,data!$K:$K)</f>
        <v>16020</v>
      </c>
      <c r="K238" s="356"/>
      <c r="L238" s="356"/>
      <c r="M238" s="540">
        <v>0</v>
      </c>
      <c r="N238" s="356"/>
      <c r="O238" s="357">
        <f t="shared" ref="O238:O246" si="94">SUM(X238:BB238)</f>
        <v>163090</v>
      </c>
      <c r="P238" s="355"/>
      <c r="Q238" s="355"/>
      <c r="R238" s="350">
        <f>O238/INTGRATE!$N$293</f>
        <v>7090.869565217391</v>
      </c>
      <c r="S238" s="349">
        <f t="shared" ref="S238:S246" si="95">IF(R238=0,0,N238/R238)</f>
        <v>0</v>
      </c>
      <c r="T238" s="472"/>
      <c r="U238" s="145"/>
      <c r="V238" s="960" t="str">
        <f t="shared" si="85"/>
        <v>BS07TASILO</v>
      </c>
      <c r="W238" s="943">
        <v>433779</v>
      </c>
      <c r="X238" s="456">
        <v>15010</v>
      </c>
      <c r="Y238" s="456">
        <v>0</v>
      </c>
      <c r="Z238" s="100">
        <v>13000</v>
      </c>
      <c r="AA238" s="100">
        <v>0</v>
      </c>
      <c r="AB238" s="100"/>
      <c r="AC238" s="100">
        <v>14990</v>
      </c>
      <c r="AD238" s="100">
        <v>0</v>
      </c>
      <c r="AE238" s="100">
        <v>15010</v>
      </c>
      <c r="AF238" s="100">
        <v>0</v>
      </c>
      <c r="AG238" s="356">
        <v>0</v>
      </c>
      <c r="AH238" s="100">
        <v>15000</v>
      </c>
      <c r="AI238" s="100"/>
      <c r="AJ238" s="100">
        <v>0</v>
      </c>
      <c r="AK238" s="356">
        <v>15000</v>
      </c>
      <c r="AL238" s="100">
        <v>0</v>
      </c>
      <c r="AM238" s="100">
        <v>14040</v>
      </c>
      <c r="AN238" s="100">
        <v>0</v>
      </c>
      <c r="AO238" s="100">
        <v>0</v>
      </c>
      <c r="AP238" s="100"/>
      <c r="AQ238" s="356">
        <v>15020</v>
      </c>
      <c r="AR238" s="100">
        <v>0</v>
      </c>
      <c r="AS238" s="100">
        <v>15000</v>
      </c>
      <c r="AT238" s="100">
        <v>0</v>
      </c>
      <c r="AU238" s="356">
        <v>15000</v>
      </c>
      <c r="AV238" s="100">
        <v>0</v>
      </c>
      <c r="AW238" s="100"/>
      <c r="AX238" s="100"/>
      <c r="AY238" s="100">
        <v>16020</v>
      </c>
      <c r="AZ238" s="100"/>
      <c r="BA238" s="494"/>
      <c r="BB238" s="100"/>
      <c r="BC238" s="298">
        <f t="shared" si="77"/>
        <v>163090</v>
      </c>
      <c r="BD238" s="896">
        <f t="shared" si="78"/>
        <v>11</v>
      </c>
      <c r="BE238" s="896">
        <f t="shared" si="79"/>
        <v>14826.363636363636</v>
      </c>
      <c r="BH238" s="505"/>
    </row>
    <row r="239" spans="1:60" s="38" customFormat="1" ht="15" customHeight="1">
      <c r="A239" s="68">
        <v>34</v>
      </c>
      <c r="B239" s="428" t="s">
        <v>2641</v>
      </c>
      <c r="C239" s="851" t="s">
        <v>39</v>
      </c>
      <c r="D239" s="852" t="s">
        <v>81</v>
      </c>
      <c r="E239" s="540">
        <v>0</v>
      </c>
      <c r="F239" s="100">
        <f>+J239</f>
        <v>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0</v>
      </c>
      <c r="K239" s="356"/>
      <c r="L239" s="356"/>
      <c r="M239" s="540">
        <v>0</v>
      </c>
      <c r="N239" s="356"/>
      <c r="O239" s="357">
        <f t="shared" si="94"/>
        <v>41840</v>
      </c>
      <c r="P239" s="355"/>
      <c r="Q239" s="355"/>
      <c r="R239" s="350">
        <f>O239/INTGRATE!$N$293</f>
        <v>1819.1304347826087</v>
      </c>
      <c r="S239" s="349">
        <f t="shared" si="95"/>
        <v>0</v>
      </c>
      <c r="T239" s="472"/>
      <c r="U239" s="145"/>
      <c r="V239" s="960" t="str">
        <f t="shared" si="85"/>
        <v>BS09TASILO</v>
      </c>
      <c r="W239" s="943">
        <v>433780</v>
      </c>
      <c r="X239" s="456">
        <v>0</v>
      </c>
      <c r="Y239" s="456">
        <v>0</v>
      </c>
      <c r="Z239" s="100">
        <v>0</v>
      </c>
      <c r="AA239" s="100">
        <v>0</v>
      </c>
      <c r="AB239" s="100"/>
      <c r="AC239" s="100">
        <v>0</v>
      </c>
      <c r="AD239" s="100">
        <v>11720</v>
      </c>
      <c r="AE239" s="100">
        <v>0</v>
      </c>
      <c r="AF239" s="100">
        <v>0</v>
      </c>
      <c r="AG239" s="356">
        <v>0</v>
      </c>
      <c r="AH239" s="100">
        <v>0</v>
      </c>
      <c r="AI239" s="100"/>
      <c r="AJ239" s="100">
        <v>10070</v>
      </c>
      <c r="AK239" s="356">
        <v>0</v>
      </c>
      <c r="AL239" s="100">
        <v>0</v>
      </c>
      <c r="AM239" s="100">
        <v>0</v>
      </c>
      <c r="AN239" s="100">
        <v>0</v>
      </c>
      <c r="AO239" s="100">
        <v>0</v>
      </c>
      <c r="AP239" s="100"/>
      <c r="AQ239" s="356">
        <v>9980</v>
      </c>
      <c r="AR239" s="100">
        <v>0</v>
      </c>
      <c r="AS239" s="100">
        <v>0</v>
      </c>
      <c r="AT239" s="100">
        <v>0</v>
      </c>
      <c r="AU239" s="356">
        <v>0</v>
      </c>
      <c r="AV239" s="100">
        <v>10070</v>
      </c>
      <c r="AW239" s="100"/>
      <c r="AX239" s="100"/>
      <c r="AY239" s="100">
        <v>0</v>
      </c>
      <c r="AZ239" s="100"/>
      <c r="BA239" s="100"/>
      <c r="BB239" s="100"/>
      <c r="BC239" s="298">
        <f t="shared" si="77"/>
        <v>41840</v>
      </c>
      <c r="BD239" s="896">
        <f t="shared" si="78"/>
        <v>4</v>
      </c>
      <c r="BE239" s="896">
        <f t="shared" si="79"/>
        <v>10460</v>
      </c>
      <c r="BF239" s="85"/>
      <c r="BH239" s="505"/>
    </row>
    <row r="240" spans="1:60" s="38" customFormat="1" ht="15" customHeight="1">
      <c r="A240" s="68">
        <v>35</v>
      </c>
      <c r="B240" s="428" t="s">
        <v>2634</v>
      </c>
      <c r="C240" s="851" t="s">
        <v>39</v>
      </c>
      <c r="D240" s="852">
        <v>40</v>
      </c>
      <c r="E240" s="540">
        <v>0</v>
      </c>
      <c r="F240" s="100">
        <f>SUMIF(pro!$A:$A,$V:$V,pro!$N:$N)</f>
        <v>0</v>
      </c>
      <c r="G240" s="356"/>
      <c r="H240" s="356">
        <f>SUMIF(CBIN!$A:$A,BRAN!$V:$V,CBIN!$G:$G)</f>
        <v>0</v>
      </c>
      <c r="I240" s="100">
        <f>SUMIF(data!$D:$D,$B240&amp;$D240,data!$J:$J)</f>
        <v>0</v>
      </c>
      <c r="J240" s="356">
        <f>SUMIF(data!$D:$D,$B240&amp;$D240,data!$K:$K)</f>
        <v>0</v>
      </c>
      <c r="K240" s="356">
        <v>0</v>
      </c>
      <c r="L240" s="356">
        <f>SUMIF(CBOUT!$A:$A,BRAN!$V:$V,CBOUT!$G:$G)</f>
        <v>0</v>
      </c>
      <c r="M240" s="540">
        <f t="shared" ref="M240:M246" si="96">E240+F240+H240-I240-L240+G240-K240</f>
        <v>0</v>
      </c>
      <c r="N240" s="356">
        <f t="shared" si="81"/>
        <v>0</v>
      </c>
      <c r="O240" s="357">
        <f t="shared" si="94"/>
        <v>44400</v>
      </c>
      <c r="P240" s="355"/>
      <c r="Q240" s="355"/>
      <c r="R240" s="350">
        <f>O240/INTGRATE!$N$293</f>
        <v>1930.4347826086957</v>
      </c>
      <c r="S240" s="349">
        <f t="shared" si="95"/>
        <v>0</v>
      </c>
      <c r="T240" s="472"/>
      <c r="U240" s="145"/>
      <c r="V240" s="960" t="str">
        <f t="shared" si="85"/>
        <v>BS10TA40</v>
      </c>
      <c r="W240" s="943">
        <v>433781</v>
      </c>
      <c r="X240" s="456">
        <v>0</v>
      </c>
      <c r="Y240" s="456">
        <v>0</v>
      </c>
      <c r="Z240" s="100">
        <v>0</v>
      </c>
      <c r="AA240" s="100">
        <v>0</v>
      </c>
      <c r="AB240" s="100"/>
      <c r="AC240" s="100">
        <v>0</v>
      </c>
      <c r="AD240" s="100">
        <v>0</v>
      </c>
      <c r="AE240" s="100">
        <v>15000</v>
      </c>
      <c r="AF240" s="100">
        <v>0</v>
      </c>
      <c r="AG240" s="356">
        <v>0</v>
      </c>
      <c r="AH240" s="100">
        <v>0</v>
      </c>
      <c r="AI240" s="100"/>
      <c r="AJ240" s="100">
        <v>0</v>
      </c>
      <c r="AK240" s="356">
        <v>0</v>
      </c>
      <c r="AL240" s="100">
        <v>9000</v>
      </c>
      <c r="AM240" s="100">
        <v>0</v>
      </c>
      <c r="AN240" s="100">
        <v>0</v>
      </c>
      <c r="AO240" s="100">
        <v>0</v>
      </c>
      <c r="AP240" s="100"/>
      <c r="AQ240" s="356">
        <v>0</v>
      </c>
      <c r="AR240" s="100">
        <v>0</v>
      </c>
      <c r="AS240" s="100">
        <v>0</v>
      </c>
      <c r="AT240" s="100">
        <v>0</v>
      </c>
      <c r="AU240" s="356">
        <v>0</v>
      </c>
      <c r="AV240" s="100">
        <v>20400</v>
      </c>
      <c r="AW240" s="100"/>
      <c r="AX240" s="100"/>
      <c r="AY240" s="100">
        <v>0</v>
      </c>
      <c r="AZ240" s="100"/>
      <c r="BA240" s="100"/>
      <c r="BB240" s="100"/>
      <c r="BC240" s="298">
        <f t="shared" si="77"/>
        <v>44400</v>
      </c>
      <c r="BD240" s="896">
        <f t="shared" si="78"/>
        <v>3</v>
      </c>
      <c r="BE240" s="896">
        <f t="shared" si="79"/>
        <v>14800</v>
      </c>
      <c r="BH240" s="505"/>
    </row>
    <row r="241" spans="1:60" s="38" customFormat="1" ht="14.25" customHeight="1">
      <c r="A241" s="68">
        <v>36</v>
      </c>
      <c r="B241" s="428" t="s">
        <v>2655</v>
      </c>
      <c r="C241" s="851" t="s">
        <v>39</v>
      </c>
      <c r="D241" s="852">
        <v>40</v>
      </c>
      <c r="E241" s="540">
        <v>0</v>
      </c>
      <c r="F241" s="100">
        <f>SUMIF(pro!$A:$A,$V:$V,pro!$N:$N)</f>
        <v>0</v>
      </c>
      <c r="G241" s="356"/>
      <c r="H241" s="356"/>
      <c r="I241" s="100">
        <f>SUMIF(data!$D:$D,$B241&amp;$D241,data!$J:$J)</f>
        <v>0</v>
      </c>
      <c r="J241" s="356">
        <f>SUMIF(data!$D:$D,$B241&amp;$D241,data!$K:$K)</f>
        <v>0</v>
      </c>
      <c r="K241" s="356"/>
      <c r="L241" s="356"/>
      <c r="M241" s="540">
        <f t="shared" si="96"/>
        <v>0</v>
      </c>
      <c r="N241" s="356">
        <f t="shared" si="81"/>
        <v>0</v>
      </c>
      <c r="O241" s="357">
        <f t="shared" si="94"/>
        <v>8000</v>
      </c>
      <c r="P241" s="355"/>
      <c r="Q241" s="355"/>
      <c r="R241" s="350">
        <f>O241/INTGRATE!$N$293</f>
        <v>347.82608695652175</v>
      </c>
      <c r="S241" s="349">
        <f t="shared" si="95"/>
        <v>0</v>
      </c>
      <c r="T241" s="472"/>
      <c r="U241" s="145"/>
      <c r="V241" s="960" t="str">
        <f t="shared" si="85"/>
        <v>BS06LD40</v>
      </c>
      <c r="W241" s="943">
        <v>433782</v>
      </c>
      <c r="X241" s="456">
        <v>0</v>
      </c>
      <c r="Y241" s="456">
        <v>0</v>
      </c>
      <c r="Z241" s="100">
        <v>0</v>
      </c>
      <c r="AA241" s="100">
        <v>0</v>
      </c>
      <c r="AB241" s="100"/>
      <c r="AC241" s="100">
        <v>0</v>
      </c>
      <c r="AD241" s="100">
        <v>0</v>
      </c>
      <c r="AE241" s="100">
        <v>0</v>
      </c>
      <c r="AF241" s="100">
        <v>0</v>
      </c>
      <c r="AG241" s="356">
        <v>0</v>
      </c>
      <c r="AH241" s="100">
        <v>0</v>
      </c>
      <c r="AI241" s="100"/>
      <c r="AJ241" s="100">
        <v>0</v>
      </c>
      <c r="AK241" s="356">
        <v>0</v>
      </c>
      <c r="AL241" s="100">
        <v>0</v>
      </c>
      <c r="AM241" s="100">
        <v>4000</v>
      </c>
      <c r="AN241" s="100">
        <v>0</v>
      </c>
      <c r="AO241" s="100">
        <v>0</v>
      </c>
      <c r="AP241" s="100"/>
      <c r="AQ241" s="356">
        <v>0</v>
      </c>
      <c r="AR241" s="100">
        <v>0</v>
      </c>
      <c r="AS241" s="100">
        <v>0</v>
      </c>
      <c r="AT241" s="100">
        <v>0</v>
      </c>
      <c r="AU241" s="356">
        <v>4000</v>
      </c>
      <c r="AV241" s="100">
        <v>0</v>
      </c>
      <c r="AW241" s="100"/>
      <c r="AX241" s="100"/>
      <c r="AY241" s="100">
        <v>0</v>
      </c>
      <c r="AZ241" s="100"/>
      <c r="BA241" s="100"/>
      <c r="BB241" s="100"/>
      <c r="BC241" s="298">
        <f t="shared" si="77"/>
        <v>8000</v>
      </c>
      <c r="BD241" s="896">
        <f t="shared" si="78"/>
        <v>2</v>
      </c>
      <c r="BE241" s="896">
        <f t="shared" si="79"/>
        <v>4000</v>
      </c>
      <c r="BH241" s="505"/>
    </row>
    <row r="242" spans="1:60" s="38" customFormat="1" ht="15" customHeight="1">
      <c r="A242" s="68">
        <v>37</v>
      </c>
      <c r="B242" s="428" t="s">
        <v>2656</v>
      </c>
      <c r="C242" s="851" t="s">
        <v>39</v>
      </c>
      <c r="D242" s="852" t="s">
        <v>81</v>
      </c>
      <c r="E242" s="540">
        <v>0</v>
      </c>
      <c r="F242" s="100">
        <f>+J242</f>
        <v>0</v>
      </c>
      <c r="G242" s="356"/>
      <c r="H242" s="356"/>
      <c r="I242" s="100">
        <f>SUMIF(data!$D:$D,$B242&amp;$D242,data!$J:$J)</f>
        <v>0</v>
      </c>
      <c r="J242" s="356">
        <f>SUMIF(data!$D:$D,$B242&amp;$D242,data!$K:$K)</f>
        <v>0</v>
      </c>
      <c r="K242" s="356"/>
      <c r="L242" s="356"/>
      <c r="M242" s="540">
        <v>0</v>
      </c>
      <c r="N242" s="356"/>
      <c r="O242" s="357">
        <f t="shared" si="94"/>
        <v>18090</v>
      </c>
      <c r="P242" s="355"/>
      <c r="Q242" s="355"/>
      <c r="R242" s="350">
        <f>O242/INTGRATE!$N$293</f>
        <v>786.52173913043475</v>
      </c>
      <c r="S242" s="349">
        <f t="shared" si="95"/>
        <v>0</v>
      </c>
      <c r="T242" s="472"/>
      <c r="U242" s="145"/>
      <c r="V242" s="960" t="str">
        <f t="shared" si="85"/>
        <v>BS07LDSILO</v>
      </c>
      <c r="W242" s="943">
        <v>433783</v>
      </c>
      <c r="X242" s="456">
        <v>0</v>
      </c>
      <c r="Y242" s="456">
        <v>0</v>
      </c>
      <c r="Z242" s="100">
        <v>0</v>
      </c>
      <c r="AA242" s="100">
        <v>0</v>
      </c>
      <c r="AB242" s="100"/>
      <c r="AC242" s="100">
        <v>0</v>
      </c>
      <c r="AD242" s="100">
        <v>0</v>
      </c>
      <c r="AE242" s="100">
        <v>0</v>
      </c>
      <c r="AF242" s="100">
        <v>0</v>
      </c>
      <c r="AG242" s="356">
        <v>0</v>
      </c>
      <c r="AH242" s="100">
        <v>10030</v>
      </c>
      <c r="AI242" s="100"/>
      <c r="AJ242" s="100">
        <v>0</v>
      </c>
      <c r="AK242" s="356">
        <v>0</v>
      </c>
      <c r="AL242" s="100">
        <v>0</v>
      </c>
      <c r="AM242" s="100">
        <v>0</v>
      </c>
      <c r="AN242" s="100">
        <v>0</v>
      </c>
      <c r="AO242" s="100">
        <v>0</v>
      </c>
      <c r="AP242" s="100"/>
      <c r="AQ242" s="356">
        <v>0</v>
      </c>
      <c r="AR242" s="100">
        <v>0</v>
      </c>
      <c r="AS242" s="100">
        <v>0</v>
      </c>
      <c r="AT242" s="100">
        <v>8060</v>
      </c>
      <c r="AU242" s="356">
        <v>0</v>
      </c>
      <c r="AV242" s="100">
        <v>0</v>
      </c>
      <c r="AW242" s="100"/>
      <c r="AX242" s="100"/>
      <c r="AY242" s="100">
        <v>0</v>
      </c>
      <c r="AZ242" s="100"/>
      <c r="BA242" s="100"/>
      <c r="BB242" s="100"/>
      <c r="BC242" s="298">
        <f t="shared" si="77"/>
        <v>18090</v>
      </c>
      <c r="BD242" s="896">
        <f t="shared" si="78"/>
        <v>2</v>
      </c>
      <c r="BE242" s="896">
        <f t="shared" si="79"/>
        <v>9045</v>
      </c>
      <c r="BH242" s="505"/>
    </row>
    <row r="243" spans="1:60" s="38" customFormat="1" ht="15" customHeight="1">
      <c r="A243" s="68">
        <v>38</v>
      </c>
      <c r="B243" s="428" t="s">
        <v>2654</v>
      </c>
      <c r="C243" s="851" t="s">
        <v>39</v>
      </c>
      <c r="D243" s="852">
        <v>40</v>
      </c>
      <c r="E243" s="540">
        <v>0</v>
      </c>
      <c r="F243" s="100">
        <f>SUMIF(pro!$A:$A,$V:$V,pro!$N:$N)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f t="shared" si="96"/>
        <v>0</v>
      </c>
      <c r="N243" s="356">
        <f t="shared" si="81"/>
        <v>0</v>
      </c>
      <c r="O243" s="357">
        <f t="shared" si="94"/>
        <v>0</v>
      </c>
      <c r="P243" s="355"/>
      <c r="Q243" s="355"/>
      <c r="R243" s="350">
        <f>O243/INTGRATE!$N$293</f>
        <v>0</v>
      </c>
      <c r="S243" s="349">
        <f t="shared" si="95"/>
        <v>0</v>
      </c>
      <c r="T243" s="472"/>
      <c r="U243" s="145"/>
      <c r="V243" s="960" t="str">
        <f t="shared" si="85"/>
        <v>BS10LD40</v>
      </c>
      <c r="W243" s="943">
        <v>433774</v>
      </c>
      <c r="X243" s="456">
        <v>0</v>
      </c>
      <c r="Y243" s="456">
        <v>0</v>
      </c>
      <c r="Z243" s="100">
        <v>0</v>
      </c>
      <c r="AA243" s="100">
        <v>0</v>
      </c>
      <c r="AB243" s="100"/>
      <c r="AC243" s="100">
        <v>0</v>
      </c>
      <c r="AD243" s="100">
        <v>0</v>
      </c>
      <c r="AE243" s="100">
        <v>0</v>
      </c>
      <c r="AF243" s="100">
        <v>0</v>
      </c>
      <c r="AG243" s="356">
        <v>0</v>
      </c>
      <c r="AH243" s="100">
        <v>0</v>
      </c>
      <c r="AI243" s="100"/>
      <c r="AJ243" s="100">
        <v>0</v>
      </c>
      <c r="AK243" s="356">
        <v>0</v>
      </c>
      <c r="AL243" s="100">
        <v>0</v>
      </c>
      <c r="AM243" s="100">
        <v>0</v>
      </c>
      <c r="AN243" s="100">
        <v>0</v>
      </c>
      <c r="AO243" s="100">
        <v>0</v>
      </c>
      <c r="AP243" s="100"/>
      <c r="AQ243" s="356">
        <v>0</v>
      </c>
      <c r="AR243" s="100">
        <v>0</v>
      </c>
      <c r="AS243" s="100">
        <v>0</v>
      </c>
      <c r="AT243" s="100">
        <v>0</v>
      </c>
      <c r="AU243" s="356">
        <v>0</v>
      </c>
      <c r="AV243" s="100">
        <v>0</v>
      </c>
      <c r="AW243" s="100"/>
      <c r="AX243" s="100"/>
      <c r="AY243" s="100">
        <v>0</v>
      </c>
      <c r="AZ243" s="100"/>
      <c r="BA243" s="100"/>
      <c r="BB243" s="100"/>
      <c r="BC243" s="298">
        <f t="shared" si="77"/>
        <v>0</v>
      </c>
      <c r="BD243" s="896">
        <f t="shared" si="78"/>
        <v>0</v>
      </c>
      <c r="BE243" s="896">
        <f t="shared" si="79"/>
        <v>0</v>
      </c>
      <c r="BH243" s="505"/>
    </row>
    <row r="244" spans="1:60" s="38" customFormat="1" ht="15" customHeight="1">
      <c r="A244" s="68">
        <v>39</v>
      </c>
      <c r="B244" s="428" t="s">
        <v>1900</v>
      </c>
      <c r="C244" s="851" t="s">
        <v>61</v>
      </c>
      <c r="D244" s="852">
        <v>25</v>
      </c>
      <c r="E244" s="540">
        <v>0</v>
      </c>
      <c r="F244" s="100">
        <f>SUMIF(pro!$A:$A,$V:$V,pro!$N:$N)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>
        <f>SUMIF(AJOUT!$A:$A,BRAN!$V:$V,AJOUT!$L:$L)</f>
        <v>0</v>
      </c>
      <c r="L244" s="356">
        <f>SUMIF(CBOUT!$A:$A,BRAN!$V:$V,CBOUT!$G:$G)</f>
        <v>0</v>
      </c>
      <c r="M244" s="540">
        <f t="shared" si="96"/>
        <v>0</v>
      </c>
      <c r="N244" s="356">
        <f t="shared" si="81"/>
        <v>0</v>
      </c>
      <c r="O244" s="357">
        <f t="shared" si="94"/>
        <v>0</v>
      </c>
      <c r="P244" s="355"/>
      <c r="Q244" s="355"/>
      <c r="R244" s="350">
        <f>O244/INTGRATE!$N$293</f>
        <v>0</v>
      </c>
      <c r="S244" s="349">
        <f t="shared" si="95"/>
        <v>0</v>
      </c>
      <c r="T244" s="472"/>
      <c r="U244" s="145"/>
      <c r="V244" s="960" t="str">
        <f t="shared" si="85"/>
        <v>BS1425</v>
      </c>
      <c r="W244" s="943">
        <v>433061</v>
      </c>
      <c r="X244" s="456">
        <v>0</v>
      </c>
      <c r="Y244" s="456">
        <v>0</v>
      </c>
      <c r="Z244" s="100">
        <v>0</v>
      </c>
      <c r="AA244" s="100">
        <v>0</v>
      </c>
      <c r="AB244" s="100"/>
      <c r="AC244" s="100">
        <v>0</v>
      </c>
      <c r="AD244" s="100">
        <v>0</v>
      </c>
      <c r="AE244" s="100">
        <v>0</v>
      </c>
      <c r="AF244" s="100">
        <v>0</v>
      </c>
      <c r="AG244" s="356">
        <v>0</v>
      </c>
      <c r="AH244" s="100">
        <v>0</v>
      </c>
      <c r="AI244" s="100"/>
      <c r="AJ244" s="100">
        <v>0</v>
      </c>
      <c r="AK244" s="356">
        <v>0</v>
      </c>
      <c r="AL244" s="100">
        <v>0</v>
      </c>
      <c r="AM244" s="100">
        <v>0</v>
      </c>
      <c r="AN244" s="100">
        <v>0</v>
      </c>
      <c r="AO244" s="100">
        <v>0</v>
      </c>
      <c r="AP244" s="100"/>
      <c r="AQ244" s="356">
        <v>0</v>
      </c>
      <c r="AR244" s="100">
        <v>0</v>
      </c>
      <c r="AS244" s="100">
        <v>0</v>
      </c>
      <c r="AT244" s="100">
        <v>0</v>
      </c>
      <c r="AU244" s="356">
        <v>0</v>
      </c>
      <c r="AV244" s="100">
        <v>0</v>
      </c>
      <c r="AW244" s="100"/>
      <c r="AX244" s="100"/>
      <c r="AY244" s="100">
        <v>0</v>
      </c>
      <c r="AZ244" s="100"/>
      <c r="BA244" s="100"/>
      <c r="BB244" s="100"/>
      <c r="BC244" s="298">
        <f t="shared" si="77"/>
        <v>0</v>
      </c>
      <c r="BD244" s="896">
        <f t="shared" si="78"/>
        <v>0</v>
      </c>
      <c r="BE244" s="896">
        <f t="shared" si="79"/>
        <v>0</v>
      </c>
      <c r="BH244" s="505"/>
    </row>
    <row r="245" spans="1:60" s="38" customFormat="1" ht="15" customHeight="1">
      <c r="A245" s="68">
        <v>40</v>
      </c>
      <c r="B245" s="375" t="s">
        <v>16</v>
      </c>
      <c r="C245" s="414" t="s">
        <v>40</v>
      </c>
      <c r="D245" s="377">
        <v>25</v>
      </c>
      <c r="E245" s="540">
        <v>533</v>
      </c>
      <c r="F245" s="100">
        <f>SUMIF(pro!$A:$A,$V:$V,pro!$N:$N)</f>
        <v>0</v>
      </c>
      <c r="G245" s="356"/>
      <c r="H245" s="356">
        <f>SUMIF(CBIN!$A:$A,BRAN!$V:$V,CBIN!$G:$G)</f>
        <v>0</v>
      </c>
      <c r="I245" s="100">
        <f>SUMIF(data!$D:$D,$B245&amp;$D245,data!$J:$J)</f>
        <v>130</v>
      </c>
      <c r="J245" s="356">
        <f>SUMIF(data!$D:$D,$B245&amp;$D245,data!$K:$K)</f>
        <v>3250</v>
      </c>
      <c r="K245" s="356">
        <f>SUMIF(AJOUT!$A:$A,BRAN!$V:$V,AJOUT!$L:$L)</f>
        <v>0</v>
      </c>
      <c r="L245" s="356">
        <f>SUMIF(CBOUT!$A:$A,BRAN!$V:$V,CBOUT!$G:$G)</f>
        <v>0</v>
      </c>
      <c r="M245" s="540">
        <f t="shared" si="96"/>
        <v>403</v>
      </c>
      <c r="N245" s="356">
        <f t="shared" si="81"/>
        <v>10075</v>
      </c>
      <c r="O245" s="357">
        <f t="shared" si="94"/>
        <v>47400</v>
      </c>
      <c r="P245" s="355">
        <f>N277-P233-P232-P216-P206</f>
        <v>46925</v>
      </c>
      <c r="Q245" s="355">
        <f>O277-Q233-Q232-Q216-Q206</f>
        <v>930040</v>
      </c>
      <c r="R245" s="350">
        <f>O245/INTGRATE!$N$293</f>
        <v>2060.8695652173915</v>
      </c>
      <c r="S245" s="349">
        <f t="shared" si="95"/>
        <v>4.8887130801687757</v>
      </c>
      <c r="T245" s="472"/>
      <c r="U245" s="145"/>
      <c r="V245" s="960" t="str">
        <f t="shared" si="85"/>
        <v>VT1125</v>
      </c>
      <c r="W245" s="951">
        <v>201101</v>
      </c>
      <c r="X245" s="456">
        <v>0</v>
      </c>
      <c r="Y245" s="456">
        <v>0</v>
      </c>
      <c r="Z245" s="100">
        <v>8525</v>
      </c>
      <c r="AA245" s="100">
        <v>1375</v>
      </c>
      <c r="AB245" s="100"/>
      <c r="AC245" s="100">
        <v>0</v>
      </c>
      <c r="AD245" s="100">
        <v>1000</v>
      </c>
      <c r="AE245" s="100">
        <v>0</v>
      </c>
      <c r="AF245" s="100">
        <v>2500</v>
      </c>
      <c r="AG245" s="356">
        <v>1250</v>
      </c>
      <c r="AH245" s="100">
        <v>1000</v>
      </c>
      <c r="AI245" s="100"/>
      <c r="AJ245" s="100">
        <v>0</v>
      </c>
      <c r="AK245" s="356">
        <v>0</v>
      </c>
      <c r="AL245" s="100">
        <v>1250</v>
      </c>
      <c r="AM245" s="100">
        <v>2500</v>
      </c>
      <c r="AN245" s="100">
        <v>3075</v>
      </c>
      <c r="AO245" s="100">
        <v>5500</v>
      </c>
      <c r="AP245" s="100"/>
      <c r="AQ245" s="356">
        <v>0</v>
      </c>
      <c r="AR245" s="100">
        <v>0</v>
      </c>
      <c r="AS245" s="100">
        <v>1250</v>
      </c>
      <c r="AT245" s="100">
        <v>10950</v>
      </c>
      <c r="AU245" s="356">
        <v>0</v>
      </c>
      <c r="AV245" s="100">
        <v>3975</v>
      </c>
      <c r="AW245" s="100"/>
      <c r="AX245" s="100"/>
      <c r="AY245" s="100">
        <v>3250</v>
      </c>
      <c r="AZ245" s="100"/>
      <c r="BA245" s="100"/>
      <c r="BB245" s="100"/>
      <c r="BC245" s="298">
        <f t="shared" si="77"/>
        <v>47400</v>
      </c>
      <c r="BD245" s="896">
        <f t="shared" si="78"/>
        <v>14</v>
      </c>
      <c r="BE245" s="896">
        <f t="shared" si="79"/>
        <v>3385.7142857142858</v>
      </c>
      <c r="BH245" s="505"/>
    </row>
    <row r="246" spans="1:60" s="38" customFormat="1" ht="15" customHeight="1">
      <c r="A246" s="68">
        <v>41</v>
      </c>
      <c r="B246" s="375" t="s">
        <v>16</v>
      </c>
      <c r="C246" s="414" t="s">
        <v>40</v>
      </c>
      <c r="D246" s="759" t="s">
        <v>901</v>
      </c>
      <c r="E246" s="540">
        <v>0</v>
      </c>
      <c r="F246" s="100">
        <f>+J246</f>
        <v>0</v>
      </c>
      <c r="G246" s="356"/>
      <c r="H246" s="356">
        <f>SUMIF(CBIN!$A:$A,BRAN!$V:$V,CBIN!$G:$G)</f>
        <v>0</v>
      </c>
      <c r="I246" s="100">
        <f>SUMIF(data!$D:$D,$B246&amp;$D246,data!$J:$J)</f>
        <v>0</v>
      </c>
      <c r="J246" s="356">
        <f>SUMIF(data!$D:$D,$B246&amp;$D246,data!$K:$K)</f>
        <v>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96"/>
        <v>0</v>
      </c>
      <c r="N246" s="356"/>
      <c r="O246" s="357">
        <f t="shared" si="94"/>
        <v>0</v>
      </c>
      <c r="P246" s="355"/>
      <c r="Q246" s="355"/>
      <c r="R246" s="350">
        <f>O246/INTGRATE!$N$293</f>
        <v>0</v>
      </c>
      <c r="S246" s="349">
        <f t="shared" si="95"/>
        <v>0</v>
      </c>
      <c r="T246" s="472"/>
      <c r="U246" s="145"/>
      <c r="V246" s="960" t="str">
        <f t="shared" si="85"/>
        <v>VT11silo</v>
      </c>
      <c r="W246" s="951">
        <v>201101</v>
      </c>
      <c r="X246" s="456">
        <v>0</v>
      </c>
      <c r="Y246" s="456">
        <v>0</v>
      </c>
      <c r="Z246" s="100">
        <v>0</v>
      </c>
      <c r="AA246" s="100">
        <v>0</v>
      </c>
      <c r="AB246" s="100"/>
      <c r="AC246" s="100">
        <v>0</v>
      </c>
      <c r="AD246" s="100">
        <v>0</v>
      </c>
      <c r="AE246" s="100">
        <v>0</v>
      </c>
      <c r="AF246" s="100">
        <v>0</v>
      </c>
      <c r="AG246" s="356">
        <v>0</v>
      </c>
      <c r="AH246" s="100">
        <v>0</v>
      </c>
      <c r="AI246" s="100"/>
      <c r="AJ246" s="100">
        <v>0</v>
      </c>
      <c r="AK246" s="356">
        <v>0</v>
      </c>
      <c r="AL246" s="100">
        <v>0</v>
      </c>
      <c r="AM246" s="100">
        <v>0</v>
      </c>
      <c r="AN246" s="100">
        <v>0</v>
      </c>
      <c r="AO246" s="100">
        <v>0</v>
      </c>
      <c r="AP246" s="100"/>
      <c r="AQ246" s="356">
        <v>0</v>
      </c>
      <c r="AR246" s="100">
        <v>0</v>
      </c>
      <c r="AS246" s="100">
        <v>0</v>
      </c>
      <c r="AT246" s="100">
        <v>0</v>
      </c>
      <c r="AU246" s="356">
        <v>0</v>
      </c>
      <c r="AV246" s="100">
        <v>0</v>
      </c>
      <c r="AW246" s="100"/>
      <c r="AX246" s="100"/>
      <c r="AY246" s="100">
        <v>0</v>
      </c>
      <c r="AZ246" s="100"/>
      <c r="BA246" s="100"/>
      <c r="BB246" s="100"/>
      <c r="BC246" s="298">
        <f t="shared" si="77"/>
        <v>0</v>
      </c>
      <c r="BD246" s="896">
        <f t="shared" si="78"/>
        <v>0</v>
      </c>
      <c r="BE246" s="896">
        <f t="shared" si="79"/>
        <v>0</v>
      </c>
      <c r="BH246" s="505"/>
    </row>
    <row r="247" spans="1:60" s="38" customFormat="1" ht="15" customHeight="1">
      <c r="A247" s="68">
        <v>42</v>
      </c>
      <c r="B247" s="414" t="s">
        <v>114</v>
      </c>
      <c r="C247" s="375" t="s">
        <v>61</v>
      </c>
      <c r="D247" s="377" t="s">
        <v>81</v>
      </c>
      <c r="E247" s="540">
        <v>0</v>
      </c>
      <c r="F247" s="100">
        <f>+J247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84"/>
        <v>0</v>
      </c>
      <c r="N247" s="356"/>
      <c r="O247" s="357">
        <f t="shared" si="71"/>
        <v>0</v>
      </c>
      <c r="P247" s="350"/>
      <c r="Q247" s="350"/>
      <c r="R247" s="350">
        <f>O247/INTGRATE!$N$293</f>
        <v>0</v>
      </c>
      <c r="S247" s="349">
        <f t="shared" si="82"/>
        <v>0</v>
      </c>
      <c r="T247" s="472"/>
      <c r="U247" s="145"/>
      <c r="V247" s="960" t="str">
        <f t="shared" si="85"/>
        <v>VT12SILO</v>
      </c>
      <c r="W247" s="951">
        <v>203101</v>
      </c>
      <c r="X247" s="456">
        <v>0</v>
      </c>
      <c r="Y247" s="456">
        <v>0</v>
      </c>
      <c r="Z247" s="100">
        <v>0</v>
      </c>
      <c r="AA247" s="100">
        <v>0</v>
      </c>
      <c r="AB247" s="100"/>
      <c r="AC247" s="100">
        <v>0</v>
      </c>
      <c r="AD247" s="100">
        <v>0</v>
      </c>
      <c r="AE247" s="100">
        <v>0</v>
      </c>
      <c r="AF247" s="100">
        <v>0</v>
      </c>
      <c r="AG247" s="356">
        <v>0</v>
      </c>
      <c r="AH247" s="100">
        <v>0</v>
      </c>
      <c r="AI247" s="100"/>
      <c r="AJ247" s="100">
        <v>0</v>
      </c>
      <c r="AK247" s="356">
        <v>0</v>
      </c>
      <c r="AL247" s="100">
        <v>0</v>
      </c>
      <c r="AM247" s="100">
        <v>0</v>
      </c>
      <c r="AN247" s="100">
        <v>0</v>
      </c>
      <c r="AO247" s="100">
        <v>0</v>
      </c>
      <c r="AP247" s="100"/>
      <c r="AQ247" s="356">
        <v>0</v>
      </c>
      <c r="AR247" s="100">
        <v>0</v>
      </c>
      <c r="AS247" s="100">
        <v>0</v>
      </c>
      <c r="AT247" s="100">
        <v>0</v>
      </c>
      <c r="AU247" s="356">
        <v>0</v>
      </c>
      <c r="AV247" s="100">
        <v>0</v>
      </c>
      <c r="AW247" s="100"/>
      <c r="AX247" s="100"/>
      <c r="AY247" s="100">
        <v>0</v>
      </c>
      <c r="AZ247" s="100"/>
      <c r="BA247" s="100"/>
      <c r="BB247" s="100"/>
      <c r="BC247" s="298">
        <f t="shared" si="77"/>
        <v>0</v>
      </c>
      <c r="BD247" s="896">
        <f t="shared" si="78"/>
        <v>0</v>
      </c>
      <c r="BE247" s="896">
        <f t="shared" si="79"/>
        <v>0</v>
      </c>
      <c r="BH247" s="505"/>
    </row>
    <row r="248" spans="1:60" s="38" customFormat="1" ht="15" customHeight="1">
      <c r="A248" s="68">
        <v>43</v>
      </c>
      <c r="B248" s="414" t="s">
        <v>2466</v>
      </c>
      <c r="C248" s="375" t="s">
        <v>61</v>
      </c>
      <c r="D248" s="377">
        <v>25</v>
      </c>
      <c r="E248" s="540">
        <v>0</v>
      </c>
      <c r="F248" s="100">
        <f>SUMIF(pro!$A:$A,$V:$V,pro!$N:$N)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ref="M248" si="97">E248+F248+H248-I248-L248+G248-K248</f>
        <v>0</v>
      </c>
      <c r="N248" s="356">
        <f t="shared" si="81"/>
        <v>0</v>
      </c>
      <c r="O248" s="357">
        <f t="shared" ref="O248" si="98">SUM(X248:BB248)</f>
        <v>0</v>
      </c>
      <c r="P248" s="350"/>
      <c r="Q248" s="350"/>
      <c r="R248" s="350">
        <f>O248/INTGRATE!$N$293</f>
        <v>0</v>
      </c>
      <c r="S248" s="349">
        <f t="shared" ref="S248" si="99">IF(R248=0,0,N248/R248)</f>
        <v>0</v>
      </c>
      <c r="T248" s="472"/>
      <c r="U248" s="145"/>
      <c r="V248" s="960" t="str">
        <f t="shared" si="85"/>
        <v>VT12P25</v>
      </c>
      <c r="W248" s="951">
        <v>20310890</v>
      </c>
      <c r="X248" s="456">
        <v>0</v>
      </c>
      <c r="Y248" s="456">
        <v>0</v>
      </c>
      <c r="Z248" s="100">
        <v>0</v>
      </c>
      <c r="AA248" s="100">
        <v>0</v>
      </c>
      <c r="AB248" s="100"/>
      <c r="AC248" s="100">
        <v>0</v>
      </c>
      <c r="AD248" s="100">
        <v>0</v>
      </c>
      <c r="AE248" s="100">
        <v>0</v>
      </c>
      <c r="AF248" s="100">
        <v>0</v>
      </c>
      <c r="AG248" s="356">
        <v>0</v>
      </c>
      <c r="AH248" s="100">
        <v>0</v>
      </c>
      <c r="AI248" s="100"/>
      <c r="AJ248" s="100">
        <v>0</v>
      </c>
      <c r="AK248" s="356">
        <v>0</v>
      </c>
      <c r="AL248" s="100">
        <v>0</v>
      </c>
      <c r="AM248" s="100">
        <v>0</v>
      </c>
      <c r="AN248" s="100">
        <v>0</v>
      </c>
      <c r="AO248" s="100">
        <v>0</v>
      </c>
      <c r="AP248" s="100"/>
      <c r="AQ248" s="356">
        <v>0</v>
      </c>
      <c r="AR248" s="100">
        <v>0</v>
      </c>
      <c r="AS248" s="100">
        <v>0</v>
      </c>
      <c r="AT248" s="100">
        <v>0</v>
      </c>
      <c r="AU248" s="356">
        <v>0</v>
      </c>
      <c r="AV248" s="100">
        <v>0</v>
      </c>
      <c r="AW248" s="100"/>
      <c r="AX248" s="100"/>
      <c r="AY248" s="100">
        <v>0</v>
      </c>
      <c r="AZ248" s="100"/>
      <c r="BA248" s="100"/>
      <c r="BB248" s="100"/>
      <c r="BC248" s="298">
        <f t="shared" si="77"/>
        <v>0</v>
      </c>
      <c r="BD248" s="896">
        <f t="shared" si="78"/>
        <v>0</v>
      </c>
      <c r="BE248" s="896">
        <f t="shared" si="79"/>
        <v>0</v>
      </c>
      <c r="BH248" s="505"/>
    </row>
    <row r="249" spans="1:60" s="38" customFormat="1" ht="15" customHeight="1">
      <c r="A249" s="68">
        <v>44</v>
      </c>
      <c r="B249" s="414" t="s">
        <v>114</v>
      </c>
      <c r="C249" s="375" t="s">
        <v>61</v>
      </c>
      <c r="D249" s="377">
        <v>25</v>
      </c>
      <c r="E249" s="540">
        <v>726</v>
      </c>
      <c r="F249" s="100">
        <f>SUMIF(pro!$A:$A,$V:$V,pro!$N:$N)</f>
        <v>0</v>
      </c>
      <c r="G249" s="356"/>
      <c r="H249" s="356">
        <f>SUMIF(CBIN!$A:$A,BRAN!$V:$V,CBIN!$G:$G)</f>
        <v>0</v>
      </c>
      <c r="I249" s="100">
        <f>SUMIF(data!$D:$D,$B249&amp;$D249,data!$J:$J)</f>
        <v>725</v>
      </c>
      <c r="J249" s="356">
        <f>SUMIF(data!$D:$D,$B249&amp;$D249,data!$K:$K)</f>
        <v>18125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si="84"/>
        <v>1</v>
      </c>
      <c r="N249" s="356">
        <f t="shared" si="81"/>
        <v>25</v>
      </c>
      <c r="O249" s="357">
        <f t="shared" si="71"/>
        <v>221200</v>
      </c>
      <c r="P249" s="350"/>
      <c r="Q249" s="350"/>
      <c r="R249" s="350">
        <f>O249/INTGRATE!$N$293</f>
        <v>9617.391304347826</v>
      </c>
      <c r="S249" s="349">
        <f t="shared" si="82"/>
        <v>2.5994575045207957E-3</v>
      </c>
      <c r="T249" s="472"/>
      <c r="U249" s="145"/>
      <c r="V249" s="960" t="str">
        <f>B249&amp;D249</f>
        <v>VT1225</v>
      </c>
      <c r="W249" s="951">
        <v>203101</v>
      </c>
      <c r="X249" s="456">
        <v>4500</v>
      </c>
      <c r="Y249" s="456">
        <v>7500</v>
      </c>
      <c r="Z249" s="100">
        <v>5225</v>
      </c>
      <c r="AA249" s="100">
        <v>39800</v>
      </c>
      <c r="AB249" s="100"/>
      <c r="AC249" s="100">
        <v>0</v>
      </c>
      <c r="AD249" s="100">
        <v>13125</v>
      </c>
      <c r="AE249" s="100">
        <v>6000</v>
      </c>
      <c r="AF249" s="100">
        <v>15325</v>
      </c>
      <c r="AG249" s="356">
        <v>16500</v>
      </c>
      <c r="AH249" s="100">
        <v>8750</v>
      </c>
      <c r="AI249" s="100"/>
      <c r="AJ249" s="100">
        <v>5250</v>
      </c>
      <c r="AK249" s="356">
        <v>0</v>
      </c>
      <c r="AL249" s="100">
        <v>5625</v>
      </c>
      <c r="AM249" s="100">
        <v>4500</v>
      </c>
      <c r="AN249" s="100">
        <v>7500</v>
      </c>
      <c r="AO249" s="100">
        <v>8600</v>
      </c>
      <c r="AP249" s="100"/>
      <c r="AQ249" s="356">
        <v>5625</v>
      </c>
      <c r="AR249" s="100">
        <v>11625</v>
      </c>
      <c r="AS249" s="100">
        <v>9000</v>
      </c>
      <c r="AT249" s="100">
        <v>11350</v>
      </c>
      <c r="AU249" s="356">
        <v>6625</v>
      </c>
      <c r="AV249" s="100">
        <v>10650</v>
      </c>
      <c r="AW249" s="100"/>
      <c r="AX249" s="100"/>
      <c r="AY249" s="100">
        <v>18125</v>
      </c>
      <c r="AZ249" s="100"/>
      <c r="BA249" s="100"/>
      <c r="BB249" s="100"/>
      <c r="BC249" s="298">
        <f t="shared" si="77"/>
        <v>221200</v>
      </c>
      <c r="BD249" s="896">
        <f t="shared" si="78"/>
        <v>21</v>
      </c>
      <c r="BE249" s="896">
        <f t="shared" si="79"/>
        <v>10533.333333333334</v>
      </c>
      <c r="BH249" s="505"/>
    </row>
    <row r="250" spans="1:60" s="38" customFormat="1" ht="15" customHeight="1">
      <c r="A250" s="68">
        <v>45</v>
      </c>
      <c r="B250" s="191" t="s">
        <v>19</v>
      </c>
      <c r="C250" s="617" t="s">
        <v>1314</v>
      </c>
      <c r="D250" s="168">
        <v>25</v>
      </c>
      <c r="E250" s="540">
        <v>85</v>
      </c>
      <c r="F250" s="100">
        <f>SUMIF(pro!$A:$A,$V:$V,pro!$N:$N)</f>
        <v>155</v>
      </c>
      <c r="G250" s="356"/>
      <c r="H250" s="356">
        <f>SUMIF(CBIN!$A:$A,BRAN!$V:$V,CBIN!$G:$G)</f>
        <v>0</v>
      </c>
      <c r="I250" s="100">
        <f>SUMIF(data!$D:$D,$B250&amp;$D250,data!$J:$J)</f>
        <v>10</v>
      </c>
      <c r="J250" s="356">
        <f>SUMIF(data!$D:$D,$B250&amp;$D250,data!$K:$K)</f>
        <v>250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si="84"/>
        <v>230</v>
      </c>
      <c r="N250" s="356">
        <f t="shared" si="81"/>
        <v>5750</v>
      </c>
      <c r="O250" s="357">
        <f t="shared" si="71"/>
        <v>35325</v>
      </c>
      <c r="P250" s="350"/>
      <c r="Q250" s="350"/>
      <c r="R250" s="350">
        <f>O250/INTGRATE!$N$293</f>
        <v>1535.8695652173913</v>
      </c>
      <c r="S250" s="349">
        <f t="shared" si="82"/>
        <v>3.7438075017692851</v>
      </c>
      <c r="T250" s="472"/>
      <c r="U250" s="145"/>
      <c r="V250" s="960" t="str">
        <f t="shared" si="85"/>
        <v>HT1125</v>
      </c>
      <c r="W250" s="951">
        <v>314001</v>
      </c>
      <c r="X250" s="456">
        <v>0</v>
      </c>
      <c r="Y250" s="456">
        <v>0</v>
      </c>
      <c r="Z250" s="100">
        <v>0</v>
      </c>
      <c r="AA250" s="100">
        <v>8125</v>
      </c>
      <c r="AB250" s="100"/>
      <c r="AC250" s="100">
        <v>500</v>
      </c>
      <c r="AD250" s="100">
        <v>0</v>
      </c>
      <c r="AE250" s="100">
        <v>7500</v>
      </c>
      <c r="AF250" s="100">
        <v>0</v>
      </c>
      <c r="AG250" s="356">
        <v>0</v>
      </c>
      <c r="AH250" s="100">
        <v>500</v>
      </c>
      <c r="AI250" s="100"/>
      <c r="AJ250" s="100">
        <v>0</v>
      </c>
      <c r="AK250" s="356">
        <v>1825</v>
      </c>
      <c r="AL250" s="100">
        <v>0</v>
      </c>
      <c r="AM250" s="100">
        <v>7500</v>
      </c>
      <c r="AN250" s="100">
        <v>250</v>
      </c>
      <c r="AO250" s="100">
        <v>125</v>
      </c>
      <c r="AP250" s="100"/>
      <c r="AQ250" s="356">
        <v>0</v>
      </c>
      <c r="AR250" s="100">
        <v>0</v>
      </c>
      <c r="AS250" s="100">
        <v>3250</v>
      </c>
      <c r="AT250" s="100">
        <v>5500</v>
      </c>
      <c r="AU250" s="356">
        <v>0</v>
      </c>
      <c r="AV250" s="100">
        <v>0</v>
      </c>
      <c r="AW250" s="100"/>
      <c r="AX250" s="100"/>
      <c r="AY250" s="100">
        <v>250</v>
      </c>
      <c r="AZ250" s="100"/>
      <c r="BA250" s="100"/>
      <c r="BB250" s="100"/>
      <c r="BC250" s="298">
        <f t="shared" si="77"/>
        <v>35325</v>
      </c>
      <c r="BD250" s="896">
        <f t="shared" si="78"/>
        <v>11</v>
      </c>
      <c r="BE250" s="896">
        <f t="shared" si="79"/>
        <v>3211.3636363636365</v>
      </c>
      <c r="BH250" s="505"/>
    </row>
    <row r="251" spans="1:60" s="38" customFormat="1" ht="15" customHeight="1">
      <c r="A251" s="68">
        <v>46</v>
      </c>
      <c r="B251" s="191" t="s">
        <v>19</v>
      </c>
      <c r="C251" s="617" t="s">
        <v>1314</v>
      </c>
      <c r="D251" s="701" t="s">
        <v>81</v>
      </c>
      <c r="E251" s="540">
        <v>0</v>
      </c>
      <c r="F251" s="100">
        <f>+J251</f>
        <v>7290</v>
      </c>
      <c r="G251" s="356"/>
      <c r="H251" s="356">
        <f>SUMIF(CBIN!$A:$A,BRAN!$V:$V,CBIN!$G:$G)</f>
        <v>0</v>
      </c>
      <c r="I251" s="100">
        <f>SUMIF(data!$D:$D,$B251&amp;$D251,data!$J:$J)</f>
        <v>0</v>
      </c>
      <c r="J251" s="356">
        <f>SUMIF(data!$D:$D,$B251&amp;$D251,data!$K:$K)</f>
        <v>7290</v>
      </c>
      <c r="K251" s="356">
        <f>SUMIF(AJOUT!$A:$A,BRAN!$V:$V,AJOUT!$L:$L)</f>
        <v>0</v>
      </c>
      <c r="L251" s="356">
        <f>SUMIF(CBOUT!$A:$A,BRAN!$V:$V,CBOUT!$G:$G)</f>
        <v>0</v>
      </c>
      <c r="M251" s="540">
        <v>0</v>
      </c>
      <c r="N251" s="356"/>
      <c r="O251" s="357">
        <f t="shared" si="71"/>
        <v>58290</v>
      </c>
      <c r="P251" s="350"/>
      <c r="Q251" s="350"/>
      <c r="R251" s="350">
        <f>O251/INTGRATE!$N$293</f>
        <v>2534.3478260869565</v>
      </c>
      <c r="S251" s="349">
        <f t="shared" si="82"/>
        <v>0</v>
      </c>
      <c r="T251" s="472"/>
      <c r="U251" s="145"/>
      <c r="V251" s="960" t="str">
        <f t="shared" si="85"/>
        <v>HT11SILO</v>
      </c>
      <c r="W251" s="951">
        <v>314001</v>
      </c>
      <c r="X251" s="456">
        <v>0</v>
      </c>
      <c r="Y251" s="456">
        <v>0</v>
      </c>
      <c r="Z251" s="100">
        <v>0</v>
      </c>
      <c r="AA251" s="100">
        <v>4830</v>
      </c>
      <c r="AB251" s="100"/>
      <c r="AC251" s="100">
        <v>0</v>
      </c>
      <c r="AD251" s="100">
        <v>0</v>
      </c>
      <c r="AE251" s="100">
        <v>5450</v>
      </c>
      <c r="AF251" s="100">
        <v>0</v>
      </c>
      <c r="AG251" s="356">
        <v>7380</v>
      </c>
      <c r="AH251" s="100">
        <v>0</v>
      </c>
      <c r="AI251" s="100"/>
      <c r="AJ251" s="100">
        <v>0</v>
      </c>
      <c r="AK251" s="356">
        <v>12920</v>
      </c>
      <c r="AL251" s="100">
        <v>0</v>
      </c>
      <c r="AM251" s="100">
        <v>0</v>
      </c>
      <c r="AN251" s="100">
        <v>0</v>
      </c>
      <c r="AO251" s="100">
        <v>7410</v>
      </c>
      <c r="AP251" s="100"/>
      <c r="AQ251" s="356">
        <v>0</v>
      </c>
      <c r="AR251" s="100">
        <v>7480</v>
      </c>
      <c r="AS251" s="100">
        <v>5530</v>
      </c>
      <c r="AT251" s="100">
        <v>0</v>
      </c>
      <c r="AU251" s="356">
        <v>0</v>
      </c>
      <c r="AV251" s="100">
        <v>0</v>
      </c>
      <c r="AW251" s="100"/>
      <c r="AX251" s="100"/>
      <c r="AY251" s="100">
        <v>7290</v>
      </c>
      <c r="AZ251" s="100"/>
      <c r="BA251" s="100"/>
      <c r="BB251" s="100"/>
      <c r="BC251" s="298">
        <f t="shared" si="77"/>
        <v>58290</v>
      </c>
      <c r="BD251" s="896">
        <f t="shared" si="78"/>
        <v>8</v>
      </c>
      <c r="BE251" s="896">
        <f t="shared" si="79"/>
        <v>7286.25</v>
      </c>
      <c r="BF251" s="85"/>
      <c r="BH251" s="505"/>
    </row>
    <row r="252" spans="1:60" s="38" customFormat="1" ht="15" customHeight="1">
      <c r="A252" s="68">
        <v>47</v>
      </c>
      <c r="B252" s="191" t="s">
        <v>1651</v>
      </c>
      <c r="C252" s="617" t="s">
        <v>1314</v>
      </c>
      <c r="D252" s="763">
        <v>25</v>
      </c>
      <c r="E252" s="540">
        <v>0</v>
      </c>
      <c r="F252" s="100">
        <f>SUMIF(pro!$A:$A,$V:$V,pro!$N:$N)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f>E252+F252+H252-I252-L252+G252-K252</f>
        <v>0</v>
      </c>
      <c r="N252" s="356">
        <f t="shared" si="81"/>
        <v>0</v>
      </c>
      <c r="O252" s="357">
        <f t="shared" si="71"/>
        <v>0</v>
      </c>
      <c r="P252" s="350"/>
      <c r="Q252" s="350"/>
      <c r="R252" s="350">
        <f>O252/INTGRATE!$N$293</f>
        <v>0</v>
      </c>
      <c r="S252" s="349">
        <f t="shared" si="82"/>
        <v>0</v>
      </c>
      <c r="T252" s="472"/>
      <c r="U252" s="145"/>
      <c r="V252" s="960" t="str">
        <f t="shared" si="85"/>
        <v>HT11X25</v>
      </c>
      <c r="W252" s="951">
        <v>314008</v>
      </c>
      <c r="X252" s="456">
        <v>0</v>
      </c>
      <c r="Y252" s="456">
        <v>0</v>
      </c>
      <c r="Z252" s="100">
        <v>0</v>
      </c>
      <c r="AA252" s="100">
        <v>0</v>
      </c>
      <c r="AB252" s="100"/>
      <c r="AC252" s="100">
        <v>0</v>
      </c>
      <c r="AD252" s="100">
        <v>0</v>
      </c>
      <c r="AE252" s="100">
        <v>0</v>
      </c>
      <c r="AF252" s="100">
        <v>0</v>
      </c>
      <c r="AG252" s="356">
        <v>0</v>
      </c>
      <c r="AH252" s="100">
        <v>0</v>
      </c>
      <c r="AI252" s="100"/>
      <c r="AJ252" s="100">
        <v>0</v>
      </c>
      <c r="AK252" s="356">
        <v>0</v>
      </c>
      <c r="AL252" s="100">
        <v>0</v>
      </c>
      <c r="AM252" s="100">
        <v>0</v>
      </c>
      <c r="AN252" s="100">
        <v>0</v>
      </c>
      <c r="AO252" s="100">
        <v>0</v>
      </c>
      <c r="AP252" s="100"/>
      <c r="AQ252" s="356">
        <v>0</v>
      </c>
      <c r="AR252" s="100">
        <v>0</v>
      </c>
      <c r="AS252" s="100">
        <v>0</v>
      </c>
      <c r="AT252" s="100">
        <v>0</v>
      </c>
      <c r="AU252" s="356">
        <v>0</v>
      </c>
      <c r="AV252" s="100">
        <v>0</v>
      </c>
      <c r="AW252" s="100"/>
      <c r="AX252" s="100"/>
      <c r="AY252" s="100">
        <v>0</v>
      </c>
      <c r="AZ252" s="100"/>
      <c r="BA252" s="100"/>
      <c r="BB252" s="100"/>
      <c r="BC252" s="298">
        <f t="shared" si="77"/>
        <v>0</v>
      </c>
      <c r="BD252" s="896">
        <f t="shared" si="78"/>
        <v>0</v>
      </c>
      <c r="BE252" s="896">
        <f t="shared" si="79"/>
        <v>0</v>
      </c>
      <c r="BF252" s="85"/>
      <c r="BH252" s="505"/>
    </row>
    <row r="253" spans="1:60" s="38" customFormat="1" ht="15" customHeight="1">
      <c r="A253" s="68">
        <v>48</v>
      </c>
      <c r="B253" s="191" t="s">
        <v>1651</v>
      </c>
      <c r="C253" s="617" t="s">
        <v>1314</v>
      </c>
      <c r="D253" s="701" t="s">
        <v>81</v>
      </c>
      <c r="E253" s="540"/>
      <c r="F253" s="100">
        <f>+J253</f>
        <v>0</v>
      </c>
      <c r="G253" s="356"/>
      <c r="H253" s="356"/>
      <c r="I253" s="100">
        <f>SUMIF(data!$D:$D,$B253&amp;$D253,data!$J:$J)</f>
        <v>0</v>
      </c>
      <c r="J253" s="356">
        <f>SUMIF(data!$D:$D,$B253&amp;$D253,data!$K:$K)</f>
        <v>0</v>
      </c>
      <c r="K253" s="356"/>
      <c r="L253" s="356"/>
      <c r="M253" s="540"/>
      <c r="N253" s="356"/>
      <c r="O253" s="357">
        <f t="shared" si="71"/>
        <v>0</v>
      </c>
      <c r="P253" s="350"/>
      <c r="Q253" s="350"/>
      <c r="R253" s="350">
        <f>O253/INTGRATE!$N$293</f>
        <v>0</v>
      </c>
      <c r="S253" s="349">
        <f t="shared" si="82"/>
        <v>0</v>
      </c>
      <c r="T253" s="472"/>
      <c r="U253" s="145"/>
      <c r="V253" s="960" t="str">
        <f t="shared" si="85"/>
        <v>HT11XSILO</v>
      </c>
      <c r="W253" s="951">
        <v>314008</v>
      </c>
      <c r="X253" s="456">
        <v>0</v>
      </c>
      <c r="Y253" s="456">
        <v>0</v>
      </c>
      <c r="Z253" s="100">
        <v>0</v>
      </c>
      <c r="AA253" s="100">
        <v>0</v>
      </c>
      <c r="AB253" s="100"/>
      <c r="AC253" s="100">
        <v>0</v>
      </c>
      <c r="AD253" s="100">
        <v>0</v>
      </c>
      <c r="AE253" s="100">
        <v>0</v>
      </c>
      <c r="AF253" s="100">
        <v>0</v>
      </c>
      <c r="AG253" s="356">
        <v>0</v>
      </c>
      <c r="AH253" s="100">
        <v>0</v>
      </c>
      <c r="AI253" s="100"/>
      <c r="AJ253" s="100">
        <v>0</v>
      </c>
      <c r="AK253" s="356">
        <v>0</v>
      </c>
      <c r="AL253" s="100">
        <v>0</v>
      </c>
      <c r="AM253" s="100">
        <v>0</v>
      </c>
      <c r="AN253" s="100">
        <v>0</v>
      </c>
      <c r="AO253" s="100">
        <v>0</v>
      </c>
      <c r="AP253" s="100"/>
      <c r="AQ253" s="356">
        <v>0</v>
      </c>
      <c r="AR253" s="100">
        <v>0</v>
      </c>
      <c r="AS253" s="100">
        <v>0</v>
      </c>
      <c r="AT253" s="100">
        <v>0</v>
      </c>
      <c r="AU253" s="356">
        <v>0</v>
      </c>
      <c r="AV253" s="100">
        <v>0</v>
      </c>
      <c r="AW253" s="100"/>
      <c r="AX253" s="100"/>
      <c r="AY253" s="100">
        <v>0</v>
      </c>
      <c r="AZ253" s="100"/>
      <c r="BA253" s="100"/>
      <c r="BB253" s="100"/>
      <c r="BC253" s="298">
        <f t="shared" si="77"/>
        <v>0</v>
      </c>
      <c r="BD253" s="896">
        <f t="shared" si="78"/>
        <v>0</v>
      </c>
      <c r="BE253" s="896">
        <f t="shared" si="79"/>
        <v>0</v>
      </c>
      <c r="BF253" s="85"/>
      <c r="BH253" s="505"/>
    </row>
    <row r="254" spans="1:60" s="38" customFormat="1" ht="15" customHeight="1">
      <c r="A254" s="68">
        <v>49</v>
      </c>
      <c r="B254" s="191" t="s">
        <v>1356</v>
      </c>
      <c r="C254" s="617" t="s">
        <v>1314</v>
      </c>
      <c r="D254" s="168">
        <v>25</v>
      </c>
      <c r="E254" s="540">
        <v>1</v>
      </c>
      <c r="F254" s="100">
        <f>SUMIF(pro!$A:$A,$V:$V,pro!$N:$N)</f>
        <v>271</v>
      </c>
      <c r="G254" s="356"/>
      <c r="H254" s="356">
        <f>SUMIF(CBIN!$A:$A,BRAN!$V:$V,CBIN!$G:$G)</f>
        <v>0</v>
      </c>
      <c r="I254" s="100">
        <f>SUMIF(data!$D:$D,$B254&amp;$D254,data!$J:$J)</f>
        <v>0</v>
      </c>
      <c r="J254" s="356">
        <f>SUMIF(data!$D:$D,$B254&amp;$D254,data!$K:$K)</f>
        <v>0</v>
      </c>
      <c r="K254" s="356">
        <f>SUMIF(AJOUT!$A:$A,BRAN!$V:$V,AJOUT!$L:$L)</f>
        <v>0</v>
      </c>
      <c r="L254" s="356">
        <f>SUMIF(CBOUT!$A:$A,BRAN!$V:$V,CBOUT!$G:$G)</f>
        <v>0</v>
      </c>
      <c r="M254" s="540">
        <f>E254+F254+H254-I254-L254+G254-K254</f>
        <v>272</v>
      </c>
      <c r="N254" s="356">
        <f t="shared" si="81"/>
        <v>6800</v>
      </c>
      <c r="O254" s="357">
        <f>SUM(X254:BB254)</f>
        <v>17500</v>
      </c>
      <c r="P254" s="350"/>
      <c r="Q254" s="350"/>
      <c r="R254" s="350">
        <f>O254/INTGRATE!$N$293</f>
        <v>760.86956521739125</v>
      </c>
      <c r="S254" s="349">
        <f t="shared" si="82"/>
        <v>8.9371428571428577</v>
      </c>
      <c r="T254" s="472"/>
      <c r="U254" s="145"/>
      <c r="V254" s="960" t="str">
        <f t="shared" si="85"/>
        <v>HT11GP25</v>
      </c>
      <c r="W254" s="943">
        <v>314011</v>
      </c>
      <c r="X254" s="456">
        <v>0</v>
      </c>
      <c r="Y254" s="456">
        <v>0</v>
      </c>
      <c r="Z254" s="100">
        <v>0</v>
      </c>
      <c r="AA254" s="100">
        <v>0</v>
      </c>
      <c r="AB254" s="100"/>
      <c r="AC254" s="100">
        <v>0</v>
      </c>
      <c r="AD254" s="100">
        <v>0</v>
      </c>
      <c r="AE254" s="100">
        <v>3000</v>
      </c>
      <c r="AF254" s="100">
        <v>0</v>
      </c>
      <c r="AG254" s="356">
        <v>0</v>
      </c>
      <c r="AH254" s="100">
        <v>0</v>
      </c>
      <c r="AI254" s="100"/>
      <c r="AJ254" s="100">
        <v>0</v>
      </c>
      <c r="AK254" s="356">
        <v>1925</v>
      </c>
      <c r="AL254" s="100">
        <v>0</v>
      </c>
      <c r="AM254" s="100">
        <v>1250</v>
      </c>
      <c r="AN254" s="100">
        <v>0</v>
      </c>
      <c r="AO254" s="100">
        <v>0</v>
      </c>
      <c r="AP254" s="100"/>
      <c r="AQ254" s="356">
        <v>0</v>
      </c>
      <c r="AR254" s="100">
        <v>0</v>
      </c>
      <c r="AS254" s="100">
        <v>5000</v>
      </c>
      <c r="AT254" s="100">
        <v>6325</v>
      </c>
      <c r="AU254" s="356">
        <v>0</v>
      </c>
      <c r="AV254" s="100">
        <v>0</v>
      </c>
      <c r="AW254" s="100"/>
      <c r="AX254" s="100"/>
      <c r="AY254" s="100">
        <v>0</v>
      </c>
      <c r="AZ254" s="100"/>
      <c r="BA254" s="100"/>
      <c r="BB254" s="100"/>
      <c r="BC254" s="298">
        <f t="shared" si="77"/>
        <v>17500</v>
      </c>
      <c r="BD254" s="896">
        <f t="shared" si="78"/>
        <v>5</v>
      </c>
      <c r="BE254" s="896">
        <f t="shared" si="79"/>
        <v>3500</v>
      </c>
      <c r="BH254" s="505"/>
    </row>
    <row r="255" spans="1:60" s="38" customFormat="1" ht="15" customHeight="1">
      <c r="A255" s="68">
        <v>50</v>
      </c>
      <c r="B255" s="107" t="s">
        <v>12</v>
      </c>
      <c r="C255" s="107" t="s">
        <v>61</v>
      </c>
      <c r="D255" s="91">
        <v>25</v>
      </c>
      <c r="E255" s="540">
        <v>10</v>
      </c>
      <c r="F255" s="100">
        <f>SUMIF(pro!$A:$A,$V:$V,pro!$N:$N)</f>
        <v>0</v>
      </c>
      <c r="G255" s="356"/>
      <c r="H255" s="356">
        <f>SUMIF(CBIN!$A:$A,BRAN!$V:$V,CBIN!$G:$G)</f>
        <v>0</v>
      </c>
      <c r="I255" s="100">
        <f>SUMIF(data!$D:$D,$B255&amp;$D255,data!$J:$J)</f>
        <v>10</v>
      </c>
      <c r="J255" s="356">
        <f>SUMIF(data!$D:$D,$B255&amp;$D255,data!$K:$K)</f>
        <v>250</v>
      </c>
      <c r="K255" s="356">
        <f>SUMIF(AJOUT!$A:$A,BRAN!$V:$V,AJOUT!$L:$L)</f>
        <v>0</v>
      </c>
      <c r="L255" s="356">
        <f>SUMIF(CBOUT!$A:$A,BRAN!$V:$V,CBOUT!$G:$G)</f>
        <v>0</v>
      </c>
      <c r="M255" s="540">
        <f>E255+F255+H255-I255-L255+G255-K255</f>
        <v>0</v>
      </c>
      <c r="N255" s="356">
        <f t="shared" si="81"/>
        <v>0</v>
      </c>
      <c r="O255" s="357">
        <f t="shared" si="71"/>
        <v>10250</v>
      </c>
      <c r="P255" s="350"/>
      <c r="Q255" s="350"/>
      <c r="R255" s="350">
        <f>O255/INTGRATE!$N$293</f>
        <v>445.6521739130435</v>
      </c>
      <c r="S255" s="349">
        <f t="shared" si="82"/>
        <v>0</v>
      </c>
      <c r="T255" s="472"/>
      <c r="U255" s="145"/>
      <c r="V255" s="960" t="str">
        <f t="shared" si="85"/>
        <v>HT1225</v>
      </c>
      <c r="W255" s="951">
        <v>321001</v>
      </c>
      <c r="X255" s="456">
        <v>0</v>
      </c>
      <c r="Y255" s="456">
        <v>0</v>
      </c>
      <c r="Z255" s="100">
        <v>5000</v>
      </c>
      <c r="AA255" s="100">
        <v>0</v>
      </c>
      <c r="AB255" s="100"/>
      <c r="AC255" s="100">
        <v>0</v>
      </c>
      <c r="AD255" s="100">
        <v>0</v>
      </c>
      <c r="AE255" s="100">
        <v>0</v>
      </c>
      <c r="AF255" s="100">
        <v>0</v>
      </c>
      <c r="AG255" s="356">
        <v>0</v>
      </c>
      <c r="AH255" s="100">
        <v>0</v>
      </c>
      <c r="AI255" s="100"/>
      <c r="AJ255" s="100">
        <v>0</v>
      </c>
      <c r="AK255" s="356">
        <v>2500</v>
      </c>
      <c r="AL255" s="100">
        <v>0</v>
      </c>
      <c r="AM255" s="100">
        <v>0</v>
      </c>
      <c r="AN255" s="100">
        <v>0</v>
      </c>
      <c r="AO255" s="100">
        <v>0</v>
      </c>
      <c r="AP255" s="100"/>
      <c r="AQ255" s="356">
        <v>0</v>
      </c>
      <c r="AR255" s="100">
        <v>0</v>
      </c>
      <c r="AS255" s="100">
        <v>2500</v>
      </c>
      <c r="AT255" s="100">
        <v>0</v>
      </c>
      <c r="AU255" s="356">
        <v>0</v>
      </c>
      <c r="AV255" s="100">
        <v>0</v>
      </c>
      <c r="AW255" s="100"/>
      <c r="AX255" s="100"/>
      <c r="AY255" s="100">
        <v>250</v>
      </c>
      <c r="AZ255" s="100"/>
      <c r="BA255" s="100"/>
      <c r="BB255" s="100"/>
      <c r="BC255" s="298">
        <f t="shared" si="77"/>
        <v>10250</v>
      </c>
      <c r="BD255" s="896">
        <f t="shared" si="78"/>
        <v>4</v>
      </c>
      <c r="BE255" s="896">
        <f t="shared" si="79"/>
        <v>2562.5</v>
      </c>
      <c r="BH255" s="505"/>
    </row>
    <row r="256" spans="1:60" s="38" customFormat="1" ht="15" customHeight="1">
      <c r="A256" s="68">
        <v>51</v>
      </c>
      <c r="B256" s="107" t="s">
        <v>12</v>
      </c>
      <c r="C256" s="107" t="s">
        <v>61</v>
      </c>
      <c r="D256" s="494" t="s">
        <v>81</v>
      </c>
      <c r="E256" s="540">
        <v>0</v>
      </c>
      <c r="F256" s="100">
        <f>+J256</f>
        <v>0</v>
      </c>
      <c r="G256" s="356"/>
      <c r="H256" s="356">
        <f>SUMIF(CBIN!$A:$A,BRAN!$V:$V,CBIN!$G:$G)</f>
        <v>0</v>
      </c>
      <c r="I256" s="100">
        <f>SUMIF(data!$D:$D,$B256&amp;$D256,data!$J:$J)</f>
        <v>0</v>
      </c>
      <c r="J256" s="356">
        <f>SUMIF(data!$D:$D,$B256&amp;$D256,data!$K:$K)</f>
        <v>0</v>
      </c>
      <c r="K256" s="356">
        <f>SUMIF(AJOUT!$A:$A,BRAN!$V:$V,AJOUT!$L:$L)</f>
        <v>0</v>
      </c>
      <c r="L256" s="356">
        <f>SUMIF(CBOUT!$A:$A,BRAN!$V:$V,CBOUT!$G:$G)</f>
        <v>0</v>
      </c>
      <c r="M256" s="540">
        <v>0</v>
      </c>
      <c r="N256" s="356"/>
      <c r="O256" s="357">
        <f t="shared" si="71"/>
        <v>0</v>
      </c>
      <c r="P256" s="350"/>
      <c r="Q256" s="350"/>
      <c r="R256" s="350">
        <f>O256/INTGRATE!$N$293</f>
        <v>0</v>
      </c>
      <c r="S256" s="349">
        <f t="shared" si="82"/>
        <v>0</v>
      </c>
      <c r="T256" s="472"/>
      <c r="U256" s="145"/>
      <c r="V256" s="960" t="str">
        <f t="shared" si="85"/>
        <v>HT12SILO</v>
      </c>
      <c r="W256" s="951">
        <v>321001</v>
      </c>
      <c r="X256" s="456">
        <v>0</v>
      </c>
      <c r="Y256" s="456">
        <v>0</v>
      </c>
      <c r="Z256" s="100">
        <v>0</v>
      </c>
      <c r="AA256" s="100">
        <v>0</v>
      </c>
      <c r="AB256" s="100"/>
      <c r="AC256" s="100">
        <v>0</v>
      </c>
      <c r="AD256" s="100">
        <v>0</v>
      </c>
      <c r="AE256" s="100">
        <v>0</v>
      </c>
      <c r="AF256" s="100">
        <v>0</v>
      </c>
      <c r="AG256" s="356">
        <v>0</v>
      </c>
      <c r="AH256" s="100">
        <v>0</v>
      </c>
      <c r="AI256" s="100"/>
      <c r="AJ256" s="100">
        <v>0</v>
      </c>
      <c r="AK256" s="356">
        <v>0</v>
      </c>
      <c r="AL256" s="100">
        <v>0</v>
      </c>
      <c r="AM256" s="100">
        <v>0</v>
      </c>
      <c r="AN256" s="100">
        <v>0</v>
      </c>
      <c r="AO256" s="100">
        <v>0</v>
      </c>
      <c r="AP256" s="100"/>
      <c r="AQ256" s="356">
        <v>0</v>
      </c>
      <c r="AR256" s="100">
        <v>0</v>
      </c>
      <c r="AS256" s="100">
        <v>0</v>
      </c>
      <c r="AT256" s="100">
        <v>0</v>
      </c>
      <c r="AU256" s="356">
        <v>0</v>
      </c>
      <c r="AV256" s="100">
        <v>0</v>
      </c>
      <c r="AW256" s="100"/>
      <c r="AX256" s="100"/>
      <c r="AY256" s="100">
        <v>0</v>
      </c>
      <c r="AZ256" s="100"/>
      <c r="BA256" s="100"/>
      <c r="BB256" s="100"/>
      <c r="BC256" s="298">
        <f t="shared" si="77"/>
        <v>0</v>
      </c>
      <c r="BD256" s="896">
        <f t="shared" si="78"/>
        <v>0</v>
      </c>
      <c r="BE256" s="896">
        <f t="shared" si="79"/>
        <v>0</v>
      </c>
      <c r="BH256" s="505"/>
    </row>
    <row r="257" spans="1:60" s="38" customFormat="1" ht="15" customHeight="1">
      <c r="A257" s="68">
        <v>52</v>
      </c>
      <c r="B257" s="107" t="s">
        <v>1439</v>
      </c>
      <c r="C257" s="107" t="s">
        <v>61</v>
      </c>
      <c r="D257" s="91">
        <v>25</v>
      </c>
      <c r="E257" s="540">
        <v>0</v>
      </c>
      <c r="F257" s="100">
        <f>SUMIF(pro!$A:$A,$V:$V,pro!$N:$N)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f>E257+F257+H257-I257-L257+G257-K257</f>
        <v>0</v>
      </c>
      <c r="N257" s="356">
        <f t="shared" si="81"/>
        <v>0</v>
      </c>
      <c r="O257" s="357">
        <f t="shared" si="71"/>
        <v>0</v>
      </c>
      <c r="P257" s="350"/>
      <c r="Q257" s="350"/>
      <c r="R257" s="350">
        <f>O257/INTGRATE!$N$293</f>
        <v>0</v>
      </c>
      <c r="S257" s="349">
        <f t="shared" si="82"/>
        <v>0</v>
      </c>
      <c r="T257" s="472"/>
      <c r="U257" s="145"/>
      <c r="V257" s="960" t="str">
        <f t="shared" si="85"/>
        <v>HT12M25</v>
      </c>
      <c r="W257" s="951">
        <v>321012</v>
      </c>
      <c r="X257" s="456">
        <v>0</v>
      </c>
      <c r="Y257" s="456">
        <v>0</v>
      </c>
      <c r="Z257" s="100">
        <v>0</v>
      </c>
      <c r="AA257" s="100">
        <v>0</v>
      </c>
      <c r="AB257" s="100"/>
      <c r="AC257" s="100">
        <v>0</v>
      </c>
      <c r="AD257" s="100">
        <v>0</v>
      </c>
      <c r="AE257" s="100">
        <v>0</v>
      </c>
      <c r="AF257" s="100">
        <v>0</v>
      </c>
      <c r="AG257" s="356">
        <v>0</v>
      </c>
      <c r="AH257" s="100">
        <v>0</v>
      </c>
      <c r="AI257" s="100"/>
      <c r="AJ257" s="100">
        <v>0</v>
      </c>
      <c r="AK257" s="356">
        <v>0</v>
      </c>
      <c r="AL257" s="100">
        <v>0</v>
      </c>
      <c r="AM257" s="100">
        <v>0</v>
      </c>
      <c r="AN257" s="100">
        <v>0</v>
      </c>
      <c r="AO257" s="100">
        <v>0</v>
      </c>
      <c r="AP257" s="100"/>
      <c r="AQ257" s="356">
        <v>0</v>
      </c>
      <c r="AR257" s="100">
        <v>0</v>
      </c>
      <c r="AS257" s="100">
        <v>0</v>
      </c>
      <c r="AT257" s="100">
        <v>0</v>
      </c>
      <c r="AU257" s="356">
        <v>0</v>
      </c>
      <c r="AV257" s="100">
        <v>0</v>
      </c>
      <c r="AW257" s="100"/>
      <c r="AX257" s="100"/>
      <c r="AY257" s="100">
        <v>0</v>
      </c>
      <c r="AZ257" s="100"/>
      <c r="BA257" s="100"/>
      <c r="BB257" s="100"/>
      <c r="BC257" s="298">
        <f t="shared" si="77"/>
        <v>0</v>
      </c>
      <c r="BD257" s="896">
        <f t="shared" si="78"/>
        <v>0</v>
      </c>
      <c r="BE257" s="896">
        <f t="shared" si="79"/>
        <v>0</v>
      </c>
      <c r="BH257" s="505"/>
    </row>
    <row r="258" spans="1:60" s="38" customFormat="1" ht="15" customHeight="1">
      <c r="A258" s="68">
        <v>53</v>
      </c>
      <c r="B258" s="107" t="s">
        <v>55</v>
      </c>
      <c r="C258" s="124" t="s">
        <v>1314</v>
      </c>
      <c r="D258" s="91">
        <v>25</v>
      </c>
      <c r="E258" s="540">
        <v>647</v>
      </c>
      <c r="F258" s="100">
        <f>SUMIF(pro!$A:$A,$V:$V,pro!$N:$N)</f>
        <v>137</v>
      </c>
      <c r="G258" s="356"/>
      <c r="H258" s="356">
        <f>SUMIF(CBIN!$A:$A,BRAN!$V:$V,CBIN!$G:$G)</f>
        <v>0</v>
      </c>
      <c r="I258" s="100">
        <f>SUMIF(data!$D:$D,$B258&amp;$D258,data!$J:$J)</f>
        <v>40</v>
      </c>
      <c r="J258" s="356">
        <f>SUMIF(data!$D:$D,$B258&amp;$D258,data!$K:$K)</f>
        <v>1000</v>
      </c>
      <c r="K258" s="356">
        <f>SUMIF(AJOUT!$A:$A,BRAN!$V:$V,AJOUT!$L:$L)</f>
        <v>0</v>
      </c>
      <c r="L258" s="356">
        <f>SUMIF(CBOUT!$A:$A,BRAN!$V:$V,CBOUT!$G:$G)</f>
        <v>0</v>
      </c>
      <c r="M258" s="540">
        <f>E258+F258+H258-I258-L258+G258-K258</f>
        <v>744</v>
      </c>
      <c r="N258" s="356">
        <f t="shared" si="81"/>
        <v>18600</v>
      </c>
      <c r="O258" s="357">
        <f t="shared" si="71"/>
        <v>110925</v>
      </c>
      <c r="P258" s="350"/>
      <c r="Q258" s="350"/>
      <c r="R258" s="350">
        <f>O258/INTGRATE!$N$293</f>
        <v>4822.826086956522</v>
      </c>
      <c r="S258" s="349">
        <f t="shared" si="82"/>
        <v>3.8566599053414468</v>
      </c>
      <c r="T258" s="472"/>
      <c r="U258" s="145"/>
      <c r="V258" s="956" t="str">
        <f t="shared" si="85"/>
        <v>HT12S25</v>
      </c>
      <c r="W258" s="943">
        <v>320001</v>
      </c>
      <c r="X258" s="456">
        <v>0</v>
      </c>
      <c r="Y258" s="456">
        <v>0</v>
      </c>
      <c r="Z258" s="100">
        <v>0</v>
      </c>
      <c r="AA258" s="100">
        <v>19000</v>
      </c>
      <c r="AB258" s="100"/>
      <c r="AC258" s="100">
        <v>625</v>
      </c>
      <c r="AD258" s="100">
        <v>0</v>
      </c>
      <c r="AE258" s="100">
        <v>22500</v>
      </c>
      <c r="AF258" s="100">
        <v>0</v>
      </c>
      <c r="AG258" s="356">
        <v>0</v>
      </c>
      <c r="AH258" s="100">
        <v>0</v>
      </c>
      <c r="AI258" s="100"/>
      <c r="AJ258" s="100">
        <v>0</v>
      </c>
      <c r="AK258" s="356">
        <v>10000</v>
      </c>
      <c r="AL258" s="100">
        <v>0</v>
      </c>
      <c r="AM258" s="100">
        <v>0</v>
      </c>
      <c r="AN258" s="100">
        <v>0</v>
      </c>
      <c r="AO258" s="100">
        <v>0</v>
      </c>
      <c r="AP258" s="100"/>
      <c r="AQ258" s="356">
        <v>0</v>
      </c>
      <c r="AR258" s="100">
        <v>0</v>
      </c>
      <c r="AS258" s="100">
        <v>23375</v>
      </c>
      <c r="AT258" s="100">
        <v>21175</v>
      </c>
      <c r="AU258" s="356">
        <v>0</v>
      </c>
      <c r="AV258" s="100">
        <v>13250</v>
      </c>
      <c r="AW258" s="100"/>
      <c r="AX258" s="100"/>
      <c r="AY258" s="100">
        <v>1000</v>
      </c>
      <c r="AZ258" s="100"/>
      <c r="BA258" s="100"/>
      <c r="BB258" s="100"/>
      <c r="BC258" s="298">
        <f t="shared" si="77"/>
        <v>110925</v>
      </c>
      <c r="BD258" s="896">
        <f t="shared" si="78"/>
        <v>8</v>
      </c>
      <c r="BE258" s="896">
        <f t="shared" si="79"/>
        <v>13865.625</v>
      </c>
      <c r="BH258" s="505"/>
    </row>
    <row r="259" spans="1:60" s="38" customFormat="1" ht="15" customHeight="1">
      <c r="A259" s="68">
        <v>54</v>
      </c>
      <c r="B259" s="107" t="s">
        <v>55</v>
      </c>
      <c r="C259" s="124" t="s">
        <v>1314</v>
      </c>
      <c r="D259" s="494" t="s">
        <v>81</v>
      </c>
      <c r="E259" s="540">
        <v>0</v>
      </c>
      <c r="F259" s="100">
        <f>+J259</f>
        <v>5440</v>
      </c>
      <c r="G259" s="356"/>
      <c r="H259" s="356">
        <f>SUMIF(CBIN!$A:$A,BRAN!$V:$V,CBIN!$G:$G)</f>
        <v>0</v>
      </c>
      <c r="I259" s="100">
        <f>SUMIF(data!$D:$D,$B259&amp;$D259,data!$J:$J)</f>
        <v>0</v>
      </c>
      <c r="J259" s="356">
        <f>SUMIF(data!$D:$D,$B259&amp;$D259,data!$K:$K)</f>
        <v>5440</v>
      </c>
      <c r="K259" s="356">
        <f>SUMIF(AJOUT!$A:$A,BRAN!$V:$V,AJOUT!$L:$L)</f>
        <v>0</v>
      </c>
      <c r="L259" s="356">
        <f>SUMIF(CBOUT!$A:$A,BRAN!$V:$V,CBOUT!$G:$G)</f>
        <v>0</v>
      </c>
      <c r="M259" s="540">
        <v>0</v>
      </c>
      <c r="N259" s="356"/>
      <c r="O259" s="357">
        <f t="shared" si="71"/>
        <v>87020</v>
      </c>
      <c r="P259" s="350"/>
      <c r="Q259" s="350"/>
      <c r="R259" s="350">
        <f>O259/INTGRATE!$N$293</f>
        <v>3783.478260869565</v>
      </c>
      <c r="S259" s="349">
        <f t="shared" si="82"/>
        <v>0</v>
      </c>
      <c r="T259" s="472"/>
      <c r="U259" s="145"/>
      <c r="V259" s="956" t="str">
        <f t="shared" si="85"/>
        <v>HT12SSILO</v>
      </c>
      <c r="W259" s="943">
        <v>320001</v>
      </c>
      <c r="X259" s="456">
        <v>0</v>
      </c>
      <c r="Y259" s="456">
        <v>7510</v>
      </c>
      <c r="Z259" s="100">
        <v>0</v>
      </c>
      <c r="AA259" s="100">
        <v>7490</v>
      </c>
      <c r="AB259" s="100"/>
      <c r="AC259" s="100">
        <v>0</v>
      </c>
      <c r="AD259" s="100">
        <v>0</v>
      </c>
      <c r="AE259" s="100">
        <v>7600</v>
      </c>
      <c r="AF259" s="100">
        <v>7740</v>
      </c>
      <c r="AG259" s="356">
        <v>5380</v>
      </c>
      <c r="AH259" s="100">
        <v>0</v>
      </c>
      <c r="AI259" s="100"/>
      <c r="AJ259" s="100">
        <v>0</v>
      </c>
      <c r="AK259" s="356">
        <v>12830</v>
      </c>
      <c r="AL259" s="100">
        <v>0</v>
      </c>
      <c r="AM259" s="100">
        <v>0</v>
      </c>
      <c r="AN259" s="100">
        <v>0</v>
      </c>
      <c r="AO259" s="100">
        <v>13180</v>
      </c>
      <c r="AP259" s="100"/>
      <c r="AQ259" s="356">
        <v>0</v>
      </c>
      <c r="AR259" s="100">
        <v>4950</v>
      </c>
      <c r="AS259" s="100">
        <v>7380</v>
      </c>
      <c r="AT259" s="100">
        <v>0</v>
      </c>
      <c r="AU259" s="356">
        <v>0</v>
      </c>
      <c r="AV259" s="100">
        <v>7520</v>
      </c>
      <c r="AW259" s="100"/>
      <c r="AX259" s="100"/>
      <c r="AY259" s="100">
        <v>5440</v>
      </c>
      <c r="AZ259" s="100"/>
      <c r="BA259" s="100"/>
      <c r="BB259" s="100"/>
      <c r="BC259" s="298">
        <f t="shared" si="77"/>
        <v>87020</v>
      </c>
      <c r="BD259" s="896">
        <f t="shared" si="78"/>
        <v>11</v>
      </c>
      <c r="BE259" s="896">
        <f t="shared" si="79"/>
        <v>7910.909090909091</v>
      </c>
      <c r="BH259" s="505"/>
    </row>
    <row r="260" spans="1:60" s="38" customFormat="1" ht="15" customHeight="1">
      <c r="A260" s="68">
        <v>55</v>
      </c>
      <c r="B260" s="175" t="s">
        <v>1510</v>
      </c>
      <c r="C260" s="617" t="s">
        <v>1314</v>
      </c>
      <c r="D260" s="168">
        <v>25</v>
      </c>
      <c r="E260" s="540">
        <v>0</v>
      </c>
      <c r="F260" s="100">
        <f>SUMIF(pro!$A:$A,$V:$V,pro!$N:$N)</f>
        <v>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0</v>
      </c>
      <c r="K260" s="356">
        <f>SUMIF(AJOUT!$A:$A,BRAN!$V:$V,AJOUT!$L:$L)</f>
        <v>0</v>
      </c>
      <c r="L260" s="356">
        <f>SUMIF(CBOUT!$A:$A,BRAN!$V:$V,CBOUT!$G:$G)</f>
        <v>0</v>
      </c>
      <c r="M260" s="540">
        <f>E260+F260+H260-I260-L260+G260-K260</f>
        <v>0</v>
      </c>
      <c r="N260" s="356">
        <f t="shared" si="81"/>
        <v>0</v>
      </c>
      <c r="O260" s="357">
        <f t="shared" si="71"/>
        <v>0</v>
      </c>
      <c r="P260" s="350"/>
      <c r="Q260" s="350"/>
      <c r="R260" s="350">
        <f>O260/INTGRATE!$N$293</f>
        <v>0</v>
      </c>
      <c r="S260" s="349">
        <f t="shared" si="82"/>
        <v>0</v>
      </c>
      <c r="T260" s="472"/>
      <c r="U260" s="145"/>
      <c r="V260" s="956" t="str">
        <f t="shared" si="85"/>
        <v>HT12SX25</v>
      </c>
      <c r="W260" s="943">
        <v>320008</v>
      </c>
      <c r="X260" s="456">
        <v>0</v>
      </c>
      <c r="Y260" s="456">
        <v>0</v>
      </c>
      <c r="Z260" s="100">
        <v>0</v>
      </c>
      <c r="AA260" s="100">
        <v>0</v>
      </c>
      <c r="AB260" s="100"/>
      <c r="AC260" s="100">
        <v>0</v>
      </c>
      <c r="AD260" s="100">
        <v>0</v>
      </c>
      <c r="AE260" s="100">
        <v>0</v>
      </c>
      <c r="AF260" s="100">
        <v>0</v>
      </c>
      <c r="AG260" s="356">
        <v>0</v>
      </c>
      <c r="AH260" s="100">
        <v>0</v>
      </c>
      <c r="AI260" s="100"/>
      <c r="AJ260" s="100">
        <v>0</v>
      </c>
      <c r="AK260" s="356">
        <v>0</v>
      </c>
      <c r="AL260" s="100">
        <v>0</v>
      </c>
      <c r="AM260" s="100">
        <v>0</v>
      </c>
      <c r="AN260" s="100">
        <v>0</v>
      </c>
      <c r="AO260" s="100">
        <v>0</v>
      </c>
      <c r="AP260" s="100"/>
      <c r="AQ260" s="356">
        <v>0</v>
      </c>
      <c r="AR260" s="100">
        <v>0</v>
      </c>
      <c r="AS260" s="100">
        <v>0</v>
      </c>
      <c r="AT260" s="100">
        <v>0</v>
      </c>
      <c r="AU260" s="356">
        <v>0</v>
      </c>
      <c r="AV260" s="100">
        <v>0</v>
      </c>
      <c r="AW260" s="100"/>
      <c r="AX260" s="100"/>
      <c r="AY260" s="100">
        <v>0</v>
      </c>
      <c r="AZ260" s="100"/>
      <c r="BA260" s="100"/>
      <c r="BB260" s="100"/>
      <c r="BC260" s="298">
        <f t="shared" si="77"/>
        <v>0</v>
      </c>
      <c r="BD260" s="896">
        <f t="shared" si="78"/>
        <v>0</v>
      </c>
      <c r="BE260" s="896">
        <f t="shared" si="79"/>
        <v>0</v>
      </c>
      <c r="BH260" s="505"/>
    </row>
    <row r="261" spans="1:60" s="38" customFormat="1" ht="15" customHeight="1">
      <c r="A261" s="68">
        <v>56</v>
      </c>
      <c r="B261" s="175" t="s">
        <v>1510</v>
      </c>
      <c r="C261" s="617" t="s">
        <v>1314</v>
      </c>
      <c r="D261" s="701" t="s">
        <v>81</v>
      </c>
      <c r="E261" s="540">
        <v>0</v>
      </c>
      <c r="F261" s="100">
        <f>+J261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v>0</v>
      </c>
      <c r="N261" s="356"/>
      <c r="O261" s="357">
        <f t="shared" si="71"/>
        <v>47740</v>
      </c>
      <c r="P261" s="350"/>
      <c r="Q261" s="350"/>
      <c r="R261" s="350">
        <f>O261/INTGRATE!$N$293</f>
        <v>2075.6521739130435</v>
      </c>
      <c r="S261" s="349">
        <f t="shared" si="82"/>
        <v>0</v>
      </c>
      <c r="T261" s="472"/>
      <c r="U261" s="145"/>
      <c r="V261" s="956" t="str">
        <f t="shared" si="85"/>
        <v>HT12SXSILO</v>
      </c>
      <c r="W261" s="943">
        <v>320008</v>
      </c>
      <c r="X261" s="456">
        <v>0</v>
      </c>
      <c r="Y261" s="456">
        <v>0</v>
      </c>
      <c r="Z261" s="100">
        <v>0</v>
      </c>
      <c r="AA261" s="100">
        <v>0</v>
      </c>
      <c r="AB261" s="100"/>
      <c r="AC261" s="100">
        <v>0</v>
      </c>
      <c r="AD261" s="100">
        <v>0</v>
      </c>
      <c r="AE261" s="100">
        <v>0</v>
      </c>
      <c r="AF261" s="100">
        <v>0</v>
      </c>
      <c r="AG261" s="356">
        <v>0</v>
      </c>
      <c r="AH261" s="100">
        <v>15860</v>
      </c>
      <c r="AI261" s="100"/>
      <c r="AJ261" s="100">
        <v>0</v>
      </c>
      <c r="AK261" s="356">
        <v>0</v>
      </c>
      <c r="AL261" s="100">
        <v>0</v>
      </c>
      <c r="AM261" s="100">
        <v>0</v>
      </c>
      <c r="AN261" s="100">
        <v>0</v>
      </c>
      <c r="AO261" s="100">
        <v>15890</v>
      </c>
      <c r="AP261" s="100"/>
      <c r="AQ261" s="356">
        <v>0</v>
      </c>
      <c r="AR261" s="100">
        <v>0</v>
      </c>
      <c r="AS261" s="100">
        <v>0</v>
      </c>
      <c r="AT261" s="100">
        <v>0</v>
      </c>
      <c r="AU261" s="356">
        <v>3990</v>
      </c>
      <c r="AV261" s="100">
        <v>12000</v>
      </c>
      <c r="AW261" s="100"/>
      <c r="AX261" s="100"/>
      <c r="AY261" s="100">
        <v>0</v>
      </c>
      <c r="AZ261" s="100"/>
      <c r="BA261" s="100"/>
      <c r="BB261" s="100"/>
      <c r="BC261" s="298">
        <f t="shared" si="77"/>
        <v>47740</v>
      </c>
      <c r="BD261" s="896">
        <f t="shared" si="78"/>
        <v>4</v>
      </c>
      <c r="BE261" s="896">
        <f t="shared" si="79"/>
        <v>11935</v>
      </c>
      <c r="BH261" s="505"/>
    </row>
    <row r="262" spans="1:60" s="38" customFormat="1" ht="15" customHeight="1">
      <c r="A262" s="68">
        <v>57</v>
      </c>
      <c r="B262" s="107" t="s">
        <v>11</v>
      </c>
      <c r="C262" s="107" t="s">
        <v>61</v>
      </c>
      <c r="D262" s="91">
        <v>25</v>
      </c>
      <c r="E262" s="540">
        <v>28</v>
      </c>
      <c r="F262" s="100">
        <f>SUMIF(pro!$A:$A,$V:$V,pro!$N:$N)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f>E262+F262+H262-I262-L262+G262-K262</f>
        <v>28</v>
      </c>
      <c r="N262" s="356">
        <f t="shared" si="81"/>
        <v>700</v>
      </c>
      <c r="O262" s="357">
        <f t="shared" si="71"/>
        <v>38325</v>
      </c>
      <c r="P262" s="350"/>
      <c r="Q262" s="350"/>
      <c r="R262" s="350">
        <f>O262/INTGRATE!$N$293</f>
        <v>1666.304347826087</v>
      </c>
      <c r="S262" s="349">
        <f t="shared" si="82"/>
        <v>0.42009132420091322</v>
      </c>
      <c r="T262" s="472"/>
      <c r="U262" s="145"/>
      <c r="V262" s="960" t="str">
        <f t="shared" si="85"/>
        <v>HT1325</v>
      </c>
      <c r="W262" s="951">
        <v>332301</v>
      </c>
      <c r="X262" s="456">
        <v>0</v>
      </c>
      <c r="Y262" s="456">
        <v>0</v>
      </c>
      <c r="Z262" s="100">
        <v>20000</v>
      </c>
      <c r="AA262" s="100">
        <v>75</v>
      </c>
      <c r="AB262" s="100"/>
      <c r="AC262" s="100">
        <v>750</v>
      </c>
      <c r="AD262" s="100">
        <v>0</v>
      </c>
      <c r="AE262" s="100">
        <v>0</v>
      </c>
      <c r="AF262" s="100">
        <v>0</v>
      </c>
      <c r="AG262" s="356">
        <v>0</v>
      </c>
      <c r="AH262" s="100">
        <v>0</v>
      </c>
      <c r="AI262" s="100"/>
      <c r="AJ262" s="100">
        <v>0</v>
      </c>
      <c r="AK262" s="356">
        <v>17000</v>
      </c>
      <c r="AL262" s="100">
        <v>0</v>
      </c>
      <c r="AM262" s="100">
        <v>0</v>
      </c>
      <c r="AN262" s="100">
        <v>0</v>
      </c>
      <c r="AO262" s="100">
        <v>0</v>
      </c>
      <c r="AP262" s="100"/>
      <c r="AQ262" s="356">
        <v>0</v>
      </c>
      <c r="AR262" s="100">
        <v>0</v>
      </c>
      <c r="AS262" s="100">
        <v>500</v>
      </c>
      <c r="AT262" s="100">
        <v>0</v>
      </c>
      <c r="AU262" s="356">
        <v>0</v>
      </c>
      <c r="AV262" s="100">
        <v>0</v>
      </c>
      <c r="AW262" s="100"/>
      <c r="AX262" s="100"/>
      <c r="AY262" s="100">
        <v>0</v>
      </c>
      <c r="AZ262" s="100"/>
      <c r="BA262" s="100"/>
      <c r="BB262" s="100"/>
      <c r="BC262" s="298">
        <f t="shared" si="77"/>
        <v>38325</v>
      </c>
      <c r="BD262" s="896">
        <f t="shared" si="78"/>
        <v>5</v>
      </c>
      <c r="BE262" s="896">
        <f t="shared" si="79"/>
        <v>7665</v>
      </c>
      <c r="BH262" s="505"/>
    </row>
    <row r="263" spans="1:60" s="38" customFormat="1" ht="15" customHeight="1">
      <c r="A263" s="68">
        <v>58</v>
      </c>
      <c r="B263" s="107" t="s">
        <v>78</v>
      </c>
      <c r="C263" s="107" t="s">
        <v>61</v>
      </c>
      <c r="D263" s="91" t="s">
        <v>81</v>
      </c>
      <c r="E263" s="540">
        <v>0</v>
      </c>
      <c r="F263" s="100">
        <f>+J263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v>0</v>
      </c>
      <c r="N263" s="356"/>
      <c r="O263" s="357">
        <f t="shared" si="71"/>
        <v>26030</v>
      </c>
      <c r="P263" s="350"/>
      <c r="Q263" s="350"/>
      <c r="R263" s="350">
        <f>O263/INTGRATE!$N$293</f>
        <v>1131.7391304347825</v>
      </c>
      <c r="S263" s="349">
        <f t="shared" si="82"/>
        <v>0</v>
      </c>
      <c r="T263" s="706"/>
      <c r="U263" s="145"/>
      <c r="V263" s="960" t="str">
        <f t="shared" si="85"/>
        <v>HT13SSILO</v>
      </c>
      <c r="W263" s="951">
        <v>332101</v>
      </c>
      <c r="X263" s="456">
        <v>0</v>
      </c>
      <c r="Y263" s="456">
        <v>0</v>
      </c>
      <c r="Z263" s="100">
        <v>0</v>
      </c>
      <c r="AA263" s="100">
        <v>0</v>
      </c>
      <c r="AB263" s="100"/>
      <c r="AC263" s="100">
        <v>0</v>
      </c>
      <c r="AD263" s="100">
        <v>13080</v>
      </c>
      <c r="AE263" s="100">
        <v>0</v>
      </c>
      <c r="AF263" s="100">
        <v>0</v>
      </c>
      <c r="AG263" s="356">
        <v>0</v>
      </c>
      <c r="AH263" s="100">
        <v>0</v>
      </c>
      <c r="AI263" s="100"/>
      <c r="AJ263" s="100">
        <v>0</v>
      </c>
      <c r="AK263" s="356">
        <v>0</v>
      </c>
      <c r="AL263" s="100">
        <v>0</v>
      </c>
      <c r="AM263" s="100">
        <v>0</v>
      </c>
      <c r="AN263" s="100">
        <v>0</v>
      </c>
      <c r="AO263" s="100">
        <v>0</v>
      </c>
      <c r="AP263" s="100"/>
      <c r="AQ263" s="356">
        <v>0</v>
      </c>
      <c r="AR263" s="100">
        <v>0</v>
      </c>
      <c r="AS263" s="100">
        <v>0</v>
      </c>
      <c r="AT263" s="100">
        <v>0</v>
      </c>
      <c r="AU263" s="356">
        <v>0</v>
      </c>
      <c r="AV263" s="100">
        <v>12950</v>
      </c>
      <c r="AW263" s="100"/>
      <c r="AX263" s="100"/>
      <c r="AY263" s="100">
        <v>0</v>
      </c>
      <c r="AZ263" s="100"/>
      <c r="BA263" s="100"/>
      <c r="BB263" s="100"/>
      <c r="BC263" s="298">
        <f t="shared" si="77"/>
        <v>26030</v>
      </c>
      <c r="BD263" s="896">
        <f t="shared" si="78"/>
        <v>2</v>
      </c>
      <c r="BE263" s="896">
        <f t="shared" si="79"/>
        <v>13015</v>
      </c>
      <c r="BH263" s="505"/>
    </row>
    <row r="264" spans="1:60" s="38" customFormat="1" ht="15" customHeight="1">
      <c r="A264" s="68">
        <v>59</v>
      </c>
      <c r="B264" s="107" t="s">
        <v>78</v>
      </c>
      <c r="C264" s="107" t="s">
        <v>61</v>
      </c>
      <c r="D264" s="91">
        <v>25</v>
      </c>
      <c r="E264" s="540">
        <v>0</v>
      </c>
      <c r="F264" s="100">
        <f>SUMIF(pro!$A:$A,$V:$V,pro!$N:$N)</f>
        <v>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0</v>
      </c>
      <c r="K264" s="356">
        <f>SUMIF(AJOUT!$A:$A,BRAN!$V:$V,AJOUT!$L:$L)</f>
        <v>0</v>
      </c>
      <c r="L264" s="356">
        <f>SUMIF(CBOUT!$A:$A,BRAN!$V:$V,CBOUT!$G:$G)</f>
        <v>0</v>
      </c>
      <c r="M264" s="540">
        <f>E264+F264+H264-I264-L264+G264-K264</f>
        <v>0</v>
      </c>
      <c r="N264" s="356">
        <f t="shared" si="81"/>
        <v>0</v>
      </c>
      <c r="O264" s="357">
        <f t="shared" si="71"/>
        <v>0</v>
      </c>
      <c r="P264" s="350"/>
      <c r="Q264" s="350"/>
      <c r="R264" s="350">
        <f>O264/INTGRATE!$N$293</f>
        <v>0</v>
      </c>
      <c r="S264" s="349">
        <f t="shared" si="82"/>
        <v>0</v>
      </c>
      <c r="T264" s="473"/>
      <c r="U264" s="145"/>
      <c r="V264" s="960" t="str">
        <f t="shared" si="85"/>
        <v>HT13S25</v>
      </c>
      <c r="W264" s="951">
        <v>332101</v>
      </c>
      <c r="X264" s="456">
        <v>0</v>
      </c>
      <c r="Y264" s="456">
        <v>0</v>
      </c>
      <c r="Z264" s="100">
        <v>0</v>
      </c>
      <c r="AA264" s="100">
        <v>0</v>
      </c>
      <c r="AB264" s="100"/>
      <c r="AC264" s="100">
        <v>0</v>
      </c>
      <c r="AD264" s="100">
        <v>0</v>
      </c>
      <c r="AE264" s="100">
        <v>0</v>
      </c>
      <c r="AF264" s="100">
        <v>0</v>
      </c>
      <c r="AG264" s="356">
        <v>0</v>
      </c>
      <c r="AH264" s="100">
        <v>0</v>
      </c>
      <c r="AI264" s="100"/>
      <c r="AJ264" s="100">
        <v>0</v>
      </c>
      <c r="AK264" s="356">
        <v>0</v>
      </c>
      <c r="AL264" s="100">
        <v>0</v>
      </c>
      <c r="AM264" s="100">
        <v>0</v>
      </c>
      <c r="AN264" s="100">
        <v>0</v>
      </c>
      <c r="AO264" s="100">
        <v>0</v>
      </c>
      <c r="AP264" s="100"/>
      <c r="AQ264" s="356">
        <v>0</v>
      </c>
      <c r="AR264" s="100">
        <v>0</v>
      </c>
      <c r="AS264" s="100">
        <v>0</v>
      </c>
      <c r="AT264" s="100">
        <v>0</v>
      </c>
      <c r="AU264" s="356">
        <v>0</v>
      </c>
      <c r="AV264" s="100">
        <v>0</v>
      </c>
      <c r="AW264" s="100"/>
      <c r="AX264" s="100"/>
      <c r="AY264" s="100">
        <v>0</v>
      </c>
      <c r="AZ264" s="100"/>
      <c r="BA264" s="100"/>
      <c r="BB264" s="100"/>
      <c r="BC264" s="298">
        <f t="shared" si="77"/>
        <v>0</v>
      </c>
      <c r="BD264" s="896">
        <f t="shared" si="78"/>
        <v>0</v>
      </c>
      <c r="BE264" s="896">
        <f t="shared" si="79"/>
        <v>0</v>
      </c>
      <c r="BH264" s="505"/>
    </row>
    <row r="265" spans="1:60" s="38" customFormat="1" ht="15" customHeight="1">
      <c r="A265" s="68">
        <v>60</v>
      </c>
      <c r="B265" s="190" t="s">
        <v>51</v>
      </c>
      <c r="C265" s="178" t="s">
        <v>61</v>
      </c>
      <c r="D265" s="179">
        <v>25</v>
      </c>
      <c r="E265" s="540">
        <v>65</v>
      </c>
      <c r="F265" s="100">
        <f>SUMIF(pro!$A:$A,$V:$V,pro!$N:$N)</f>
        <v>1020</v>
      </c>
      <c r="G265" s="356"/>
      <c r="H265" s="356">
        <f>SUMIF(CBIN!$A:$A,BRAN!$V:$V,CBIN!$G:$G)</f>
        <v>0</v>
      </c>
      <c r="I265" s="100">
        <f>SUMIF(data!$D:$D,$B265&amp;$D265,data!$J:$J)</f>
        <v>25</v>
      </c>
      <c r="J265" s="356">
        <f>SUMIF(data!$D:$D,$B265&amp;$D265,data!$K:$K)</f>
        <v>625</v>
      </c>
      <c r="K265" s="356">
        <f>SUMIF(AJOUT!$A:$A,BRAN!$V:$V,AJOUT!$L:$L)</f>
        <v>0</v>
      </c>
      <c r="L265" s="356">
        <f>SUMIF(CBOUT!$A:$A,BRAN!$V:$V,CBOUT!$G:$G)</f>
        <v>0</v>
      </c>
      <c r="M265" s="540">
        <f>E265+F265+H265-I265-L265+G265-K265</f>
        <v>1060</v>
      </c>
      <c r="N265" s="356">
        <f t="shared" si="81"/>
        <v>26500</v>
      </c>
      <c r="O265" s="357">
        <f t="shared" si="71"/>
        <v>149625</v>
      </c>
      <c r="P265" s="350"/>
      <c r="Q265" s="350"/>
      <c r="R265" s="350">
        <f>O265/INTGRATE!$N$293</f>
        <v>6505.434782608696</v>
      </c>
      <c r="S265" s="349">
        <f t="shared" si="82"/>
        <v>4.0735171261487046</v>
      </c>
      <c r="T265" s="470"/>
      <c r="U265" s="145"/>
      <c r="V265" s="960" t="str">
        <f t="shared" si="85"/>
        <v>HG1625</v>
      </c>
      <c r="W265" s="951">
        <v>366201</v>
      </c>
      <c r="X265" s="456">
        <v>0</v>
      </c>
      <c r="Y265" s="456">
        <v>22500</v>
      </c>
      <c r="Z265" s="100">
        <v>3750</v>
      </c>
      <c r="AA265" s="100">
        <v>500</v>
      </c>
      <c r="AB265" s="100"/>
      <c r="AC265" s="100">
        <v>20750</v>
      </c>
      <c r="AD265" s="100">
        <v>0</v>
      </c>
      <c r="AE265" s="100">
        <v>0</v>
      </c>
      <c r="AF265" s="100">
        <v>2250</v>
      </c>
      <c r="AG265" s="356">
        <v>1500</v>
      </c>
      <c r="AH265" s="100">
        <v>32750</v>
      </c>
      <c r="AI265" s="100"/>
      <c r="AJ265" s="100">
        <v>1750</v>
      </c>
      <c r="AK265" s="356">
        <v>17875</v>
      </c>
      <c r="AL265" s="100">
        <v>3250</v>
      </c>
      <c r="AM265" s="100">
        <v>0</v>
      </c>
      <c r="AN265" s="100">
        <v>0</v>
      </c>
      <c r="AO265" s="100">
        <v>3000</v>
      </c>
      <c r="AP265" s="100"/>
      <c r="AQ265" s="356">
        <v>0</v>
      </c>
      <c r="AR265" s="100">
        <v>0</v>
      </c>
      <c r="AS265" s="100">
        <v>18125</v>
      </c>
      <c r="AT265" s="100">
        <v>0</v>
      </c>
      <c r="AU265" s="356">
        <v>0</v>
      </c>
      <c r="AV265" s="100">
        <v>21000</v>
      </c>
      <c r="AW265" s="100"/>
      <c r="AX265" s="100"/>
      <c r="AY265" s="100">
        <v>625</v>
      </c>
      <c r="AZ265" s="100"/>
      <c r="BA265" s="100"/>
      <c r="BB265" s="100"/>
      <c r="BC265" s="298">
        <f t="shared" si="77"/>
        <v>149625</v>
      </c>
      <c r="BD265" s="896">
        <f t="shared" si="78"/>
        <v>14</v>
      </c>
      <c r="BE265" s="896">
        <f t="shared" si="79"/>
        <v>10687.5</v>
      </c>
      <c r="BH265" s="704"/>
    </row>
    <row r="266" spans="1:60" s="38" customFormat="1" ht="15" customHeight="1">
      <c r="A266" s="68">
        <v>61</v>
      </c>
      <c r="B266" s="190" t="s">
        <v>51</v>
      </c>
      <c r="C266" s="178" t="s">
        <v>61</v>
      </c>
      <c r="D266" s="702" t="s">
        <v>81</v>
      </c>
      <c r="E266" s="540">
        <v>0</v>
      </c>
      <c r="F266" s="100">
        <f>+J266</f>
        <v>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0</v>
      </c>
      <c r="K266" s="356">
        <f>SUMIF(AJOUT!$A:$A,BRAN!$V:$V,AJOUT!$L:$L)</f>
        <v>0</v>
      </c>
      <c r="L266" s="356">
        <f>SUMIF(CBOUT!$A:$A,BRAN!$V:$V,CBOUT!$G:$G)</f>
        <v>0</v>
      </c>
      <c r="M266" s="540">
        <f>+F266-J266</f>
        <v>0</v>
      </c>
      <c r="N266" s="356"/>
      <c r="O266" s="357">
        <f t="shared" si="71"/>
        <v>31750</v>
      </c>
      <c r="P266" s="355"/>
      <c r="Q266" s="355"/>
      <c r="R266" s="350">
        <f>O266/INTGRATE!$N$293</f>
        <v>1380.4347826086957</v>
      </c>
      <c r="S266" s="349">
        <f t="shared" si="82"/>
        <v>0</v>
      </c>
      <c r="T266" s="470"/>
      <c r="U266" s="145"/>
      <c r="V266" s="960" t="str">
        <f t="shared" si="85"/>
        <v>HG16SILO</v>
      </c>
      <c r="W266" s="951">
        <v>366201</v>
      </c>
      <c r="X266" s="456">
        <v>0</v>
      </c>
      <c r="Y266" s="456">
        <v>0</v>
      </c>
      <c r="Z266" s="100">
        <v>0</v>
      </c>
      <c r="AA266" s="100">
        <v>0</v>
      </c>
      <c r="AB266" s="100"/>
      <c r="AC266" s="100">
        <v>0</v>
      </c>
      <c r="AD266" s="100">
        <v>0</v>
      </c>
      <c r="AE266" s="100">
        <v>0</v>
      </c>
      <c r="AF266" s="100">
        <v>9190</v>
      </c>
      <c r="AG266" s="356">
        <v>0</v>
      </c>
      <c r="AH266" s="100">
        <v>0</v>
      </c>
      <c r="AI266" s="100"/>
      <c r="AJ266" s="100">
        <v>0</v>
      </c>
      <c r="AK266" s="356">
        <v>0</v>
      </c>
      <c r="AL266" s="100">
        <v>0</v>
      </c>
      <c r="AM266" s="100">
        <v>0</v>
      </c>
      <c r="AN266" s="100">
        <v>7860</v>
      </c>
      <c r="AO266" s="100">
        <v>5190</v>
      </c>
      <c r="AP266" s="100"/>
      <c r="AQ266" s="356">
        <v>0</v>
      </c>
      <c r="AR266" s="100">
        <v>0</v>
      </c>
      <c r="AS266" s="100">
        <v>0</v>
      </c>
      <c r="AT266" s="100">
        <v>0</v>
      </c>
      <c r="AU266" s="356">
        <v>4020</v>
      </c>
      <c r="AV266" s="100">
        <v>5490</v>
      </c>
      <c r="AW266" s="100"/>
      <c r="AX266" s="100"/>
      <c r="AY266" s="100">
        <v>0</v>
      </c>
      <c r="AZ266" s="100"/>
      <c r="BA266" s="100"/>
      <c r="BB266" s="100"/>
      <c r="BC266" s="298">
        <f t="shared" si="77"/>
        <v>31750</v>
      </c>
      <c r="BD266" s="896">
        <f t="shared" si="78"/>
        <v>5</v>
      </c>
      <c r="BE266" s="896">
        <f t="shared" si="79"/>
        <v>6350</v>
      </c>
      <c r="BH266" s="505"/>
    </row>
    <row r="267" spans="1:60" s="38" customFormat="1" ht="15" customHeight="1">
      <c r="A267" s="68">
        <v>62</v>
      </c>
      <c r="B267" s="190" t="s">
        <v>1519</v>
      </c>
      <c r="C267" s="178" t="s">
        <v>61</v>
      </c>
      <c r="D267" s="702" t="s">
        <v>81</v>
      </c>
      <c r="E267" s="540">
        <v>0</v>
      </c>
      <c r="F267" s="100">
        <f>+J267</f>
        <v>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0</v>
      </c>
      <c r="K267" s="356">
        <f>SUMIF(AJOUT!$A:$A,BRAN!$V:$V,AJOUT!$L:$L)</f>
        <v>0</v>
      </c>
      <c r="L267" s="356">
        <f>SUMIF(CBOUT!$A:$A,BRAN!$V:$V,CBOUT!$G:$G)</f>
        <v>0</v>
      </c>
      <c r="M267" s="540">
        <f>+F267-J267</f>
        <v>0</v>
      </c>
      <c r="N267" s="356"/>
      <c r="O267" s="357">
        <f t="shared" si="71"/>
        <v>3950</v>
      </c>
      <c r="P267" s="355"/>
      <c r="Q267" s="355"/>
      <c r="R267" s="350">
        <f>O267/INTGRATE!$N$293</f>
        <v>171.7391304347826</v>
      </c>
      <c r="S267" s="349">
        <f t="shared" si="82"/>
        <v>0</v>
      </c>
      <c r="T267" s="470"/>
      <c r="U267" s="145"/>
      <c r="V267" s="960" t="str">
        <f>B267&amp;D267</f>
        <v>HG16XSILO</v>
      </c>
      <c r="W267" s="951">
        <v>366208</v>
      </c>
      <c r="X267" s="456">
        <v>0</v>
      </c>
      <c r="Y267" s="456">
        <v>0</v>
      </c>
      <c r="Z267" s="100">
        <v>3950</v>
      </c>
      <c r="AA267" s="100">
        <v>0</v>
      </c>
      <c r="AB267" s="100"/>
      <c r="AC267" s="100">
        <v>0</v>
      </c>
      <c r="AD267" s="100">
        <v>0</v>
      </c>
      <c r="AE267" s="100">
        <v>0</v>
      </c>
      <c r="AF267" s="100">
        <v>0</v>
      </c>
      <c r="AG267" s="356">
        <v>0</v>
      </c>
      <c r="AH267" s="100">
        <v>0</v>
      </c>
      <c r="AI267" s="100"/>
      <c r="AJ267" s="100">
        <v>0</v>
      </c>
      <c r="AK267" s="356">
        <v>0</v>
      </c>
      <c r="AL267" s="100">
        <v>0</v>
      </c>
      <c r="AM267" s="100">
        <v>0</v>
      </c>
      <c r="AN267" s="100">
        <v>0</v>
      </c>
      <c r="AO267" s="100">
        <v>0</v>
      </c>
      <c r="AP267" s="100"/>
      <c r="AQ267" s="356">
        <v>0</v>
      </c>
      <c r="AR267" s="100">
        <v>0</v>
      </c>
      <c r="AS267" s="100">
        <v>0</v>
      </c>
      <c r="AT267" s="100">
        <v>0</v>
      </c>
      <c r="AU267" s="356">
        <v>0</v>
      </c>
      <c r="AV267" s="100">
        <v>0</v>
      </c>
      <c r="AW267" s="100"/>
      <c r="AX267" s="100"/>
      <c r="AY267" s="100">
        <v>0</v>
      </c>
      <c r="AZ267" s="100"/>
      <c r="BA267" s="100"/>
      <c r="BB267" s="100"/>
      <c r="BC267" s="298">
        <f t="shared" si="77"/>
        <v>3950</v>
      </c>
      <c r="BD267" s="896">
        <f t="shared" si="78"/>
        <v>1</v>
      </c>
      <c r="BE267" s="896">
        <f t="shared" si="79"/>
        <v>3950</v>
      </c>
      <c r="BH267" s="505"/>
    </row>
    <row r="268" spans="1:60" s="38" customFormat="1" ht="15" customHeight="1">
      <c r="A268" s="68">
        <v>63</v>
      </c>
      <c r="B268" s="190" t="s">
        <v>1519</v>
      </c>
      <c r="C268" s="178" t="s">
        <v>61</v>
      </c>
      <c r="D268" s="702">
        <v>25</v>
      </c>
      <c r="E268" s="540">
        <v>0</v>
      </c>
      <c r="F268" s="100">
        <f>SUMIF(pro!$A:$A,$V:$V,pro!$N:$N)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E268+F268+H268-I268-L268+G268-K268</f>
        <v>0</v>
      </c>
      <c r="N268" s="356"/>
      <c r="O268" s="357">
        <f t="shared" ref="O268" si="100">SUM(X268:BB268)</f>
        <v>0</v>
      </c>
      <c r="P268" s="355"/>
      <c r="Q268" s="355"/>
      <c r="R268" s="350">
        <f>O268/INTGRATE!$N$293</f>
        <v>0</v>
      </c>
      <c r="S268" s="349">
        <f t="shared" si="82"/>
        <v>0</v>
      </c>
      <c r="T268" s="470"/>
      <c r="U268" s="145"/>
      <c r="V268" s="960" t="str">
        <f>B268&amp;D268</f>
        <v>HG16X25</v>
      </c>
      <c r="W268" s="951">
        <v>366208</v>
      </c>
      <c r="X268" s="456">
        <v>0</v>
      </c>
      <c r="Y268" s="456">
        <v>0</v>
      </c>
      <c r="Z268" s="100">
        <v>0</v>
      </c>
      <c r="AA268" s="100">
        <v>0</v>
      </c>
      <c r="AB268" s="100"/>
      <c r="AC268" s="100">
        <v>0</v>
      </c>
      <c r="AD268" s="100">
        <v>0</v>
      </c>
      <c r="AE268" s="100">
        <v>0</v>
      </c>
      <c r="AF268" s="100">
        <v>0</v>
      </c>
      <c r="AG268" s="356">
        <v>0</v>
      </c>
      <c r="AH268" s="100">
        <v>0</v>
      </c>
      <c r="AI268" s="100"/>
      <c r="AJ268" s="100">
        <v>0</v>
      </c>
      <c r="AK268" s="356">
        <v>0</v>
      </c>
      <c r="AL268" s="100">
        <v>0</v>
      </c>
      <c r="AM268" s="100">
        <v>0</v>
      </c>
      <c r="AN268" s="100">
        <v>0</v>
      </c>
      <c r="AO268" s="100">
        <v>0</v>
      </c>
      <c r="AP268" s="100"/>
      <c r="AQ268" s="356">
        <v>0</v>
      </c>
      <c r="AR268" s="100">
        <v>0</v>
      </c>
      <c r="AS268" s="100">
        <v>0</v>
      </c>
      <c r="AT268" s="100">
        <v>0</v>
      </c>
      <c r="AU268" s="356">
        <v>0</v>
      </c>
      <c r="AV268" s="100">
        <v>0</v>
      </c>
      <c r="AW268" s="100"/>
      <c r="AX268" s="100"/>
      <c r="AY268" s="100">
        <v>0</v>
      </c>
      <c r="AZ268" s="100"/>
      <c r="BA268" s="100"/>
      <c r="BB268" s="100"/>
      <c r="BC268" s="298">
        <f t="shared" si="77"/>
        <v>0</v>
      </c>
      <c r="BD268" s="896">
        <f t="shared" si="78"/>
        <v>0</v>
      </c>
      <c r="BE268" s="896">
        <f t="shared" si="79"/>
        <v>0</v>
      </c>
      <c r="BH268" s="505"/>
    </row>
    <row r="269" spans="1:60" s="38" customFormat="1" ht="15" customHeight="1">
      <c r="A269" s="68">
        <v>64</v>
      </c>
      <c r="B269" s="190" t="s">
        <v>1354</v>
      </c>
      <c r="C269" s="178" t="s">
        <v>61</v>
      </c>
      <c r="D269" s="179">
        <v>25</v>
      </c>
      <c r="E269" s="540">
        <v>618</v>
      </c>
      <c r="F269" s="100">
        <f>SUMIF(pro!$A:$A,$V:$V,pro!$N:$N)</f>
        <v>0</v>
      </c>
      <c r="G269" s="356"/>
      <c r="H269" s="356">
        <f>SUMIF(CBIN!$A:$A,BRAN!$V:$V,CBIN!$G:$G)</f>
        <v>0</v>
      </c>
      <c r="I269" s="100">
        <f>SUMIF(data!$D:$D,$B269&amp;$D269,data!$J:$J)</f>
        <v>10</v>
      </c>
      <c r="J269" s="356">
        <f>SUMIF(data!$D:$D,$B269&amp;$D269,data!$K:$K)</f>
        <v>250</v>
      </c>
      <c r="K269" s="356">
        <f>SUMIF(AJOUT!$A:$A,BRAN!$V:$V,AJOUT!$L:$L)</f>
        <v>0</v>
      </c>
      <c r="L269" s="356">
        <f>SUMIF(CBOUT!$A:$A,BRAN!$V:$V,CBOUT!$G:$G)</f>
        <v>0</v>
      </c>
      <c r="M269" s="540">
        <f>E269+F269+H269-I269-L269+G269-K269</f>
        <v>608</v>
      </c>
      <c r="N269" s="356">
        <f t="shared" si="81"/>
        <v>15200</v>
      </c>
      <c r="O269" s="357">
        <f t="shared" si="71"/>
        <v>36550</v>
      </c>
      <c r="P269" s="350"/>
      <c r="Q269" s="350"/>
      <c r="R269" s="350">
        <f>O269/INTGRATE!$N$293</f>
        <v>1589.1304347826087</v>
      </c>
      <c r="S269" s="349">
        <f t="shared" si="82"/>
        <v>9.5649794801641583</v>
      </c>
      <c r="T269" s="470"/>
      <c r="U269" s="145"/>
      <c r="V269" s="960" t="str">
        <f t="shared" si="85"/>
        <v>HG17S25</v>
      </c>
      <c r="W269" s="951">
        <v>367101</v>
      </c>
      <c r="X269" s="456">
        <v>0</v>
      </c>
      <c r="Y269" s="456">
        <v>8000</v>
      </c>
      <c r="Z269" s="100">
        <v>175</v>
      </c>
      <c r="AA269" s="100">
        <v>0</v>
      </c>
      <c r="AB269" s="100"/>
      <c r="AC269" s="100">
        <v>0</v>
      </c>
      <c r="AD269" s="100">
        <v>0</v>
      </c>
      <c r="AE269" s="100">
        <v>0</v>
      </c>
      <c r="AF269" s="100">
        <v>0</v>
      </c>
      <c r="AG269" s="356">
        <v>1000</v>
      </c>
      <c r="AH269" s="100">
        <v>0</v>
      </c>
      <c r="AI269" s="100"/>
      <c r="AJ269" s="100">
        <v>1000</v>
      </c>
      <c r="AK269" s="356">
        <v>0</v>
      </c>
      <c r="AL269" s="100">
        <v>3000</v>
      </c>
      <c r="AM269" s="100">
        <v>0</v>
      </c>
      <c r="AN269" s="100">
        <v>0</v>
      </c>
      <c r="AO269" s="100">
        <v>4000</v>
      </c>
      <c r="AP269" s="100"/>
      <c r="AQ269" s="356">
        <v>0</v>
      </c>
      <c r="AR269" s="100">
        <v>1250</v>
      </c>
      <c r="AS269" s="100">
        <v>125</v>
      </c>
      <c r="AT269" s="100">
        <v>0</v>
      </c>
      <c r="AU269" s="356">
        <v>0</v>
      </c>
      <c r="AV269" s="100">
        <v>17750</v>
      </c>
      <c r="AW269" s="100"/>
      <c r="AX269" s="100"/>
      <c r="AY269" s="100">
        <v>250</v>
      </c>
      <c r="AZ269" s="100"/>
      <c r="BA269" s="100"/>
      <c r="BB269" s="100"/>
      <c r="BC269" s="298">
        <f t="shared" si="77"/>
        <v>36550</v>
      </c>
      <c r="BD269" s="896">
        <f t="shared" si="78"/>
        <v>10</v>
      </c>
      <c r="BE269" s="896">
        <f t="shared" si="79"/>
        <v>3655</v>
      </c>
      <c r="BH269" s="505"/>
    </row>
    <row r="270" spans="1:60" s="38" customFormat="1" ht="15" customHeight="1">
      <c r="A270" s="68">
        <v>65</v>
      </c>
      <c r="B270" s="190" t="s">
        <v>1354</v>
      </c>
      <c r="C270" s="178" t="s">
        <v>61</v>
      </c>
      <c r="D270" s="702" t="s">
        <v>81</v>
      </c>
      <c r="E270" s="540">
        <v>0</v>
      </c>
      <c r="F270" s="100">
        <f>+J270</f>
        <v>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0</v>
      </c>
      <c r="K270" s="356">
        <f>SUMIF(AJOUT!$A:$A,BRAN!$V:$V,AJOUT!$L:$L)</f>
        <v>0</v>
      </c>
      <c r="L270" s="356">
        <f>SUMIF(CBOUT!$A:$A,BRAN!$V:$V,CBOUT!$G:$G)</f>
        <v>0</v>
      </c>
      <c r="M270" s="540">
        <f>+F270-J270</f>
        <v>0</v>
      </c>
      <c r="N270" s="356"/>
      <c r="O270" s="357">
        <f t="shared" si="71"/>
        <v>17080</v>
      </c>
      <c r="P270" s="355"/>
      <c r="Q270" s="355"/>
      <c r="R270" s="350">
        <f>O270/INTGRATE!$N$293</f>
        <v>742.60869565217388</v>
      </c>
      <c r="S270" s="349">
        <f t="shared" si="82"/>
        <v>0</v>
      </c>
      <c r="T270" s="677"/>
      <c r="U270" s="145"/>
      <c r="V270" s="960" t="str">
        <f t="shared" si="85"/>
        <v>HG17SSILO</v>
      </c>
      <c r="W270" s="951">
        <v>367101</v>
      </c>
      <c r="X270" s="456">
        <v>0</v>
      </c>
      <c r="Y270" s="456">
        <v>5430</v>
      </c>
      <c r="Z270" s="100">
        <v>0</v>
      </c>
      <c r="AA270" s="100">
        <v>0</v>
      </c>
      <c r="AB270" s="100"/>
      <c r="AC270" s="100">
        <v>0</v>
      </c>
      <c r="AD270" s="100">
        <v>0</v>
      </c>
      <c r="AE270" s="100">
        <v>0</v>
      </c>
      <c r="AF270" s="100">
        <v>3950</v>
      </c>
      <c r="AG270" s="356">
        <v>0</v>
      </c>
      <c r="AH270" s="100">
        <v>0</v>
      </c>
      <c r="AI270" s="100"/>
      <c r="AJ270" s="100">
        <v>0</v>
      </c>
      <c r="AK270" s="356">
        <v>0</v>
      </c>
      <c r="AL270" s="100">
        <v>0</v>
      </c>
      <c r="AM270" s="100">
        <v>0</v>
      </c>
      <c r="AN270" s="100">
        <v>3870</v>
      </c>
      <c r="AO270" s="100">
        <v>0</v>
      </c>
      <c r="AP270" s="100"/>
      <c r="AQ270" s="356">
        <v>0</v>
      </c>
      <c r="AR270" s="100">
        <v>0</v>
      </c>
      <c r="AS270" s="100">
        <v>0</v>
      </c>
      <c r="AT270" s="100">
        <v>0</v>
      </c>
      <c r="AU270" s="356">
        <v>3830</v>
      </c>
      <c r="AV270" s="100">
        <v>0</v>
      </c>
      <c r="AW270" s="100"/>
      <c r="AX270" s="100"/>
      <c r="AY270" s="100">
        <v>0</v>
      </c>
      <c r="AZ270" s="100"/>
      <c r="BA270" s="100"/>
      <c r="BB270" s="100"/>
      <c r="BC270" s="298">
        <f t="shared" si="77"/>
        <v>17080</v>
      </c>
      <c r="BD270" s="896">
        <f t="shared" si="78"/>
        <v>4</v>
      </c>
      <c r="BE270" s="896">
        <f t="shared" si="79"/>
        <v>4270</v>
      </c>
      <c r="BH270" s="505"/>
    </row>
    <row r="271" spans="1:60" s="38" customFormat="1" ht="15" customHeight="1">
      <c r="A271" s="68">
        <v>66</v>
      </c>
      <c r="B271" s="190" t="s">
        <v>1523</v>
      </c>
      <c r="C271" s="178" t="s">
        <v>61</v>
      </c>
      <c r="D271" s="702" t="s">
        <v>81</v>
      </c>
      <c r="E271" s="540">
        <v>0</v>
      </c>
      <c r="F271" s="100">
        <f>+J271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+F271-J271</f>
        <v>0</v>
      </c>
      <c r="N271" s="356"/>
      <c r="O271" s="357">
        <f t="shared" si="71"/>
        <v>3930</v>
      </c>
      <c r="P271" s="355"/>
      <c r="Q271" s="355"/>
      <c r="R271" s="350">
        <f>O271/INTGRATE!$N$293</f>
        <v>170.86956521739131</v>
      </c>
      <c r="S271" s="349">
        <f t="shared" si="82"/>
        <v>0</v>
      </c>
      <c r="T271" s="677"/>
      <c r="U271" s="145"/>
      <c r="V271" s="960" t="str">
        <f t="shared" si="85"/>
        <v>HG17SXSILO</v>
      </c>
      <c r="W271" s="951">
        <v>367108</v>
      </c>
      <c r="X271" s="456">
        <v>0</v>
      </c>
      <c r="Y271" s="456">
        <v>0</v>
      </c>
      <c r="Z271" s="100">
        <v>3930</v>
      </c>
      <c r="AA271" s="100">
        <v>0</v>
      </c>
      <c r="AB271" s="100"/>
      <c r="AC271" s="100">
        <v>0</v>
      </c>
      <c r="AD271" s="100">
        <v>0</v>
      </c>
      <c r="AE271" s="100">
        <v>0</v>
      </c>
      <c r="AF271" s="100">
        <v>0</v>
      </c>
      <c r="AG271" s="356">
        <v>0</v>
      </c>
      <c r="AH271" s="100">
        <v>0</v>
      </c>
      <c r="AI271" s="100"/>
      <c r="AJ271" s="100">
        <v>0</v>
      </c>
      <c r="AK271" s="356">
        <v>0</v>
      </c>
      <c r="AL271" s="100">
        <v>0</v>
      </c>
      <c r="AM271" s="100">
        <v>0</v>
      </c>
      <c r="AN271" s="100">
        <v>0</v>
      </c>
      <c r="AO271" s="100">
        <v>0</v>
      </c>
      <c r="AP271" s="100"/>
      <c r="AQ271" s="356">
        <v>0</v>
      </c>
      <c r="AR271" s="100">
        <v>0</v>
      </c>
      <c r="AS271" s="100">
        <v>0</v>
      </c>
      <c r="AT271" s="100">
        <v>0</v>
      </c>
      <c r="AU271" s="356">
        <v>0</v>
      </c>
      <c r="AV271" s="100">
        <v>0</v>
      </c>
      <c r="AW271" s="100"/>
      <c r="AX271" s="100"/>
      <c r="AY271" s="100">
        <v>0</v>
      </c>
      <c r="AZ271" s="100"/>
      <c r="BA271" s="100"/>
      <c r="BB271" s="100"/>
      <c r="BC271" s="298">
        <f t="shared" si="77"/>
        <v>3930</v>
      </c>
      <c r="BD271" s="896">
        <f t="shared" si="78"/>
        <v>1</v>
      </c>
      <c r="BE271" s="896">
        <f t="shared" si="79"/>
        <v>3930</v>
      </c>
      <c r="BH271" s="505"/>
    </row>
    <row r="272" spans="1:60" s="38" customFormat="1" ht="15" customHeight="1">
      <c r="A272" s="68">
        <v>67</v>
      </c>
      <c r="B272" s="190" t="s">
        <v>52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71"/>
        <v>0</v>
      </c>
      <c r="P272" s="355"/>
      <c r="Q272" s="355"/>
      <c r="R272" s="350">
        <f>O272/INTGRATE!$N$293</f>
        <v>0</v>
      </c>
      <c r="S272" s="349">
        <f t="shared" si="82"/>
        <v>0</v>
      </c>
      <c r="T272" s="677"/>
      <c r="U272" s="145"/>
      <c r="V272" s="960" t="str">
        <f t="shared" si="85"/>
        <v>HG17SILO</v>
      </c>
      <c r="W272" s="951">
        <v>367201</v>
      </c>
      <c r="X272" s="456">
        <v>0</v>
      </c>
      <c r="Y272" s="456">
        <v>0</v>
      </c>
      <c r="Z272" s="100">
        <v>0</v>
      </c>
      <c r="AA272" s="100">
        <v>0</v>
      </c>
      <c r="AB272" s="100"/>
      <c r="AC272" s="100">
        <v>0</v>
      </c>
      <c r="AD272" s="100">
        <v>0</v>
      </c>
      <c r="AE272" s="100">
        <v>0</v>
      </c>
      <c r="AF272" s="100">
        <v>0</v>
      </c>
      <c r="AG272" s="356">
        <v>0</v>
      </c>
      <c r="AH272" s="100">
        <v>0</v>
      </c>
      <c r="AI272" s="100"/>
      <c r="AJ272" s="100">
        <v>0</v>
      </c>
      <c r="AK272" s="356">
        <v>0</v>
      </c>
      <c r="AL272" s="100">
        <v>0</v>
      </c>
      <c r="AM272" s="100">
        <v>0</v>
      </c>
      <c r="AN272" s="100">
        <v>0</v>
      </c>
      <c r="AO272" s="100">
        <v>0</v>
      </c>
      <c r="AP272" s="100"/>
      <c r="AQ272" s="356">
        <v>0</v>
      </c>
      <c r="AR272" s="100">
        <v>0</v>
      </c>
      <c r="AS272" s="100">
        <v>0</v>
      </c>
      <c r="AT272" s="100">
        <v>0</v>
      </c>
      <c r="AU272" s="356">
        <v>0</v>
      </c>
      <c r="AV272" s="100">
        <v>0</v>
      </c>
      <c r="AW272" s="100"/>
      <c r="AX272" s="100"/>
      <c r="AY272" s="100">
        <v>0</v>
      </c>
      <c r="AZ272" s="100"/>
      <c r="BA272" s="100"/>
      <c r="BB272" s="100"/>
      <c r="BC272" s="298">
        <f t="shared" si="77"/>
        <v>0</v>
      </c>
      <c r="BD272" s="896">
        <f t="shared" si="78"/>
        <v>0</v>
      </c>
      <c r="BE272" s="896">
        <f t="shared" si="79"/>
        <v>0</v>
      </c>
      <c r="BH272" s="505"/>
    </row>
    <row r="273" spans="1:151" s="38" customFormat="1" ht="15" customHeight="1">
      <c r="A273" s="68">
        <v>68</v>
      </c>
      <c r="B273" s="190" t="s">
        <v>52</v>
      </c>
      <c r="C273" s="178" t="s">
        <v>61</v>
      </c>
      <c r="D273" s="179">
        <v>25</v>
      </c>
      <c r="E273" s="540">
        <v>0</v>
      </c>
      <c r="F273" s="100">
        <f>SUMIF(pro!$A:$A,$V:$V,pro!$N:$N)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f>SUMIF(AJOUT!$A:$A,BRAN!$V:$V,AJOUT!$L:$L)</f>
        <v>0</v>
      </c>
      <c r="L273" s="356">
        <f>SUMIF(CBOUT!$A:$A,BRAN!$V:$V,CBOUT!$G:$G)</f>
        <v>0</v>
      </c>
      <c r="M273" s="540">
        <f>E273+F273+H273-I273-L273+G273-K273</f>
        <v>0</v>
      </c>
      <c r="N273" s="356">
        <f t="shared" si="81"/>
        <v>0</v>
      </c>
      <c r="O273" s="357">
        <f t="shared" si="71"/>
        <v>375</v>
      </c>
      <c r="P273" s="350"/>
      <c r="Q273" s="350"/>
      <c r="R273" s="350">
        <f>O273/INTGRATE!$N$293</f>
        <v>16.304347826086957</v>
      </c>
      <c r="S273" s="349">
        <f t="shared" si="82"/>
        <v>0</v>
      </c>
      <c r="T273" s="471"/>
      <c r="U273" s="145"/>
      <c r="V273" s="960" t="str">
        <f t="shared" si="85"/>
        <v>HG1725</v>
      </c>
      <c r="W273" s="951">
        <v>367201</v>
      </c>
      <c r="X273" s="456">
        <v>0</v>
      </c>
      <c r="Y273" s="456">
        <v>0</v>
      </c>
      <c r="Z273" s="100">
        <v>0</v>
      </c>
      <c r="AA273" s="100">
        <v>0</v>
      </c>
      <c r="AB273" s="100"/>
      <c r="AC273" s="100">
        <v>125</v>
      </c>
      <c r="AD273" s="100">
        <v>0</v>
      </c>
      <c r="AE273" s="100">
        <v>0</v>
      </c>
      <c r="AF273" s="100">
        <v>0</v>
      </c>
      <c r="AG273" s="356">
        <v>0</v>
      </c>
      <c r="AH273" s="100">
        <v>0</v>
      </c>
      <c r="AI273" s="100"/>
      <c r="AJ273" s="100">
        <v>0</v>
      </c>
      <c r="AK273" s="356">
        <v>250</v>
      </c>
      <c r="AL273" s="100">
        <v>0</v>
      </c>
      <c r="AM273" s="100">
        <v>0</v>
      </c>
      <c r="AN273" s="100">
        <v>0</v>
      </c>
      <c r="AO273" s="100">
        <v>0</v>
      </c>
      <c r="AP273" s="100"/>
      <c r="AQ273" s="356">
        <v>0</v>
      </c>
      <c r="AR273" s="100">
        <v>0</v>
      </c>
      <c r="AS273" s="100">
        <v>0</v>
      </c>
      <c r="AT273" s="100">
        <v>0</v>
      </c>
      <c r="AU273" s="356">
        <v>0</v>
      </c>
      <c r="AV273" s="100">
        <v>0</v>
      </c>
      <c r="AW273" s="100"/>
      <c r="AX273" s="100"/>
      <c r="AY273" s="100">
        <v>0</v>
      </c>
      <c r="AZ273" s="100"/>
      <c r="BA273" s="100"/>
      <c r="BB273" s="100"/>
      <c r="BC273" s="298">
        <f t="shared" ref="BC273:BC275" si="101">SUM(X273:BB273)</f>
        <v>375</v>
      </c>
      <c r="BD273" s="896">
        <f t="shared" ref="BD273:BD275" si="102">COUNTIF(X273:BB273,"&gt;0")</f>
        <v>2</v>
      </c>
      <c r="BE273" s="896">
        <f t="shared" ref="BE273:BE275" si="103">IFERROR(BC273/BD273,0)</f>
        <v>187.5</v>
      </c>
      <c r="BH273" s="505"/>
    </row>
    <row r="274" spans="1:151" s="38" customFormat="1" ht="15" customHeight="1">
      <c r="A274" s="68">
        <v>69</v>
      </c>
      <c r="B274" s="375" t="s">
        <v>15</v>
      </c>
      <c r="C274" s="376" t="s">
        <v>61</v>
      </c>
      <c r="D274" s="378">
        <v>25</v>
      </c>
      <c r="E274" s="540">
        <v>0</v>
      </c>
      <c r="F274" s="100">
        <f>SUMIF(pro!$A:$A,$V:$V,pro!$N:$N)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f>SUMIF(AJOUT!$A:$A,BRAN!$V:$V,AJOUT!$L:$L)</f>
        <v>0</v>
      </c>
      <c r="L274" s="356">
        <f>SUMIF(CBOUT!$A:$A,BRAN!$V:$V,CBOUT!$G:$G)</f>
        <v>0</v>
      </c>
      <c r="M274" s="540">
        <f>E274+F274+H274-I274-L274+G274-K274</f>
        <v>0</v>
      </c>
      <c r="N274" s="356">
        <f t="shared" si="81"/>
        <v>0</v>
      </c>
      <c r="O274" s="357">
        <f t="shared" si="71"/>
        <v>0</v>
      </c>
      <c r="P274" s="350"/>
      <c r="Q274" s="350"/>
      <c r="R274" s="350">
        <f>O274/INTGRATE!$N$293</f>
        <v>0</v>
      </c>
      <c r="S274" s="349">
        <f t="shared" si="82"/>
        <v>0</v>
      </c>
      <c r="T274" s="677"/>
      <c r="U274" s="145"/>
      <c r="V274" s="960" t="str">
        <f t="shared" si="85"/>
        <v>VD1425</v>
      </c>
      <c r="W274" s="951">
        <v>216201</v>
      </c>
      <c r="X274" s="456">
        <v>0</v>
      </c>
      <c r="Y274" s="456">
        <v>0</v>
      </c>
      <c r="Z274" s="100">
        <v>0</v>
      </c>
      <c r="AA274" s="100">
        <v>0</v>
      </c>
      <c r="AB274" s="100"/>
      <c r="AC274" s="100">
        <v>0</v>
      </c>
      <c r="AD274" s="100">
        <v>0</v>
      </c>
      <c r="AE274" s="100">
        <v>0</v>
      </c>
      <c r="AF274" s="100">
        <v>0</v>
      </c>
      <c r="AG274" s="356">
        <v>0</v>
      </c>
      <c r="AH274" s="100">
        <v>0</v>
      </c>
      <c r="AI274" s="100"/>
      <c r="AJ274" s="100">
        <v>0</v>
      </c>
      <c r="AK274" s="356">
        <v>0</v>
      </c>
      <c r="AL274" s="100">
        <v>0</v>
      </c>
      <c r="AM274" s="100">
        <v>0</v>
      </c>
      <c r="AN274" s="100">
        <v>0</v>
      </c>
      <c r="AO274" s="100">
        <v>0</v>
      </c>
      <c r="AP274" s="100"/>
      <c r="AQ274" s="356">
        <v>0</v>
      </c>
      <c r="AR274" s="100">
        <v>0</v>
      </c>
      <c r="AS274" s="100">
        <v>0</v>
      </c>
      <c r="AT274" s="100">
        <v>0</v>
      </c>
      <c r="AU274" s="356">
        <v>0</v>
      </c>
      <c r="AV274" s="100">
        <v>0</v>
      </c>
      <c r="AW274" s="100"/>
      <c r="AX274" s="100"/>
      <c r="AY274" s="100">
        <v>0</v>
      </c>
      <c r="AZ274" s="100"/>
      <c r="BA274" s="100"/>
      <c r="BB274" s="100"/>
      <c r="BC274" s="298">
        <f t="shared" si="101"/>
        <v>0</v>
      </c>
      <c r="BD274" s="896">
        <f t="shared" si="102"/>
        <v>0</v>
      </c>
      <c r="BE274" s="896">
        <f t="shared" si="103"/>
        <v>0</v>
      </c>
      <c r="BH274" s="505"/>
    </row>
    <row r="275" spans="1:151" s="108" customFormat="1" ht="15" customHeight="1">
      <c r="A275" s="68">
        <v>70</v>
      </c>
      <c r="B275" s="375" t="s">
        <v>15</v>
      </c>
      <c r="C275" s="376" t="s">
        <v>61</v>
      </c>
      <c r="D275" s="378">
        <v>40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81"/>
        <v>0</v>
      </c>
      <c r="O275" s="357">
        <f t="shared" si="71"/>
        <v>0</v>
      </c>
      <c r="P275" s="350"/>
      <c r="Q275" s="350"/>
      <c r="R275" s="350">
        <f>O275/INTGRATE!$N$293</f>
        <v>0</v>
      </c>
      <c r="S275" s="349">
        <f t="shared" si="82"/>
        <v>0</v>
      </c>
      <c r="T275" s="470"/>
      <c r="U275" s="145"/>
      <c r="V275" s="960" t="str">
        <f t="shared" si="85"/>
        <v>VD1440</v>
      </c>
      <c r="W275" s="951">
        <v>216201</v>
      </c>
      <c r="X275" s="456">
        <v>0</v>
      </c>
      <c r="Y275" s="456">
        <v>0</v>
      </c>
      <c r="Z275" s="100">
        <v>0</v>
      </c>
      <c r="AA275" s="100">
        <v>0</v>
      </c>
      <c r="AB275" s="100"/>
      <c r="AC275" s="100"/>
      <c r="AD275" s="100">
        <v>0</v>
      </c>
      <c r="AE275" s="100">
        <v>0</v>
      </c>
      <c r="AF275" s="100">
        <v>0</v>
      </c>
      <c r="AG275" s="356">
        <v>0</v>
      </c>
      <c r="AH275" s="100">
        <v>0</v>
      </c>
      <c r="AI275" s="100"/>
      <c r="AJ275" s="100">
        <v>0</v>
      </c>
      <c r="AK275" s="356">
        <v>0</v>
      </c>
      <c r="AL275" s="100">
        <v>0</v>
      </c>
      <c r="AM275" s="100">
        <v>0</v>
      </c>
      <c r="AN275" s="100">
        <v>0</v>
      </c>
      <c r="AO275" s="100">
        <v>0</v>
      </c>
      <c r="AP275" s="100"/>
      <c r="AQ275" s="356">
        <v>0</v>
      </c>
      <c r="AR275" s="100">
        <v>0</v>
      </c>
      <c r="AS275" s="100">
        <v>0</v>
      </c>
      <c r="AT275" s="100">
        <v>0</v>
      </c>
      <c r="AU275" s="356">
        <v>0</v>
      </c>
      <c r="AV275" s="100">
        <v>0</v>
      </c>
      <c r="AW275" s="100"/>
      <c r="AX275" s="100"/>
      <c r="AY275" s="100">
        <v>0</v>
      </c>
      <c r="AZ275" s="100"/>
      <c r="BA275" s="100"/>
      <c r="BB275" s="100"/>
      <c r="BC275" s="298">
        <f t="shared" si="101"/>
        <v>0</v>
      </c>
      <c r="BD275" s="896">
        <f t="shared" si="102"/>
        <v>0</v>
      </c>
      <c r="BE275" s="896">
        <f t="shared" si="103"/>
        <v>0</v>
      </c>
      <c r="BF275" s="58"/>
      <c r="BG275" s="38"/>
      <c r="BH275" s="507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226" t="s">
        <v>1764</v>
      </c>
      <c r="B276" s="1227"/>
      <c r="C276" s="1227"/>
      <c r="D276" s="1228"/>
      <c r="E276" s="109"/>
      <c r="F276" s="109"/>
      <c r="G276" s="109"/>
      <c r="H276" s="109"/>
      <c r="I276" s="109"/>
      <c r="J276" s="109"/>
      <c r="K276" s="109"/>
      <c r="L276" s="109"/>
      <c r="M276" s="548"/>
      <c r="N276" s="109"/>
      <c r="O276" s="109"/>
      <c r="P276" s="199"/>
      <c r="Q276" s="199"/>
      <c r="R276" s="109"/>
      <c r="S276" s="99"/>
      <c r="T276" s="1232">
        <f>N281/R279</f>
        <v>1.9614630678758376</v>
      </c>
      <c r="U276" s="156"/>
      <c r="V276" s="956" t="str">
        <f t="shared" si="85"/>
        <v/>
      </c>
      <c r="W276" s="943"/>
      <c r="X276" s="78">
        <f t="shared" ref="X276:BB276" si="104">SUM(X206:X275)</f>
        <v>45310</v>
      </c>
      <c r="Y276" s="78">
        <f t="shared" si="104"/>
        <v>113115</v>
      </c>
      <c r="Z276" s="78">
        <f t="shared" si="104"/>
        <v>119610</v>
      </c>
      <c r="AA276" s="78">
        <f t="shared" si="104"/>
        <v>160200</v>
      </c>
      <c r="AB276" s="78">
        <f t="shared" si="104"/>
        <v>0</v>
      </c>
      <c r="AC276" s="78">
        <f t="shared" si="104"/>
        <v>52510</v>
      </c>
      <c r="AD276" s="78">
        <f t="shared" si="104"/>
        <v>58765</v>
      </c>
      <c r="AE276" s="78">
        <f t="shared" si="104"/>
        <v>118385</v>
      </c>
      <c r="AF276" s="78">
        <f t="shared" si="104"/>
        <v>62765</v>
      </c>
      <c r="AG276" s="78">
        <f t="shared" si="104"/>
        <v>120670</v>
      </c>
      <c r="AH276" s="78">
        <f t="shared" si="104"/>
        <v>157655</v>
      </c>
      <c r="AI276" s="78">
        <f t="shared" si="104"/>
        <v>0</v>
      </c>
      <c r="AJ276" s="78">
        <f t="shared" si="104"/>
        <v>46820</v>
      </c>
      <c r="AK276" s="78">
        <f t="shared" si="104"/>
        <v>123855</v>
      </c>
      <c r="AL276" s="78">
        <f t="shared" si="104"/>
        <v>70480</v>
      </c>
      <c r="AM276" s="78">
        <f t="shared" si="104"/>
        <v>61345</v>
      </c>
      <c r="AN276" s="78">
        <f t="shared" si="104"/>
        <v>56650</v>
      </c>
      <c r="AO276" s="78">
        <f t="shared" si="104"/>
        <v>139740</v>
      </c>
      <c r="AP276" s="78">
        <f t="shared" si="104"/>
        <v>0</v>
      </c>
      <c r="AQ276" s="78">
        <f t="shared" si="104"/>
        <v>81330</v>
      </c>
      <c r="AR276" s="78">
        <f t="shared" si="104"/>
        <v>60095</v>
      </c>
      <c r="AS276" s="78">
        <f t="shared" si="104"/>
        <v>139275</v>
      </c>
      <c r="AT276" s="78">
        <f t="shared" si="104"/>
        <v>93640</v>
      </c>
      <c r="AU276" s="78">
        <f t="shared" si="104"/>
        <v>62885</v>
      </c>
      <c r="AV276" s="78">
        <f t="shared" si="104"/>
        <v>216770</v>
      </c>
      <c r="AW276" s="78">
        <f t="shared" si="104"/>
        <v>0</v>
      </c>
      <c r="AX276" s="78">
        <f t="shared" si="104"/>
        <v>0</v>
      </c>
      <c r="AY276" s="78">
        <f t="shared" si="104"/>
        <v>159280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607">
        <f t="shared" si="73"/>
        <v>2321150</v>
      </c>
      <c r="BD276" s="900"/>
      <c r="BE276" s="900"/>
      <c r="BH276" s="508"/>
    </row>
    <row r="277" spans="1:151" s="59" customFormat="1" ht="15" customHeight="1">
      <c r="A277" s="1226" t="s">
        <v>1740</v>
      </c>
      <c r="B277" s="1227"/>
      <c r="C277" s="1227"/>
      <c r="D277" s="1228"/>
      <c r="E277" s="110">
        <f>SUM(E206:E275)-E280-E278</f>
        <v>9277</v>
      </c>
      <c r="F277" s="110">
        <f>SUM(F206:F275)-F280-F278</f>
        <v>1583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2942</v>
      </c>
      <c r="J277" s="110">
        <f>+J281-J280-J278</f>
        <v>73550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7918</v>
      </c>
      <c r="N277" s="110">
        <f>SUM(N206:N274)-N237-N236-SUM(N207:N210)-N240-N212-N213-N216-N218-N219-N222-N224-N227-N231-N246-N247-N251-N256-N259-N261-N263-N266-N267-N270-N271-N272</f>
        <v>197950</v>
      </c>
      <c r="O277" s="110">
        <f>SUM(O206:O275)</f>
        <v>2321150</v>
      </c>
      <c r="P277" s="110">
        <f>SUM(P206:P274)</f>
        <v>197950</v>
      </c>
      <c r="Q277" s="110">
        <f>SUM(Q206:Q274)</f>
        <v>2321150</v>
      </c>
      <c r="R277" s="110">
        <f>SUM(R206:R274)-R216</f>
        <v>100919.5652173913</v>
      </c>
      <c r="S277" s="110">
        <f>SUM(S206:S274)-S216</f>
        <v>112.3664357621135</v>
      </c>
      <c r="T277" s="1233"/>
      <c r="U277" s="157">
        <f>SUM(U245:U273)*25+U221</f>
        <v>0</v>
      </c>
      <c r="V277" s="959" t="str">
        <f t="shared" si="85"/>
        <v/>
      </c>
      <c r="W277" s="94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508"/>
    </row>
    <row r="278" spans="1:151" s="59" customFormat="1" ht="15" customHeight="1">
      <c r="A278" s="1226" t="s">
        <v>1765</v>
      </c>
      <c r="B278" s="1227"/>
      <c r="C278" s="1227"/>
      <c r="D278" s="1228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52400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233"/>
      <c r="U278" s="158">
        <f>SUM(U275:U275)*40</f>
        <v>0</v>
      </c>
      <c r="V278" s="959" t="str">
        <f t="shared" si="85"/>
        <v/>
      </c>
      <c r="W278" s="94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508"/>
    </row>
    <row r="279" spans="1:151" s="132" customFormat="1" ht="15" customHeight="1">
      <c r="A279" s="1236" t="s">
        <v>1742</v>
      </c>
      <c r="B279" s="1237"/>
      <c r="C279" s="1237"/>
      <c r="D279" s="1238"/>
      <c r="E279" s="73">
        <f>SUM(E276:E278)</f>
        <v>9277</v>
      </c>
      <c r="F279" s="73">
        <f>SUM(F276:F278)</f>
        <v>1583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2942</v>
      </c>
      <c r="J279" s="73">
        <f>+J278+J277</f>
        <v>73550</v>
      </c>
      <c r="K279" s="73">
        <f t="shared" si="109"/>
        <v>0</v>
      </c>
      <c r="L279" s="73">
        <f t="shared" si="109"/>
        <v>0</v>
      </c>
      <c r="M279" s="73">
        <f>SUM(M276:M278)</f>
        <v>7918</v>
      </c>
      <c r="N279" s="73">
        <f t="shared" si="109"/>
        <v>197950</v>
      </c>
      <c r="O279" s="874">
        <f>+O281-O280</f>
        <v>2004260</v>
      </c>
      <c r="P279" s="197">
        <f>SUM(P206:P275)</f>
        <v>197950</v>
      </c>
      <c r="Q279" s="197">
        <f>+Q277-Q217</f>
        <v>2321150</v>
      </c>
      <c r="R279" s="1222">
        <f>SUM(R206:R275)</f>
        <v>100919.5652173913</v>
      </c>
      <c r="S279" s="1224" t="s">
        <v>44</v>
      </c>
      <c r="T279" s="1233"/>
      <c r="U279" s="150">
        <f>SUM(U206:U275)</f>
        <v>0</v>
      </c>
      <c r="V279" s="959" t="str">
        <f t="shared" si="85"/>
        <v/>
      </c>
      <c r="W279" s="94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422"/>
      <c r="BD279" s="422"/>
      <c r="BE279" s="422"/>
      <c r="BH279" s="508"/>
    </row>
    <row r="280" spans="1:151" s="132" customFormat="1" ht="15" customHeight="1">
      <c r="A280" s="1226" t="s">
        <v>1766</v>
      </c>
      <c r="B280" s="1227"/>
      <c r="C280" s="1227"/>
      <c r="D280" s="1228"/>
      <c r="E280" s="680"/>
      <c r="F280" s="680">
        <f>F242+F238+F239+F212+F216+F266+F270+F256+F261+F251+F263+F267+F271+F210+F208+F247+F259+F246+F209+F272+F207+F222+F218+F227+F224+F231+F219+F213+F253</f>
        <v>85730</v>
      </c>
      <c r="G280" s="680">
        <f t="shared" ref="G280:I280" si="110">G242+G238+G239+G212+G216+G266+G270+G256+G261+G251+G263+G267+G271+G210+G208+G247+G259+G246+G209+G272+G207+G222+G218+G227+G224+G231+G219+G213+G253</f>
        <v>0</v>
      </c>
      <c r="H280" s="680">
        <f t="shared" si="110"/>
        <v>0</v>
      </c>
      <c r="I280" s="680">
        <f t="shared" si="110"/>
        <v>0</v>
      </c>
      <c r="J280" s="680">
        <f>J242+J238+J239+J212+J216+J266+J270+J256+J261+J251+J263+J267+J271+J210+J208+J247+J259+J246+J209+J272+J207+J222+J218+J227+J224+J231+J219+J213+J253</f>
        <v>85730</v>
      </c>
      <c r="K280" s="680">
        <f>+K216+K266+K270+K256+K261+K251+K263+K267+K271+K210+K208+K247+K259+K246+K209+K272+K207</f>
        <v>0</v>
      </c>
      <c r="L280" s="680">
        <f>+L216+L266+L270+L256+L261+L251+L263+L267+L271+L210+L208+L247+L259+L246+L209</f>
        <v>0</v>
      </c>
      <c r="M280" s="680">
        <f>+M216+M266+M270+M256+M261+M251+M263+M267+M271+M210+M208+M247+M259+M246+M209+M272+M207+M222+M218</f>
        <v>0</v>
      </c>
      <c r="N280" s="680">
        <f>+N216+N266+N270+N256+N261+N251+N263+N267+N271+N210+N208+N247+N259+N246+N209</f>
        <v>0</v>
      </c>
      <c r="O280" s="874">
        <f>+O207+O208+O209+O210+O216+O222+O246+O247+O251+O256+O259+O261+O266+O267+O270+O271+O272+O263</f>
        <v>316890</v>
      </c>
      <c r="P280" s="681">
        <f>+N279-P277</f>
        <v>0</v>
      </c>
      <c r="Q280" s="681"/>
      <c r="R280" s="1254"/>
      <c r="S280" s="1253"/>
      <c r="T280" s="1233"/>
      <c r="U280" s="151"/>
      <c r="V280" s="959"/>
      <c r="W280" s="94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422"/>
      <c r="BD280" s="422"/>
      <c r="BE280" s="422"/>
      <c r="BH280" s="508"/>
    </row>
    <row r="281" spans="1:151" s="71" customFormat="1" ht="15" customHeight="1">
      <c r="A281" s="1226" t="s">
        <v>1743</v>
      </c>
      <c r="B281" s="1227"/>
      <c r="C281" s="1227"/>
      <c r="D281" s="1228"/>
      <c r="E281" s="69">
        <f>SUM(E276:E277)*25+E278*40</f>
        <v>231925</v>
      </c>
      <c r="F281" s="69">
        <f>+F280+F277*25+F278*40</f>
        <v>125305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73550</v>
      </c>
      <c r="J281" s="69">
        <f>SUM(J206:J275)</f>
        <v>159280</v>
      </c>
      <c r="K281" s="69">
        <f t="shared" si="111"/>
        <v>0</v>
      </c>
      <c r="L281" s="69">
        <f t="shared" si="111"/>
        <v>0</v>
      </c>
      <c r="M281" s="69">
        <f>+M280+M277*25+M278*40</f>
        <v>197950</v>
      </c>
      <c r="N281" s="69">
        <f>SUM(N206:N275)</f>
        <v>197950</v>
      </c>
      <c r="O281" s="874">
        <f>SUM(O206:O275)</f>
        <v>2321150</v>
      </c>
      <c r="P281" s="198"/>
      <c r="Q281" s="198"/>
      <c r="R281" s="1223"/>
      <c r="S281" s="1225"/>
      <c r="T281" s="1234"/>
      <c r="U281" s="151">
        <f>U277*25</f>
        <v>0</v>
      </c>
      <c r="V281" s="959" t="str">
        <f t="shared" ref="V281:V286" si="112">B281&amp;D281</f>
        <v/>
      </c>
      <c r="W281" s="94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508"/>
    </row>
    <row r="282" spans="1:151" s="71" customFormat="1" ht="15" customHeight="1">
      <c r="A282" s="310" t="s">
        <v>137</v>
      </c>
      <c r="B282" s="37"/>
      <c r="C282" s="37"/>
      <c r="D282" s="37"/>
      <c r="E282" s="133"/>
      <c r="F282" s="37"/>
      <c r="G282" s="37"/>
      <c r="H282" s="37"/>
      <c r="I282" s="37"/>
      <c r="J282" s="37"/>
      <c r="K282" s="37"/>
      <c r="L282" s="37"/>
      <c r="M282" s="543"/>
      <c r="N282" s="37"/>
      <c r="O282" s="37"/>
      <c r="P282" s="37"/>
      <c r="Q282" s="37"/>
      <c r="R282" s="37"/>
      <c r="S282" s="37"/>
      <c r="T282" s="528"/>
      <c r="U282" s="143"/>
      <c r="V282" s="959" t="str">
        <f t="shared" si="112"/>
        <v/>
      </c>
      <c r="W282" s="94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508"/>
    </row>
    <row r="283" spans="1:151" s="71" customFormat="1" ht="15" customHeight="1">
      <c r="A283" s="310" t="s">
        <v>1694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535"/>
      <c r="N283" s="38"/>
      <c r="O283" s="85"/>
      <c r="P283" s="85"/>
      <c r="Q283" s="85"/>
      <c r="R283" s="38"/>
      <c r="S283" s="38"/>
      <c r="T283" s="529"/>
      <c r="U283" s="134"/>
      <c r="V283" s="959" t="str">
        <f t="shared" si="112"/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508"/>
    </row>
    <row r="284" spans="1:151" s="71" customFormat="1" ht="15" customHeight="1">
      <c r="A284" s="310" t="s">
        <v>1695</v>
      </c>
      <c r="B284" s="430"/>
      <c r="C284" s="430"/>
      <c r="D284" s="430"/>
      <c r="E284" s="430"/>
      <c r="F284" s="430"/>
      <c r="G284" s="430"/>
      <c r="H284" s="430"/>
      <c r="I284" s="430"/>
      <c r="J284" s="430"/>
      <c r="K284" s="430"/>
      <c r="L284" s="430"/>
      <c r="M284" s="544"/>
      <c r="N284" s="430"/>
      <c r="O284" s="430"/>
      <c r="P284" s="430"/>
      <c r="Q284" s="430"/>
      <c r="R284" s="430"/>
      <c r="S284" s="430"/>
      <c r="T284" s="530"/>
      <c r="U284" s="134"/>
      <c r="V284" s="959" t="str">
        <f t="shared" si="112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ht="15" customHeight="1">
      <c r="A285" s="512" t="s">
        <v>1733</v>
      </c>
      <c r="B285" s="512"/>
      <c r="C285" s="512"/>
      <c r="D285" s="512"/>
      <c r="E285" s="512"/>
      <c r="F285" s="512"/>
      <c r="G285" s="512"/>
      <c r="H285" s="512"/>
      <c r="I285" s="512"/>
      <c r="J285" s="512"/>
      <c r="K285" s="512"/>
      <c r="L285" s="512"/>
      <c r="M285" s="538"/>
      <c r="N285" s="512"/>
      <c r="O285" s="512"/>
      <c r="P285" s="512"/>
      <c r="Q285" s="512"/>
      <c r="R285" s="512"/>
      <c r="S285" s="512"/>
      <c r="T285" s="78"/>
      <c r="U285" s="143"/>
      <c r="V285" s="95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513" t="s">
        <v>1824</v>
      </c>
      <c r="B286" s="513"/>
      <c r="C286" s="513"/>
      <c r="D286" s="513"/>
      <c r="E286" s="513"/>
      <c r="F286" s="513"/>
      <c r="G286" s="513"/>
      <c r="H286" s="513"/>
      <c r="I286" s="513"/>
      <c r="J286" s="513"/>
      <c r="K286" s="513"/>
      <c r="L286" s="513"/>
      <c r="M286" s="539"/>
      <c r="N286" s="513"/>
      <c r="O286" s="513"/>
      <c r="P286" s="513"/>
      <c r="Q286" s="513"/>
      <c r="R286" s="513"/>
      <c r="S286" s="513"/>
      <c r="T286" s="476"/>
      <c r="U286" s="144"/>
      <c r="V286" s="959" t="str">
        <f t="shared" si="112"/>
        <v/>
      </c>
    </row>
    <row r="287" spans="1:151" s="63" customFormat="1" ht="36" customHeight="1">
      <c r="A287" s="1046" t="s">
        <v>1700</v>
      </c>
      <c r="B287" s="1037" t="s">
        <v>1676</v>
      </c>
      <c r="C287" s="1037" t="s">
        <v>1677</v>
      </c>
      <c r="D287" s="1049" t="s">
        <v>1678</v>
      </c>
      <c r="E287" s="61" t="s">
        <v>0</v>
      </c>
      <c r="F287" s="1052" t="s">
        <v>1680</v>
      </c>
      <c r="G287" s="1057"/>
      <c r="H287" s="1053"/>
      <c r="I287" s="1052" t="s">
        <v>1681</v>
      </c>
      <c r="J287" s="1057"/>
      <c r="K287" s="1057"/>
      <c r="L287" s="1057"/>
      <c r="M287" s="1052" t="s">
        <v>1687</v>
      </c>
      <c r="N287" s="1053"/>
      <c r="O287" s="194" t="s">
        <v>1727</v>
      </c>
      <c r="P287" s="194"/>
      <c r="Q287" s="194"/>
      <c r="R287" s="194" t="s">
        <v>1728</v>
      </c>
      <c r="S287" s="1049" t="s">
        <v>1689</v>
      </c>
      <c r="T287" s="1176" t="s">
        <v>1692</v>
      </c>
      <c r="U287" s="1002" t="s">
        <v>1693</v>
      </c>
      <c r="V287" s="950"/>
      <c r="W287" s="95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506"/>
    </row>
    <row r="288" spans="1:151" s="63" customFormat="1" ht="51.75" customHeight="1">
      <c r="A288" s="1047"/>
      <c r="B288" s="1038"/>
      <c r="C288" s="1038"/>
      <c r="D288" s="1050" t="s">
        <v>3</v>
      </c>
      <c r="E288" s="64" t="s">
        <v>1679</v>
      </c>
      <c r="F288" s="783" t="s">
        <v>1682</v>
      </c>
      <c r="G288" s="585" t="s">
        <v>1683</v>
      </c>
      <c r="H288" s="784" t="s">
        <v>1685</v>
      </c>
      <c r="I288" s="1052" t="s">
        <v>1684</v>
      </c>
      <c r="J288" s="1057"/>
      <c r="K288" s="585" t="s">
        <v>1688</v>
      </c>
      <c r="L288" s="784" t="s">
        <v>1686</v>
      </c>
      <c r="M288" s="1052" t="s">
        <v>1732</v>
      </c>
      <c r="N288" s="1053"/>
      <c r="O288" s="787" t="s">
        <v>1730</v>
      </c>
      <c r="P288" s="195"/>
      <c r="Q288" s="195"/>
      <c r="R288" s="787" t="s">
        <v>1731</v>
      </c>
      <c r="S288" s="1050"/>
      <c r="T288" s="1177"/>
      <c r="U288" s="1003"/>
      <c r="V288" s="955" t="str">
        <f t="shared" ref="V288:V310" si="113">B288&amp;D288</f>
        <v>SIZE</v>
      </c>
      <c r="W288" s="95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506"/>
    </row>
    <row r="289" spans="1:60" s="63" customFormat="1" ht="15.75" customHeight="1">
      <c r="A289" s="1048"/>
      <c r="B289" s="1039"/>
      <c r="C289" s="1039"/>
      <c r="D289" s="1051" t="s">
        <v>6</v>
      </c>
      <c r="E289" s="64" t="s">
        <v>1674</v>
      </c>
      <c r="F289" s="64" t="s">
        <v>1674</v>
      </c>
      <c r="G289" s="64" t="s">
        <v>1674</v>
      </c>
      <c r="H289" s="64" t="s">
        <v>1674</v>
      </c>
      <c r="I289" s="64" t="s">
        <v>1674</v>
      </c>
      <c r="J289" s="64" t="s">
        <v>6</v>
      </c>
      <c r="K289" s="64" t="s">
        <v>1674</v>
      </c>
      <c r="L289" s="64" t="s">
        <v>1674</v>
      </c>
      <c r="M289" s="64" t="s">
        <v>1674</v>
      </c>
      <c r="N289" s="65" t="s">
        <v>6</v>
      </c>
      <c r="O289" s="65" t="s">
        <v>6</v>
      </c>
      <c r="P289" s="196"/>
      <c r="Q289" s="196"/>
      <c r="R289" s="65" t="s">
        <v>1729</v>
      </c>
      <c r="S289" s="1051"/>
      <c r="T289" s="1178"/>
      <c r="U289" s="788" t="s">
        <v>1674</v>
      </c>
      <c r="V289" s="955" t="str">
        <f t="shared" si="113"/>
        <v>(Kg)</v>
      </c>
      <c r="W289" s="951"/>
      <c r="X289" s="340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13</v>
      </c>
      <c r="BD289" s="895" t="s">
        <v>1931</v>
      </c>
      <c r="BE289" s="895" t="s">
        <v>1930</v>
      </c>
      <c r="BH289" s="506"/>
    </row>
    <row r="290" spans="1:60" s="757" customFormat="1" ht="15" customHeight="1">
      <c r="A290" s="747">
        <v>1</v>
      </c>
      <c r="B290" s="360">
        <v>9624</v>
      </c>
      <c r="C290" s="360" t="s">
        <v>1550</v>
      </c>
      <c r="D290" s="750" t="s">
        <v>901</v>
      </c>
      <c r="E290" s="748">
        <v>0</v>
      </c>
      <c r="F290" s="751">
        <f>+J290</f>
        <v>0</v>
      </c>
      <c r="G290" s="748"/>
      <c r="H290" s="751">
        <f>SUMIF(CBIN!$A:$A,BRAN!$V:$V,CBIN!$G:$G)</f>
        <v>0</v>
      </c>
      <c r="I290" s="748">
        <f>SUMIF(data!$D:$D,$B290&amp;$D290,data!$J:$J)</f>
        <v>0</v>
      </c>
      <c r="J290" s="748">
        <f>SUMIF(data!$D:$D,$B290&amp;$D290,data!$K:$K)</f>
        <v>0</v>
      </c>
      <c r="K290" s="751">
        <f>SUMIF(AJOUT!$A:$A,BRAN!$V:$V,AJOUT!$L:$L)</f>
        <v>0</v>
      </c>
      <c r="L290" s="751">
        <f>SUMIF(CBOUT!$A:$A,BRAN!$V:$V,CBOUT!$G:$G)</f>
        <v>0</v>
      </c>
      <c r="M290" s="749">
        <v>0</v>
      </c>
      <c r="N290" s="748">
        <v>0</v>
      </c>
      <c r="O290" s="748">
        <f t="shared" ref="O290:O299" si="114">SUM(X290:BB290)</f>
        <v>0</v>
      </c>
      <c r="P290" s="752"/>
      <c r="Q290" s="752"/>
      <c r="R290" s="753">
        <f>O290/INTGRATE!$N$293</f>
        <v>0</v>
      </c>
      <c r="S290" s="764">
        <f>IF(R290=0,0,N290/R290)</f>
        <v>0</v>
      </c>
      <c r="T290" s="754"/>
      <c r="U290" s="755"/>
      <c r="V290" s="963" t="str">
        <f t="shared" si="113"/>
        <v>9624silo</v>
      </c>
      <c r="W290" s="951">
        <v>127001</v>
      </c>
      <c r="X290" s="68"/>
      <c r="Y290" s="68"/>
      <c r="Z290" s="459"/>
      <c r="AA290" s="100"/>
      <c r="AB290" s="100"/>
      <c r="AC290" s="100"/>
      <c r="AD290" s="348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48"/>
      <c r="AR290" s="100"/>
      <c r="AS290" s="100"/>
      <c r="AT290" s="100"/>
      <c r="AU290" s="100"/>
      <c r="AV290" s="100"/>
      <c r="AW290" s="100"/>
      <c r="AX290" s="748"/>
      <c r="AY290" s="100"/>
      <c r="AZ290" s="100"/>
      <c r="BA290" s="100"/>
      <c r="BB290" s="100"/>
      <c r="BC290" s="756">
        <f t="shared" ref="BC290:BC299" si="115">SUM(X290:BB290)</f>
        <v>0</v>
      </c>
      <c r="BD290" s="896">
        <f>COUNTIF(X290:BB290,"&gt;0")</f>
        <v>0</v>
      </c>
      <c r="BE290" s="896">
        <f>IFERROR(BC290/BD290,0)</f>
        <v>0</v>
      </c>
      <c r="BH290" s="758"/>
    </row>
    <row r="291" spans="1:60" s="757" customFormat="1" ht="15" customHeight="1">
      <c r="A291" s="68">
        <v>2</v>
      </c>
      <c r="B291" s="360">
        <v>9622</v>
      </c>
      <c r="C291" s="360" t="s">
        <v>1550</v>
      </c>
      <c r="D291" s="750" t="s">
        <v>901</v>
      </c>
      <c r="E291" s="748">
        <v>0</v>
      </c>
      <c r="F291" s="751">
        <f>+J291</f>
        <v>0</v>
      </c>
      <c r="G291" s="748"/>
      <c r="H291" s="751">
        <f>SUMIF(CBIN!$A:$A,BRAN!$V:$V,CBIN!$G:$G)</f>
        <v>0</v>
      </c>
      <c r="I291" s="748">
        <f>SUMIF(data!$D:$D,$B291&amp;$D291,data!$J:$J)</f>
        <v>0</v>
      </c>
      <c r="J291" s="748">
        <f>SUMIF(data!$D:$D,$B291&amp;$D291,data!$K:$K)</f>
        <v>0</v>
      </c>
      <c r="K291" s="751">
        <f>SUMIF(AJOUT!$A:$A,BRAN!$V:$V,AJOUT!$L:$L)</f>
        <v>0</v>
      </c>
      <c r="L291" s="751">
        <f>SUMIF(CBOUT!$A:$A,BRAN!$V:$V,CBOUT!$G:$G)</f>
        <v>0</v>
      </c>
      <c r="M291" s="749">
        <v>0</v>
      </c>
      <c r="N291" s="748">
        <v>0</v>
      </c>
      <c r="O291" s="748">
        <f t="shared" si="114"/>
        <v>0</v>
      </c>
      <c r="P291" s="752"/>
      <c r="Q291" s="752"/>
      <c r="R291" s="753">
        <f>O291/INTGRATE!$N$293</f>
        <v>0</v>
      </c>
      <c r="S291" s="764">
        <f>IF(R291=0,0,N291/R291)</f>
        <v>0</v>
      </c>
      <c r="T291" s="754"/>
      <c r="U291" s="755"/>
      <c r="V291" s="963" t="str">
        <f t="shared" si="113"/>
        <v>9622silo</v>
      </c>
      <c r="W291" s="951">
        <v>123001</v>
      </c>
      <c r="X291" s="68"/>
      <c r="Y291" s="68"/>
      <c r="Z291" s="459"/>
      <c r="AA291" s="100"/>
      <c r="AB291" s="100"/>
      <c r="AC291" s="100"/>
      <c r="AD291" s="348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48"/>
      <c r="AR291" s="100"/>
      <c r="AS291" s="100"/>
      <c r="AT291" s="100"/>
      <c r="AU291" s="100"/>
      <c r="AV291" s="100"/>
      <c r="AW291" s="100"/>
      <c r="AX291" s="748"/>
      <c r="AY291" s="100"/>
      <c r="AZ291" s="100"/>
      <c r="BA291" s="100"/>
      <c r="BB291" s="100"/>
      <c r="BC291" s="756">
        <f t="shared" si="115"/>
        <v>0</v>
      </c>
      <c r="BD291" s="896">
        <f t="shared" ref="BD291:BD299" si="116">COUNTIF(X291:BB291,"&gt;0")</f>
        <v>0</v>
      </c>
      <c r="BE291" s="896">
        <f t="shared" ref="BE291:BE299" si="117">IFERROR(BC291/BD291,0)</f>
        <v>0</v>
      </c>
      <c r="BH291" s="758"/>
    </row>
    <row r="292" spans="1:60" s="757" customFormat="1" ht="15" customHeight="1">
      <c r="A292" s="68">
        <v>3</v>
      </c>
      <c r="B292" s="360" t="s">
        <v>1662</v>
      </c>
      <c r="C292" s="360" t="s">
        <v>1550</v>
      </c>
      <c r="D292" s="750" t="s">
        <v>901</v>
      </c>
      <c r="E292" s="748"/>
      <c r="F292" s="751">
        <f>+J292</f>
        <v>0</v>
      </c>
      <c r="G292" s="748"/>
      <c r="H292" s="751"/>
      <c r="I292" s="748">
        <f>SUMIF(data!$D:$D,$B292&amp;$D292,data!$J:$J)</f>
        <v>0</v>
      </c>
      <c r="J292" s="748">
        <f>SUMIF(data!$D:$D,$B292&amp;$D292,data!$K:$K)</f>
        <v>0</v>
      </c>
      <c r="K292" s="751"/>
      <c r="L292" s="751"/>
      <c r="M292" s="749"/>
      <c r="N292" s="748">
        <v>0</v>
      </c>
      <c r="O292" s="748">
        <f t="shared" si="114"/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>B292&amp;D292</f>
        <v>9624Psilo</v>
      </c>
      <c r="W292" s="951"/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si="115"/>
        <v>0</v>
      </c>
      <c r="BD292" s="896">
        <f t="shared" si="116"/>
        <v>0</v>
      </c>
      <c r="BE292" s="896">
        <f t="shared" si="117"/>
        <v>0</v>
      </c>
      <c r="BH292" s="758"/>
    </row>
    <row r="293" spans="1:60" s="757" customFormat="1" ht="15" customHeight="1">
      <c r="A293" s="68">
        <v>4</v>
      </c>
      <c r="B293" s="360">
        <v>9624</v>
      </c>
      <c r="C293" s="360" t="s">
        <v>1550</v>
      </c>
      <c r="D293" s="750">
        <v>25</v>
      </c>
      <c r="E293" s="748">
        <v>0</v>
      </c>
      <c r="F293" s="100">
        <f>SUMIF(pro!$A:$A,$V:$V,pro!$N:$N)</f>
        <v>0</v>
      </c>
      <c r="G293" s="748"/>
      <c r="H293" s="356">
        <f>SUMIF(CBIN!$A:$A,BRAN!$V:$V,CBIN!$G:$G)</f>
        <v>0</v>
      </c>
      <c r="I293" s="419">
        <f>SUMIF(data!$D:$D,$B293&amp;$D293,data!$J:$J)</f>
        <v>0</v>
      </c>
      <c r="J293" s="348">
        <f>SUMIF(data!$D:$D,$B293&amp;$D293,data!$K:$K)</f>
        <v>0</v>
      </c>
      <c r="K293" s="356">
        <f>SUMIF(AJOUT!$A:$A,BRAN!$V:$V,AJOUT!$L:$L)</f>
        <v>0</v>
      </c>
      <c r="L293" s="356">
        <f>SUMIF(CBOUT!$A:$A,BRAN!$V:$V,CBOUT!$G:$G)</f>
        <v>0</v>
      </c>
      <c r="M293" s="550">
        <f>E293+F293+H293-I293-L293+G293-K293</f>
        <v>0</v>
      </c>
      <c r="N293" s="348">
        <f>M293*D293</f>
        <v>0</v>
      </c>
      <c r="O293" s="748">
        <f t="shared" si="114"/>
        <v>0</v>
      </c>
      <c r="P293" s="349"/>
      <c r="Q293" s="349"/>
      <c r="R293" s="350">
        <f>O293/INTGRATE!$N$293</f>
        <v>0</v>
      </c>
      <c r="S293" s="764">
        <f>IF(R293=0,0,N293/R293)</f>
        <v>0</v>
      </c>
      <c r="T293" s="754"/>
      <c r="U293" s="755"/>
      <c r="V293" s="963" t="str">
        <f>B293&amp;D293</f>
        <v>962425</v>
      </c>
      <c r="W293" s="951">
        <v>127001</v>
      </c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348"/>
      <c r="AX293" s="348"/>
      <c r="AY293" s="100"/>
      <c r="AZ293" s="100"/>
      <c r="BA293" s="100"/>
      <c r="BB293" s="100"/>
      <c r="BC293" s="756">
        <f t="shared" si="115"/>
        <v>0</v>
      </c>
      <c r="BD293" s="896">
        <f t="shared" si="116"/>
        <v>0</v>
      </c>
      <c r="BE293" s="896">
        <f t="shared" si="117"/>
        <v>0</v>
      </c>
      <c r="BH293" s="758"/>
    </row>
    <row r="294" spans="1:60" ht="15" customHeight="1">
      <c r="A294" s="68">
        <v>5</v>
      </c>
      <c r="B294" s="166">
        <v>9651</v>
      </c>
      <c r="C294" s="879" t="s">
        <v>1314</v>
      </c>
      <c r="D294" s="188">
        <v>25</v>
      </c>
      <c r="E294" s="347">
        <v>0</v>
      </c>
      <c r="F294" s="100">
        <f>SUMIF(pro!$A:$A,$V:$V,pro!$N:$N)</f>
        <v>0</v>
      </c>
      <c r="G294" s="348"/>
      <c r="H294" s="356">
        <f>SUMIF(CBIN!$A:$A,BRAN!$V:$V,CBIN!$G:$G)</f>
        <v>0</v>
      </c>
      <c r="I294" s="419">
        <f>SUMIF(data!$D:$D,$B294&amp;$D294,data!$J:$J)</f>
        <v>0</v>
      </c>
      <c r="J294" s="348">
        <f>SUMIF(data!$D:$D,$B294&amp;$D294,data!$K:$K)</f>
        <v>0</v>
      </c>
      <c r="K294" s="356">
        <f>SUMIF(AJOUT!$A:$A,BRAN!$V:$V,AJOUT!$L:$L)</f>
        <v>0</v>
      </c>
      <c r="L294" s="356">
        <f>SUMIF(CBOUT!$A:$A,BRAN!$V:$V,CBOUT!$G:$G)</f>
        <v>0</v>
      </c>
      <c r="M294" s="550">
        <f t="shared" ref="M294:M299" si="118">E294+F294+H294-I294-L294+G294-K294</f>
        <v>0</v>
      </c>
      <c r="N294" s="348">
        <f t="shared" ref="N294:N299" si="119">M294*D294</f>
        <v>0</v>
      </c>
      <c r="O294" s="748">
        <f t="shared" si="114"/>
        <v>0</v>
      </c>
      <c r="P294" s="349"/>
      <c r="Q294" s="349"/>
      <c r="R294" s="350">
        <f>O294/INTGRATE!$N$293</f>
        <v>0</v>
      </c>
      <c r="S294" s="349">
        <f t="shared" ref="S294:S299" si="120">IF(R294=0,0,N294/R294)</f>
        <v>0</v>
      </c>
      <c r="T294" s="471"/>
      <c r="U294" s="139"/>
      <c r="V294" s="956" t="str">
        <f t="shared" si="113"/>
        <v>965125</v>
      </c>
      <c r="W294" s="943">
        <v>314001</v>
      </c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100"/>
      <c r="AX294" s="348"/>
      <c r="AY294" s="100"/>
      <c r="AZ294" s="100"/>
      <c r="BA294" s="100"/>
      <c r="BB294" s="100"/>
      <c r="BC294" s="756">
        <f t="shared" si="115"/>
        <v>0</v>
      </c>
      <c r="BD294" s="896">
        <f t="shared" si="116"/>
        <v>0</v>
      </c>
      <c r="BE294" s="89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61</v>
      </c>
      <c r="D295" s="67">
        <v>25</v>
      </c>
      <c r="E295" s="347">
        <v>0</v>
      </c>
      <c r="F295" s="100">
        <f>SUMIF(pro!$A:$A,$V:$V,pro!$N:$N)</f>
        <v>0</v>
      </c>
      <c r="G295" s="3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 t="shared" si="118"/>
        <v>0</v>
      </c>
      <c r="N295" s="348">
        <f t="shared" si="119"/>
        <v>0</v>
      </c>
      <c r="O295" s="748">
        <f t="shared" si="114"/>
        <v>0</v>
      </c>
      <c r="P295" s="349"/>
      <c r="Q295" s="349"/>
      <c r="R295" s="350">
        <f>O295/INTGRATE!$N$293</f>
        <v>0</v>
      </c>
      <c r="S295" s="349">
        <f t="shared" si="120"/>
        <v>0</v>
      </c>
      <c r="T295" s="472"/>
      <c r="U295" s="139"/>
      <c r="V295" s="956" t="str">
        <f t="shared" si="113"/>
        <v>965225</v>
      </c>
      <c r="W295" s="943">
        <v>321001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100"/>
      <c r="AX295" s="348"/>
      <c r="AY295" s="100"/>
      <c r="AZ295" s="100"/>
      <c r="BA295" s="100"/>
      <c r="BB295" s="100"/>
      <c r="BC295" s="756">
        <f t="shared" si="115"/>
        <v>0</v>
      </c>
      <c r="BD295" s="896">
        <f t="shared" si="116"/>
        <v>0</v>
      </c>
      <c r="BE295" s="896">
        <f t="shared" si="117"/>
        <v>0</v>
      </c>
      <c r="BG295" s="38"/>
    </row>
    <row r="296" spans="1:60" ht="15" customHeight="1">
      <c r="A296" s="68">
        <v>7</v>
      </c>
      <c r="B296" s="77" t="s">
        <v>57</v>
      </c>
      <c r="C296" s="125" t="s">
        <v>1314</v>
      </c>
      <c r="D296" s="67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si="118"/>
        <v>0</v>
      </c>
      <c r="N296" s="348">
        <f t="shared" si="119"/>
        <v>0</v>
      </c>
      <c r="O296" s="748">
        <f t="shared" si="114"/>
        <v>0</v>
      </c>
      <c r="P296" s="349">
        <f>+N296+N294</f>
        <v>0</v>
      </c>
      <c r="Q296" s="349">
        <f>+O296+O294</f>
        <v>0</v>
      </c>
      <c r="R296" s="350">
        <f>O296/INTGRATE!$N$293</f>
        <v>0</v>
      </c>
      <c r="S296" s="349">
        <f t="shared" si="120"/>
        <v>0</v>
      </c>
      <c r="T296" s="472"/>
      <c r="U296" s="139"/>
      <c r="V296" s="956" t="str">
        <f t="shared" si="113"/>
        <v>9652S25</v>
      </c>
      <c r="W296" s="943">
        <v>320001</v>
      </c>
      <c r="X296" s="348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48"/>
      <c r="AP296" s="100"/>
      <c r="AQ296" s="348"/>
      <c r="AR296" s="348"/>
      <c r="AS296" s="748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15"/>
        <v>0</v>
      </c>
      <c r="BD296" s="896">
        <f t="shared" si="116"/>
        <v>0</v>
      </c>
      <c r="BE296" s="89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61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18"/>
        <v>0</v>
      </c>
      <c r="N297" s="348">
        <f t="shared" si="119"/>
        <v>0</v>
      </c>
      <c r="O297" s="748">
        <f t="shared" si="114"/>
        <v>0</v>
      </c>
      <c r="P297" s="349">
        <f>+N290+N291+N292+N293</f>
        <v>0</v>
      </c>
      <c r="Q297" s="349">
        <f>+O290+O291+O292+O293</f>
        <v>0</v>
      </c>
      <c r="R297" s="350">
        <f>O297/INTGRATE!$N$293</f>
        <v>0</v>
      </c>
      <c r="S297" s="349">
        <f t="shared" si="120"/>
        <v>0</v>
      </c>
      <c r="T297" s="472"/>
      <c r="U297" s="139"/>
      <c r="V297" s="956" t="str">
        <f t="shared" si="113"/>
        <v>965325</v>
      </c>
      <c r="W297" s="943">
        <v>332301</v>
      </c>
      <c r="X297" s="348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48"/>
      <c r="AP297" s="100"/>
      <c r="AQ297" s="348"/>
      <c r="AR297" s="348"/>
      <c r="AS297" s="748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15"/>
        <v>0</v>
      </c>
      <c r="BD297" s="896">
        <f t="shared" si="116"/>
        <v>0</v>
      </c>
      <c r="BE297" s="896">
        <f t="shared" si="117"/>
        <v>0</v>
      </c>
      <c r="BG297" s="38"/>
    </row>
    <row r="298" spans="1:60" ht="15" customHeight="1">
      <c r="A298" s="68">
        <v>9</v>
      </c>
      <c r="B298" s="884">
        <v>9666</v>
      </c>
      <c r="C298" s="165" t="s">
        <v>61</v>
      </c>
      <c r="D298" s="185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18"/>
        <v>0</v>
      </c>
      <c r="N298" s="348">
        <f t="shared" si="119"/>
        <v>0</v>
      </c>
      <c r="O298" s="748">
        <f t="shared" si="114"/>
        <v>0</v>
      </c>
      <c r="P298" s="349">
        <f>+N295+N297+N298+N299</f>
        <v>0</v>
      </c>
      <c r="Q298" s="349">
        <f>+O295+O297+O298+O299</f>
        <v>0</v>
      </c>
      <c r="R298" s="350">
        <f>O298/INTGRATE!$N$293</f>
        <v>0</v>
      </c>
      <c r="S298" s="349">
        <f t="shared" si="120"/>
        <v>0</v>
      </c>
      <c r="T298" s="472"/>
      <c r="U298" s="139"/>
      <c r="V298" s="956" t="str">
        <f t="shared" si="113"/>
        <v>966625</v>
      </c>
      <c r="W298" s="943">
        <v>366201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15"/>
        <v>0</v>
      </c>
      <c r="BD298" s="896">
        <f t="shared" si="116"/>
        <v>0</v>
      </c>
      <c r="BE298" s="896">
        <f t="shared" si="117"/>
        <v>0</v>
      </c>
      <c r="BG298" s="38"/>
    </row>
    <row r="299" spans="1:60" ht="15" customHeight="1">
      <c r="A299" s="68">
        <v>10</v>
      </c>
      <c r="B299" s="885">
        <v>9667</v>
      </c>
      <c r="C299" s="165" t="s">
        <v>61</v>
      </c>
      <c r="D299" s="189">
        <v>25</v>
      </c>
      <c r="E299" s="347">
        <v>0</v>
      </c>
      <c r="F299" s="100">
        <f>SUMIF(pro!$A:$A,$V:$V,pro!$N:$N)</f>
        <v>0</v>
      </c>
      <c r="G299" s="353"/>
      <c r="H299" s="356">
        <f>SUMIF(CBIN!$A:$A,BRAN!$V:$V,CBIN!$G:$G)</f>
        <v>0</v>
      </c>
      <c r="I299" s="420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18"/>
        <v>0</v>
      </c>
      <c r="N299" s="348">
        <f t="shared" si="119"/>
        <v>0</v>
      </c>
      <c r="O299" s="748">
        <f t="shared" si="114"/>
        <v>0</v>
      </c>
      <c r="P299" s="352"/>
      <c r="Q299" s="352"/>
      <c r="R299" s="350">
        <f>O299/INTGRATE!$N$293</f>
        <v>0</v>
      </c>
      <c r="S299" s="349">
        <f t="shared" si="120"/>
        <v>0</v>
      </c>
      <c r="T299" s="471"/>
      <c r="U299" s="152"/>
      <c r="V299" s="956" t="str">
        <f t="shared" si="113"/>
        <v>966725</v>
      </c>
      <c r="W299" s="943">
        <v>367201</v>
      </c>
      <c r="X299" s="353"/>
      <c r="Y299" s="639"/>
      <c r="Z299" s="639"/>
      <c r="AA299" s="639"/>
      <c r="AB299" s="639"/>
      <c r="AC299" s="639"/>
      <c r="AD299" s="100"/>
      <c r="AE299" s="639"/>
      <c r="AF299" s="639"/>
      <c r="AG299" s="639"/>
      <c r="AH299" s="639"/>
      <c r="AI299" s="639"/>
      <c r="AJ299" s="639"/>
      <c r="AK299" s="639"/>
      <c r="AL299" s="639"/>
      <c r="AM299" s="639"/>
      <c r="AN299" s="639"/>
      <c r="AO299" s="348"/>
      <c r="AP299" s="639"/>
      <c r="AQ299" s="348"/>
      <c r="AR299" s="348"/>
      <c r="AS299" s="748"/>
      <c r="AT299" s="639"/>
      <c r="AU299" s="639"/>
      <c r="AV299" s="639"/>
      <c r="AW299" s="639"/>
      <c r="AX299" s="348"/>
      <c r="AY299" s="639"/>
      <c r="AZ299" s="639"/>
      <c r="BA299" s="639"/>
      <c r="BB299" s="639"/>
      <c r="BC299" s="756">
        <f t="shared" si="115"/>
        <v>0</v>
      </c>
      <c r="BD299" s="896">
        <f t="shared" si="116"/>
        <v>0</v>
      </c>
      <c r="BE299" s="896">
        <f t="shared" si="117"/>
        <v>0</v>
      </c>
      <c r="BG299" s="38"/>
    </row>
    <row r="300" spans="1:60" s="59" customFormat="1" ht="15" customHeight="1">
      <c r="A300" s="1226" t="s">
        <v>1764</v>
      </c>
      <c r="B300" s="1227"/>
      <c r="C300" s="1227"/>
      <c r="D300" s="1228"/>
      <c r="E300" s="113"/>
      <c r="F300" s="113"/>
      <c r="G300" s="113"/>
      <c r="H300" s="113"/>
      <c r="I300" s="113"/>
      <c r="J300" s="113"/>
      <c r="K300" s="113"/>
      <c r="L300" s="113"/>
      <c r="M300" s="551"/>
      <c r="N300" s="113"/>
      <c r="O300" s="113"/>
      <c r="P300" s="113"/>
      <c r="Q300" s="113"/>
      <c r="R300" s="113"/>
      <c r="S300" s="114"/>
      <c r="T300" s="532"/>
      <c r="U300" s="113"/>
      <c r="V300" s="964" t="str">
        <f t="shared" si="113"/>
        <v/>
      </c>
      <c r="W300" s="96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508"/>
    </row>
    <row r="301" spans="1:60" s="59" customFormat="1" ht="15" customHeight="1">
      <c r="A301" s="1226" t="s">
        <v>1740</v>
      </c>
      <c r="B301" s="1227"/>
      <c r="C301" s="1227"/>
      <c r="D301" s="1228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232" t="e">
        <f>N305/R303</f>
        <v>#DIV/0!</v>
      </c>
      <c r="U301" s="159">
        <f>SUM(U294:U299)*25</f>
        <v>0</v>
      </c>
      <c r="V301" s="959" t="str">
        <f t="shared" si="113"/>
        <v/>
      </c>
      <c r="W301" s="94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508"/>
    </row>
    <row r="302" spans="1:60" s="59" customFormat="1" ht="15" customHeight="1">
      <c r="A302" s="1226" t="s">
        <v>1765</v>
      </c>
      <c r="B302" s="1227"/>
      <c r="C302" s="1227"/>
      <c r="D302" s="1228"/>
      <c r="E302" s="113"/>
      <c r="F302" s="113"/>
      <c r="G302" s="113"/>
      <c r="H302" s="113"/>
      <c r="I302" s="113"/>
      <c r="J302" s="113"/>
      <c r="K302" s="113"/>
      <c r="L302" s="113"/>
      <c r="M302" s="551"/>
      <c r="N302" s="113"/>
      <c r="O302" s="113"/>
      <c r="P302" s="113"/>
      <c r="Q302" s="113"/>
      <c r="R302" s="113"/>
      <c r="S302" s="114"/>
      <c r="T302" s="1233"/>
      <c r="U302" s="159"/>
      <c r="V302" s="959" t="str">
        <f t="shared" si="113"/>
        <v/>
      </c>
      <c r="W302" s="94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508"/>
    </row>
    <row r="303" spans="1:60" s="132" customFormat="1" ht="15" customHeight="1">
      <c r="A303" s="1236" t="s">
        <v>1742</v>
      </c>
      <c r="B303" s="1237"/>
      <c r="C303" s="1237"/>
      <c r="D303" s="1238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549">
        <f t="shared" si="124"/>
        <v>0</v>
      </c>
      <c r="N303" s="73">
        <f t="shared" si="124"/>
        <v>0</v>
      </c>
      <c r="O303" s="874">
        <f>+O305-O304</f>
        <v>0</v>
      </c>
      <c r="P303" s="197"/>
      <c r="Q303" s="197"/>
      <c r="R303" s="1222">
        <f>SUM(R294:R299)</f>
        <v>0</v>
      </c>
      <c r="S303" s="1224" t="s">
        <v>45</v>
      </c>
      <c r="T303" s="1244"/>
      <c r="U303" s="146">
        <f>SUM(U294:U299)</f>
        <v>0</v>
      </c>
      <c r="V303" s="954" t="str">
        <f t="shared" si="113"/>
        <v/>
      </c>
      <c r="W303" s="95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422"/>
      <c r="BD303" s="422"/>
      <c r="BE303" s="422"/>
      <c r="BH303" s="508"/>
    </row>
    <row r="304" spans="1:60" s="132" customFormat="1" ht="15" customHeight="1">
      <c r="A304" s="1226" t="s">
        <v>1766</v>
      </c>
      <c r="B304" s="1227"/>
      <c r="C304" s="1227"/>
      <c r="D304" s="1228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874">
        <f>+O290+O291+O292</f>
        <v>0</v>
      </c>
      <c r="P304" s="681"/>
      <c r="Q304" s="681"/>
      <c r="R304" s="1254"/>
      <c r="S304" s="1253"/>
      <c r="T304" s="1244"/>
      <c r="U304" s="146"/>
      <c r="V304" s="954"/>
      <c r="W304" s="95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422"/>
      <c r="BD304" s="422"/>
      <c r="BE304" s="422"/>
      <c r="BH304" s="508"/>
    </row>
    <row r="305" spans="1:151" s="71" customFormat="1" ht="15" customHeight="1">
      <c r="A305" s="1226" t="s">
        <v>1743</v>
      </c>
      <c r="B305" s="1227"/>
      <c r="C305" s="1227"/>
      <c r="D305" s="1228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874">
        <f>+SUM(O290:O299)</f>
        <v>0</v>
      </c>
      <c r="P305" s="198"/>
      <c r="Q305" s="198"/>
      <c r="R305" s="1223"/>
      <c r="S305" s="1225"/>
      <c r="T305" s="1245"/>
      <c r="U305" s="146">
        <f>SUM(U300:U302)</f>
        <v>0</v>
      </c>
      <c r="V305" s="954" t="str">
        <f t="shared" si="113"/>
        <v/>
      </c>
      <c r="W305" s="95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508"/>
    </row>
    <row r="306" spans="1:151" s="71" customFormat="1" ht="15" customHeight="1">
      <c r="A306" s="310" t="s">
        <v>137</v>
      </c>
      <c r="B306" s="37"/>
      <c r="C306" s="37"/>
      <c r="D306" s="37"/>
      <c r="E306" s="133"/>
      <c r="F306" s="37"/>
      <c r="G306" s="37"/>
      <c r="H306" s="37"/>
      <c r="I306" s="37"/>
      <c r="J306" s="37"/>
      <c r="K306" s="37"/>
      <c r="L306" s="37"/>
      <c r="M306" s="543"/>
      <c r="N306" s="37"/>
      <c r="O306" s="37"/>
      <c r="P306" s="37"/>
      <c r="Q306" s="37"/>
      <c r="R306" s="37"/>
      <c r="S306" s="37"/>
      <c r="T306" s="528"/>
      <c r="U306" s="149"/>
      <c r="V306" s="954" t="str">
        <f t="shared" si="113"/>
        <v/>
      </c>
      <c r="W306" s="95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508"/>
    </row>
    <row r="307" spans="1:151" s="71" customFormat="1" ht="15" customHeight="1">
      <c r="A307" s="310" t="s">
        <v>1694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535"/>
      <c r="N307" s="38"/>
      <c r="O307" s="38"/>
      <c r="P307" s="38"/>
      <c r="Q307" s="38"/>
      <c r="R307" s="38"/>
      <c r="S307" s="38"/>
      <c r="T307" s="529"/>
      <c r="U307" s="137"/>
      <c r="V307" s="954" t="str">
        <f t="shared" si="113"/>
        <v/>
      </c>
      <c r="W307" s="95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508"/>
    </row>
    <row r="308" spans="1:151" s="71" customFormat="1" ht="15" customHeight="1">
      <c r="A308" s="310" t="s">
        <v>1695</v>
      </c>
      <c r="B308" s="430"/>
      <c r="C308" s="430"/>
      <c r="D308" s="430"/>
      <c r="E308" s="430"/>
      <c r="F308" s="430"/>
      <c r="G308" s="430"/>
      <c r="H308" s="430"/>
      <c r="I308" s="430"/>
      <c r="J308" s="430"/>
      <c r="K308" s="430"/>
      <c r="L308" s="430"/>
      <c r="M308" s="544"/>
      <c r="N308" s="430"/>
      <c r="O308" s="430"/>
      <c r="P308" s="430"/>
      <c r="Q308" s="430"/>
      <c r="R308" s="430"/>
      <c r="S308" s="430"/>
      <c r="T308" s="530"/>
      <c r="U308" s="137"/>
      <c r="V308" s="954" t="str">
        <f t="shared" si="113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ht="15" customHeight="1">
      <c r="A309" s="512" t="s">
        <v>1733</v>
      </c>
      <c r="B309" s="512"/>
      <c r="C309" s="512"/>
      <c r="D309" s="512"/>
      <c r="E309" s="512"/>
      <c r="F309" s="512"/>
      <c r="G309" s="512"/>
      <c r="H309" s="512"/>
      <c r="I309" s="512"/>
      <c r="J309" s="512"/>
      <c r="K309" s="512"/>
      <c r="L309" s="512"/>
      <c r="M309" s="538"/>
      <c r="N309" s="512"/>
      <c r="O309" s="512"/>
      <c r="P309" s="512"/>
      <c r="Q309" s="512"/>
      <c r="R309" s="512"/>
      <c r="S309" s="512"/>
      <c r="T309" s="78"/>
      <c r="U309" s="143"/>
      <c r="V309" s="959" t="str">
        <f t="shared" si="113"/>
        <v/>
      </c>
      <c r="AB309" s="314"/>
    </row>
    <row r="310" spans="1:151" ht="15" customHeight="1">
      <c r="A310" s="513" t="s">
        <v>1767</v>
      </c>
      <c r="B310" s="513"/>
      <c r="C310" s="513"/>
      <c r="D310" s="513"/>
      <c r="E310" s="513"/>
      <c r="F310" s="513"/>
      <c r="G310" s="513"/>
      <c r="H310" s="513"/>
      <c r="I310" s="513"/>
      <c r="J310" s="513"/>
      <c r="K310" s="513"/>
      <c r="L310" s="513"/>
      <c r="M310" s="539"/>
      <c r="N310" s="513"/>
      <c r="O310" s="513"/>
      <c r="P310" s="513"/>
      <c r="Q310" s="513"/>
      <c r="R310" s="513"/>
      <c r="S310" s="513"/>
      <c r="T310" s="476"/>
      <c r="U310" s="144"/>
      <c r="V310" s="959" t="str">
        <f t="shared" si="113"/>
        <v/>
      </c>
    </row>
    <row r="311" spans="1:151" s="63" customFormat="1" ht="32.25" customHeight="1">
      <c r="A311" s="1046" t="s">
        <v>1700</v>
      </c>
      <c r="B311" s="1037" t="s">
        <v>1676</v>
      </c>
      <c r="C311" s="1037" t="s">
        <v>1677</v>
      </c>
      <c r="D311" s="1049" t="s">
        <v>1678</v>
      </c>
      <c r="E311" s="61" t="s">
        <v>0</v>
      </c>
      <c r="F311" s="1052" t="s">
        <v>1680</v>
      </c>
      <c r="G311" s="1057"/>
      <c r="H311" s="1053"/>
      <c r="I311" s="1052" t="s">
        <v>1681</v>
      </c>
      <c r="J311" s="1057"/>
      <c r="K311" s="1057"/>
      <c r="L311" s="1057"/>
      <c r="M311" s="1052" t="s">
        <v>1687</v>
      </c>
      <c r="N311" s="1053"/>
      <c r="O311" s="194" t="s">
        <v>1727</v>
      </c>
      <c r="P311" s="194"/>
      <c r="Q311" s="194"/>
      <c r="R311" s="194" t="s">
        <v>1728</v>
      </c>
      <c r="S311" s="1049" t="s">
        <v>1689</v>
      </c>
      <c r="T311" s="1176" t="s">
        <v>1692</v>
      </c>
      <c r="U311" s="1002" t="s">
        <v>1693</v>
      </c>
      <c r="V311" s="950"/>
      <c r="W311" s="95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506"/>
    </row>
    <row r="312" spans="1:151" s="63" customFormat="1" ht="44.25" customHeight="1">
      <c r="A312" s="1047"/>
      <c r="B312" s="1038"/>
      <c r="C312" s="1038"/>
      <c r="D312" s="1050" t="s">
        <v>3</v>
      </c>
      <c r="E312" s="64" t="s">
        <v>1679</v>
      </c>
      <c r="F312" s="783" t="s">
        <v>1682</v>
      </c>
      <c r="G312" s="585" t="s">
        <v>1683</v>
      </c>
      <c r="H312" s="784" t="s">
        <v>1685</v>
      </c>
      <c r="I312" s="1052" t="s">
        <v>1684</v>
      </c>
      <c r="J312" s="1057"/>
      <c r="K312" s="585" t="s">
        <v>1688</v>
      </c>
      <c r="L312" s="784" t="s">
        <v>1686</v>
      </c>
      <c r="M312" s="1052" t="s">
        <v>1732</v>
      </c>
      <c r="N312" s="1053"/>
      <c r="O312" s="787" t="s">
        <v>1730</v>
      </c>
      <c r="P312" s="195"/>
      <c r="Q312" s="195"/>
      <c r="R312" s="787" t="s">
        <v>1731</v>
      </c>
      <c r="S312" s="1050"/>
      <c r="T312" s="1177"/>
      <c r="U312" s="1003"/>
      <c r="V312" s="950" t="str">
        <f t="shared" ref="V312:V319" si="127">B312&amp;D312</f>
        <v>SIZE</v>
      </c>
      <c r="W312" s="95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506"/>
    </row>
    <row r="313" spans="1:151" s="63" customFormat="1" ht="17.25" customHeight="1">
      <c r="A313" s="1048"/>
      <c r="B313" s="1039"/>
      <c r="C313" s="1039"/>
      <c r="D313" s="1051" t="s">
        <v>6</v>
      </c>
      <c r="E313" s="64" t="s">
        <v>1674</v>
      </c>
      <c r="F313" s="64" t="s">
        <v>1674</v>
      </c>
      <c r="G313" s="64" t="s">
        <v>1674</v>
      </c>
      <c r="H313" s="64" t="s">
        <v>1674</v>
      </c>
      <c r="I313" s="64" t="s">
        <v>1674</v>
      </c>
      <c r="J313" s="64" t="s">
        <v>6</v>
      </c>
      <c r="K313" s="64" t="s">
        <v>1674</v>
      </c>
      <c r="L313" s="64" t="s">
        <v>1674</v>
      </c>
      <c r="M313" s="64" t="s">
        <v>1674</v>
      </c>
      <c r="N313" s="65" t="s">
        <v>6</v>
      </c>
      <c r="O313" s="65" t="s">
        <v>6</v>
      </c>
      <c r="P313" s="196"/>
      <c r="Q313" s="196"/>
      <c r="R313" s="65" t="s">
        <v>1729</v>
      </c>
      <c r="S313" s="1051"/>
      <c r="T313" s="1178"/>
      <c r="U313" s="788" t="s">
        <v>1674</v>
      </c>
      <c r="V313" s="955" t="str">
        <f t="shared" si="127"/>
        <v>(Kg)</v>
      </c>
      <c r="W313" s="951"/>
      <c r="X313" s="340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13</v>
      </c>
      <c r="BD313" s="895" t="s">
        <v>1931</v>
      </c>
      <c r="BE313" s="895" t="s">
        <v>1930</v>
      </c>
      <c r="BH313" s="506"/>
    </row>
    <row r="314" spans="1:151" s="63" customFormat="1" ht="15" customHeight="1">
      <c r="A314" s="68">
        <v>1</v>
      </c>
      <c r="B314" s="714">
        <v>6824</v>
      </c>
      <c r="C314" s="714" t="s">
        <v>39</v>
      </c>
      <c r="D314" s="715">
        <v>25</v>
      </c>
      <c r="E314" s="717">
        <v>0</v>
      </c>
      <c r="F314" s="100">
        <f>SUMIF(pro!$A:$A,$V:$V,pro!$N:$N)</f>
        <v>0</v>
      </c>
      <c r="G314" s="348"/>
      <c r="H314" s="356">
        <f>SUMIF(CBIN!$A:$A,BRAN!$V:$V,CBIN!$G:$G)</f>
        <v>0</v>
      </c>
      <c r="I314" s="419">
        <f>SUMIF(data!$D:$D,$B314&amp;$D314,data!$J:$J)</f>
        <v>0</v>
      </c>
      <c r="J314" s="348">
        <f>SUMIF(data!$D:$D,$B314&amp;$D314,data!$K:$K)</f>
        <v>0</v>
      </c>
      <c r="K314" s="356">
        <f>SUMIF(AJOUT!$A:$A,BRAN!$V:$V,AJOUT!$L:$L)</f>
        <v>0</v>
      </c>
      <c r="L314" s="356">
        <f>SUMIF(CBOUT!$A:$A,BRAN!$V:$V,CBOUT!$G:$G)</f>
        <v>0</v>
      </c>
      <c r="M314" s="550">
        <v>0</v>
      </c>
      <c r="N314" s="348">
        <f>M314*D314</f>
        <v>0</v>
      </c>
      <c r="O314" s="351">
        <f t="shared" ref="O314:O319" si="128">SUM(X314:BB314)</f>
        <v>0</v>
      </c>
      <c r="P314" s="349"/>
      <c r="Q314" s="349"/>
      <c r="R314" s="350">
        <f>O314/INTGRATE!$N$293</f>
        <v>0</v>
      </c>
      <c r="S314" s="349">
        <f t="shared" ref="S314:S319" si="129">IF(R314=0,0,N314/R314)</f>
        <v>0</v>
      </c>
      <c r="T314" s="470"/>
      <c r="U314" s="139"/>
      <c r="V314" s="956" t="str">
        <f t="shared" si="127"/>
        <v>682425</v>
      </c>
      <c r="W314" s="951">
        <v>127800</v>
      </c>
      <c r="X314" s="68">
        <v>0</v>
      </c>
      <c r="Y314" s="68">
        <v>0</v>
      </c>
      <c r="Z314" s="459">
        <v>0</v>
      </c>
      <c r="AA314" s="100">
        <v>0</v>
      </c>
      <c r="AB314" s="100"/>
      <c r="AC314" s="100">
        <v>0</v>
      </c>
      <c r="AD314" s="348">
        <v>0</v>
      </c>
      <c r="AE314" s="100">
        <v>0</v>
      </c>
      <c r="AF314" s="100">
        <v>0</v>
      </c>
      <c r="AG314" s="100">
        <v>0</v>
      </c>
      <c r="AH314" s="100">
        <v>0</v>
      </c>
      <c r="AI314" s="100"/>
      <c r="AJ314" s="100"/>
      <c r="AK314" s="100"/>
      <c r="AL314" s="100">
        <v>0</v>
      </c>
      <c r="AM314" s="100">
        <v>0</v>
      </c>
      <c r="AN314" s="100">
        <v>0</v>
      </c>
      <c r="AO314" s="100">
        <v>0</v>
      </c>
      <c r="AP314" s="100"/>
      <c r="AQ314" s="348">
        <v>0</v>
      </c>
      <c r="AR314" s="100">
        <v>0</v>
      </c>
      <c r="AS314" s="100">
        <v>0</v>
      </c>
      <c r="AT314" s="100">
        <v>0</v>
      </c>
      <c r="AU314" s="100">
        <v>0</v>
      </c>
      <c r="AV314" s="100">
        <v>0</v>
      </c>
      <c r="AW314" s="100"/>
      <c r="AX314" s="348"/>
      <c r="AY314" s="100">
        <v>0</v>
      </c>
      <c r="AZ314" s="100"/>
      <c r="BA314" s="100"/>
      <c r="BB314" s="100"/>
      <c r="BC314" s="299">
        <f t="shared" ref="BC314:BC315" si="130">SUM(X314:BB314)</f>
        <v>0</v>
      </c>
      <c r="BD314" s="896">
        <f>COUNTIF(X314:BB314,"&gt;0")</f>
        <v>0</v>
      </c>
      <c r="BE314" s="896">
        <f>IFERROR(BC314/BD314,0)</f>
        <v>0</v>
      </c>
      <c r="BH314" s="506"/>
    </row>
    <row r="315" spans="1:151" s="63" customFormat="1" ht="15" customHeight="1">
      <c r="A315" s="68">
        <v>2</v>
      </c>
      <c r="B315" s="714">
        <v>6824</v>
      </c>
      <c r="C315" s="714" t="s">
        <v>39</v>
      </c>
      <c r="D315" s="715" t="s">
        <v>81</v>
      </c>
      <c r="E315" s="712">
        <v>0</v>
      </c>
      <c r="F315" s="100">
        <f>+J315</f>
        <v>0</v>
      </c>
      <c r="G315" s="348"/>
      <c r="H315" s="356">
        <f>SUMIF(CBIN!$A:$A,BRAN!$V:$V,CBIN!$G:$G)</f>
        <v>0</v>
      </c>
      <c r="I315" s="419">
        <f>SUMIF(data!$D:$D,$B315&amp;$D315,data!$J:$J)</f>
        <v>0</v>
      </c>
      <c r="J315" s="348">
        <f>SUMIF(data!$D:$D,$B315&amp;$D315,data!$K:$K)</f>
        <v>0</v>
      </c>
      <c r="K315" s="356">
        <f>SUMIF(AJOUT!$A:$A,BRAN!$V:$V,AJOUT!$L:$L)</f>
        <v>0</v>
      </c>
      <c r="L315" s="356">
        <f>SUMIF(CBOUT!$A:$A,BRAN!$V:$V,CBOUT!$G:$G)</f>
        <v>0</v>
      </c>
      <c r="M315" s="550">
        <v>0</v>
      </c>
      <c r="N315" s="348">
        <v>0</v>
      </c>
      <c r="O315" s="351">
        <f t="shared" si="128"/>
        <v>0</v>
      </c>
      <c r="P315" s="349"/>
      <c r="Q315" s="349"/>
      <c r="R315" s="350">
        <f>O315/INTGRATE!$N$293</f>
        <v>0</v>
      </c>
      <c r="S315" s="349">
        <f t="shared" si="129"/>
        <v>0</v>
      </c>
      <c r="T315" s="470"/>
      <c r="U315" s="139"/>
      <c r="V315" s="956" t="str">
        <f t="shared" si="127"/>
        <v>6824SILO</v>
      </c>
      <c r="W315" s="951">
        <v>127800</v>
      </c>
      <c r="X315" s="68">
        <v>0</v>
      </c>
      <c r="Y315" s="68">
        <v>0</v>
      </c>
      <c r="Z315" s="459">
        <v>0</v>
      </c>
      <c r="AA315" s="100">
        <v>0</v>
      </c>
      <c r="AB315" s="100"/>
      <c r="AC315" s="100">
        <v>0</v>
      </c>
      <c r="AD315" s="348">
        <v>0</v>
      </c>
      <c r="AE315" s="100">
        <v>0</v>
      </c>
      <c r="AF315" s="100">
        <v>0</v>
      </c>
      <c r="AG315" s="100">
        <v>0</v>
      </c>
      <c r="AH315" s="100">
        <v>0</v>
      </c>
      <c r="AI315" s="100"/>
      <c r="AJ315" s="100">
        <v>0</v>
      </c>
      <c r="AK315" s="100">
        <v>0</v>
      </c>
      <c r="AL315" s="100">
        <v>0</v>
      </c>
      <c r="AM315" s="100">
        <v>0</v>
      </c>
      <c r="AN315" s="100">
        <v>0</v>
      </c>
      <c r="AO315" s="100">
        <v>0</v>
      </c>
      <c r="AP315" s="100"/>
      <c r="AQ315" s="348">
        <v>0</v>
      </c>
      <c r="AR315" s="100">
        <v>0</v>
      </c>
      <c r="AS315" s="100">
        <v>0</v>
      </c>
      <c r="AT315" s="100">
        <v>0</v>
      </c>
      <c r="AU315" s="100">
        <v>0</v>
      </c>
      <c r="AV315" s="100">
        <v>0</v>
      </c>
      <c r="AW315" s="100"/>
      <c r="AX315" s="348"/>
      <c r="AY315" s="100">
        <v>0</v>
      </c>
      <c r="AZ315" s="100"/>
      <c r="BA315" s="100"/>
      <c r="BB315" s="100"/>
      <c r="BC315" s="299">
        <f t="shared" si="130"/>
        <v>0</v>
      </c>
      <c r="BD315" s="896">
        <f t="shared" ref="BD315" si="131">COUNTIF(X315:BB315,"&gt;0")</f>
        <v>0</v>
      </c>
      <c r="BE315" s="896">
        <f t="shared" ref="BE315" si="132">IFERROR(BC315/BD315,0)</f>
        <v>0</v>
      </c>
      <c r="BH315" s="506"/>
    </row>
    <row r="316" spans="1:151" s="108" customFormat="1" ht="15" customHeight="1">
      <c r="A316" s="68">
        <v>3</v>
      </c>
      <c r="B316" s="186">
        <v>6911</v>
      </c>
      <c r="C316" s="186" t="s">
        <v>1314</v>
      </c>
      <c r="D316" s="187">
        <v>25</v>
      </c>
      <c r="E316" s="347">
        <v>0</v>
      </c>
      <c r="F316" s="100">
        <f>SUMIF(pro!$A:$A,$V:$V,pro!$N:$N)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f>E316+F316+H316-I316-L316+G316-K316</f>
        <v>0</v>
      </c>
      <c r="N316" s="348">
        <f>M316*D316</f>
        <v>0</v>
      </c>
      <c r="O316" s="351">
        <f t="shared" si="128"/>
        <v>0</v>
      </c>
      <c r="P316" s="349"/>
      <c r="Q316" s="349"/>
      <c r="R316" s="350">
        <f>O316/INTGRATE!$N$293</f>
        <v>0</v>
      </c>
      <c r="S316" s="349">
        <f t="shared" si="129"/>
        <v>0</v>
      </c>
      <c r="T316" s="470"/>
      <c r="U316" s="139"/>
      <c r="V316" s="956" t="str">
        <f t="shared" si="127"/>
        <v>691125</v>
      </c>
      <c r="W316" s="943">
        <v>115701</v>
      </c>
      <c r="X316" s="68">
        <v>0</v>
      </c>
      <c r="Y316" s="68">
        <v>0</v>
      </c>
      <c r="Z316" s="459">
        <v>0</v>
      </c>
      <c r="AA316" s="100">
        <v>0</v>
      </c>
      <c r="AB316" s="100"/>
      <c r="AC316" s="100">
        <v>0</v>
      </c>
      <c r="AD316" s="348">
        <v>0</v>
      </c>
      <c r="AE316" s="100">
        <v>0</v>
      </c>
      <c r="AF316" s="100">
        <v>0</v>
      </c>
      <c r="AG316" s="100">
        <v>0</v>
      </c>
      <c r="AH316" s="100">
        <v>0</v>
      </c>
      <c r="AI316" s="100"/>
      <c r="AJ316" s="100">
        <v>0</v>
      </c>
      <c r="AK316" s="100">
        <v>0</v>
      </c>
      <c r="AL316" s="100">
        <v>0</v>
      </c>
      <c r="AM316" s="100">
        <v>0</v>
      </c>
      <c r="AN316" s="100">
        <v>0</v>
      </c>
      <c r="AO316" s="100">
        <v>0</v>
      </c>
      <c r="AP316" s="100"/>
      <c r="AQ316" s="348">
        <v>0</v>
      </c>
      <c r="AR316" s="100">
        <v>0</v>
      </c>
      <c r="AS316" s="100">
        <v>0</v>
      </c>
      <c r="AT316" s="100">
        <v>0</v>
      </c>
      <c r="AU316" s="100">
        <v>0</v>
      </c>
      <c r="AV316" s="100">
        <v>0</v>
      </c>
      <c r="AW316" s="348"/>
      <c r="AX316" s="348"/>
      <c r="AY316" s="100">
        <v>0</v>
      </c>
      <c r="AZ316" s="100"/>
      <c r="BA316" s="100"/>
      <c r="BB316" s="100"/>
      <c r="BC316" s="299">
        <f t="shared" ref="BC316:BC330" si="133">SUM(X316:BB316)</f>
        <v>0</v>
      </c>
      <c r="BD316" s="896">
        <f t="shared" ref="BD316:BD330" si="134">COUNTIF(X316:BB316,"&gt;0")</f>
        <v>0</v>
      </c>
      <c r="BE316" s="896">
        <f t="shared" ref="BE316:BE330" si="135">IFERROR(BC316/BD316,0)</f>
        <v>0</v>
      </c>
      <c r="BF316" s="58"/>
      <c r="BG316" s="58"/>
      <c r="BH316" s="507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716">
        <v>6924</v>
      </c>
      <c r="C317" s="716" t="s">
        <v>1550</v>
      </c>
      <c r="D317" s="715">
        <v>25</v>
      </c>
      <c r="E317" s="347">
        <v>405</v>
      </c>
      <c r="F317" s="100">
        <f>SUMIF(pro!$A:$A,$V:$V,pro!$N:$N)</f>
        <v>0</v>
      </c>
      <c r="G317" s="348"/>
      <c r="H317" s="356">
        <f>SUMIF(CBIN!$A:$A,BRAN!$V:$V,CBIN!$G:$G)</f>
        <v>0</v>
      </c>
      <c r="I317" s="419">
        <f>SUMIF(data!$D:$D,$B317&amp;$D317,data!$J:$J)</f>
        <v>239</v>
      </c>
      <c r="J317" s="348">
        <f>SUMIF(data!$D:$D,$B317&amp;$D317,data!$K:$K)</f>
        <v>5975</v>
      </c>
      <c r="K317" s="356">
        <f>SUMIF(AJOUT!$A:$A,BRAN!$V:$V,AJOUT!$L:$L)</f>
        <v>0</v>
      </c>
      <c r="L317" s="356">
        <f>SUMIF(CBOUT!$A:$A,BRAN!$V:$V,CBOUT!$G:$G)</f>
        <v>0</v>
      </c>
      <c r="M317" s="550">
        <f>E317+F317+H317-I317-L317+G317-K317</f>
        <v>166</v>
      </c>
      <c r="N317" s="348">
        <f>M317*D317</f>
        <v>4150</v>
      </c>
      <c r="O317" s="351">
        <f t="shared" si="128"/>
        <v>46500</v>
      </c>
      <c r="P317" s="349"/>
      <c r="Q317" s="349"/>
      <c r="R317" s="350">
        <f>O317/INTGRATE!$N$293</f>
        <v>2021.7391304347825</v>
      </c>
      <c r="S317" s="349">
        <f t="shared" si="129"/>
        <v>2.0526881720430108</v>
      </c>
      <c r="T317" s="470"/>
      <c r="U317" s="139"/>
      <c r="V317" s="956" t="str">
        <f t="shared" si="127"/>
        <v>692425</v>
      </c>
      <c r="W317" s="951">
        <v>127801</v>
      </c>
      <c r="X317" s="68">
        <v>0</v>
      </c>
      <c r="Y317" s="68">
        <v>0</v>
      </c>
      <c r="Z317" s="459">
        <v>5000</v>
      </c>
      <c r="AA317" s="100">
        <v>0</v>
      </c>
      <c r="AB317" s="100"/>
      <c r="AC317" s="100">
        <v>0</v>
      </c>
      <c r="AD317" s="348">
        <v>5000</v>
      </c>
      <c r="AE317" s="100">
        <v>6250</v>
      </c>
      <c r="AF317" s="100">
        <v>0</v>
      </c>
      <c r="AG317" s="100">
        <v>0</v>
      </c>
      <c r="AH317" s="100">
        <v>1250</v>
      </c>
      <c r="AI317" s="100"/>
      <c r="AJ317" s="100">
        <v>950</v>
      </c>
      <c r="AK317" s="100">
        <v>7475</v>
      </c>
      <c r="AL317" s="100">
        <v>0</v>
      </c>
      <c r="AM317" s="100">
        <v>1250</v>
      </c>
      <c r="AN317" s="100">
        <v>0</v>
      </c>
      <c r="AO317" s="100">
        <v>0</v>
      </c>
      <c r="AP317" s="100"/>
      <c r="AQ317" s="348">
        <v>0</v>
      </c>
      <c r="AR317" s="100">
        <v>0</v>
      </c>
      <c r="AS317" s="100">
        <v>4000</v>
      </c>
      <c r="AT317" s="100">
        <v>1625</v>
      </c>
      <c r="AU317" s="100">
        <v>0</v>
      </c>
      <c r="AV317" s="100">
        <v>7725</v>
      </c>
      <c r="AW317" s="100"/>
      <c r="AX317" s="348"/>
      <c r="AY317" s="100">
        <v>5975</v>
      </c>
      <c r="AZ317" s="100"/>
      <c r="BA317" s="100"/>
      <c r="BB317" s="100"/>
      <c r="BC317" s="299">
        <f t="shared" si="133"/>
        <v>46500</v>
      </c>
      <c r="BD317" s="896">
        <f t="shared" si="134"/>
        <v>11</v>
      </c>
      <c r="BE317" s="896">
        <f t="shared" si="135"/>
        <v>4227.272727272727</v>
      </c>
      <c r="BF317" s="58"/>
      <c r="BG317" s="58"/>
      <c r="BH317" s="507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716" t="s">
        <v>1968</v>
      </c>
      <c r="C318" s="716" t="s">
        <v>1550</v>
      </c>
      <c r="D318" s="715">
        <v>25</v>
      </c>
      <c r="E318" s="347">
        <v>0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0</v>
      </c>
      <c r="J318" s="348">
        <f>SUMIF(data!$D:$D,$B318&amp;$D318,data!$K:$K)</f>
        <v>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0</v>
      </c>
      <c r="N318" s="348">
        <f>M318*D318</f>
        <v>0</v>
      </c>
      <c r="O318" s="351">
        <f t="shared" si="128"/>
        <v>0</v>
      </c>
      <c r="P318" s="349"/>
      <c r="Q318" s="349"/>
      <c r="R318" s="350">
        <f>O318/INTGRATE!$N$293</f>
        <v>0</v>
      </c>
      <c r="S318" s="349">
        <f t="shared" si="129"/>
        <v>0</v>
      </c>
      <c r="T318" s="470"/>
      <c r="U318" s="139"/>
      <c r="V318" s="956" t="str">
        <f>B318&amp;D318</f>
        <v>6924P25</v>
      </c>
      <c r="W318" s="951">
        <v>127808</v>
      </c>
      <c r="X318" s="68">
        <v>0</v>
      </c>
      <c r="Y318" s="68">
        <v>0</v>
      </c>
      <c r="Z318" s="459">
        <v>0</v>
      </c>
      <c r="AA318" s="100">
        <v>0</v>
      </c>
      <c r="AB318" s="100"/>
      <c r="AC318" s="100">
        <v>0</v>
      </c>
      <c r="AD318" s="348">
        <v>0</v>
      </c>
      <c r="AE318" s="100">
        <v>0</v>
      </c>
      <c r="AF318" s="100">
        <v>0</v>
      </c>
      <c r="AG318" s="100">
        <v>0</v>
      </c>
      <c r="AH318" s="100">
        <v>0</v>
      </c>
      <c r="AI318" s="100"/>
      <c r="AJ318" s="100">
        <v>0</v>
      </c>
      <c r="AK318" s="100">
        <v>0</v>
      </c>
      <c r="AL318" s="100">
        <v>0</v>
      </c>
      <c r="AM318" s="100">
        <v>0</v>
      </c>
      <c r="AN318" s="100">
        <v>0</v>
      </c>
      <c r="AO318" s="100">
        <v>0</v>
      </c>
      <c r="AP318" s="100"/>
      <c r="AQ318" s="348">
        <v>0</v>
      </c>
      <c r="AR318" s="100">
        <v>0</v>
      </c>
      <c r="AS318" s="100">
        <v>0</v>
      </c>
      <c r="AT318" s="100">
        <v>0</v>
      </c>
      <c r="AU318" s="100">
        <v>0</v>
      </c>
      <c r="AV318" s="100">
        <v>0</v>
      </c>
      <c r="AW318" s="100"/>
      <c r="AX318" s="348"/>
      <c r="AY318" s="100">
        <v>0</v>
      </c>
      <c r="AZ318" s="100"/>
      <c r="BA318" s="100"/>
      <c r="BB318" s="100"/>
      <c r="BC318" s="299">
        <f t="shared" si="133"/>
        <v>0</v>
      </c>
      <c r="BD318" s="896">
        <f t="shared" si="134"/>
        <v>0</v>
      </c>
      <c r="BE318" s="896">
        <f t="shared" si="135"/>
        <v>0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75">
        <v>6948</v>
      </c>
      <c r="C319" s="414" t="s">
        <v>40</v>
      </c>
      <c r="D319" s="377">
        <v>25</v>
      </c>
      <c r="E319" s="347">
        <v>0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0</v>
      </c>
      <c r="N319" s="348">
        <f>M319*D319</f>
        <v>0</v>
      </c>
      <c r="O319" s="351">
        <f t="shared" si="128"/>
        <v>1250</v>
      </c>
      <c r="P319" s="349">
        <f>+N319</f>
        <v>0</v>
      </c>
      <c r="Q319" s="349">
        <f>+O319</f>
        <v>1250</v>
      </c>
      <c r="R319" s="350">
        <f>O319/INTGRATE!$N$293</f>
        <v>54.347826086956523</v>
      </c>
      <c r="S319" s="349">
        <f t="shared" si="129"/>
        <v>0</v>
      </c>
      <c r="T319" s="470"/>
      <c r="U319" s="139"/>
      <c r="V319" s="956" t="str">
        <f t="shared" si="127"/>
        <v>694825</v>
      </c>
      <c r="W319" s="943">
        <v>201101</v>
      </c>
      <c r="X319" s="68">
        <v>0</v>
      </c>
      <c r="Y319" s="68">
        <v>0</v>
      </c>
      <c r="Z319" s="459">
        <v>0</v>
      </c>
      <c r="AA319" s="100">
        <v>0</v>
      </c>
      <c r="AB319" s="100"/>
      <c r="AC319" s="100">
        <v>0</v>
      </c>
      <c r="AD319" s="348">
        <v>0</v>
      </c>
      <c r="AE319" s="100">
        <v>0</v>
      </c>
      <c r="AF319" s="100">
        <v>0</v>
      </c>
      <c r="AG319" s="100">
        <v>0</v>
      </c>
      <c r="AH319" s="100">
        <v>0</v>
      </c>
      <c r="AI319" s="100"/>
      <c r="AJ319" s="100">
        <v>0</v>
      </c>
      <c r="AK319" s="100">
        <v>0</v>
      </c>
      <c r="AL319" s="100">
        <v>0</v>
      </c>
      <c r="AM319" s="100">
        <v>0</v>
      </c>
      <c r="AN319" s="100">
        <v>1250</v>
      </c>
      <c r="AO319" s="100">
        <v>0</v>
      </c>
      <c r="AP319" s="100"/>
      <c r="AQ319" s="348">
        <v>0</v>
      </c>
      <c r="AR319" s="100">
        <v>0</v>
      </c>
      <c r="AS319" s="100">
        <v>0</v>
      </c>
      <c r="AT319" s="100">
        <v>0</v>
      </c>
      <c r="AU319" s="100">
        <v>0</v>
      </c>
      <c r="AV319" s="100">
        <v>0</v>
      </c>
      <c r="AW319" s="100"/>
      <c r="AX319" s="348"/>
      <c r="AY319" s="100">
        <v>0</v>
      </c>
      <c r="AZ319" s="100"/>
      <c r="BA319" s="100"/>
      <c r="BB319" s="100"/>
      <c r="BC319" s="299">
        <f t="shared" si="133"/>
        <v>1250</v>
      </c>
      <c r="BD319" s="896">
        <f t="shared" si="134"/>
        <v>1</v>
      </c>
      <c r="BE319" s="896">
        <f t="shared" si="135"/>
        <v>1250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75">
        <v>6949</v>
      </c>
      <c r="C320" s="375" t="s">
        <v>61</v>
      </c>
      <c r="D320" s="377">
        <v>25</v>
      </c>
      <c r="E320" s="347">
        <v>203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5</v>
      </c>
      <c r="J320" s="348">
        <f>SUMIF(data!$D:$D,$B320&amp;$D320,data!$K:$K)</f>
        <v>125</v>
      </c>
      <c r="K320" s="356">
        <f>SUMIF(AJOUT!$A:$A,BRAN!$V:$V,AJOUT!$L:$L)</f>
        <v>0</v>
      </c>
      <c r="L320" s="356">
        <f>SUMIF(CBOUT!$A:$A,BRAN!$V:$V,CBOUT!$G:$G)</f>
        <v>0</v>
      </c>
      <c r="M320" s="550">
        <f t="shared" ref="M320:M329" si="136">E320+F320+H320-I320-L320+G320-K320</f>
        <v>198</v>
      </c>
      <c r="N320" s="348">
        <f t="shared" ref="N320:N329" si="137">M320*D320</f>
        <v>4950</v>
      </c>
      <c r="O320" s="351">
        <f t="shared" ref="O320:O329" si="138">SUM(X320:BB320)</f>
        <v>17000</v>
      </c>
      <c r="P320" s="349">
        <f>SUM(N314:N330)-P319-P323-P324-P325</f>
        <v>49000</v>
      </c>
      <c r="Q320" s="349">
        <f>SUM(O314:O330)-Q319-Q323-Q324-Q325</f>
        <v>168950</v>
      </c>
      <c r="R320" s="350">
        <f>O320/INTGRATE!$N$293</f>
        <v>739.13043478260875</v>
      </c>
      <c r="S320" s="349">
        <f t="shared" ref="S320:S329" si="139">IF(R320=0,0,N320/R320)</f>
        <v>6.6970588235294111</v>
      </c>
      <c r="T320" s="470"/>
      <c r="U320" s="139"/>
      <c r="V320" s="956" t="str">
        <f t="shared" ref="V320:V329" si="140">B320&amp;D320</f>
        <v>694925</v>
      </c>
      <c r="W320" s="943">
        <v>203701</v>
      </c>
      <c r="X320" s="68">
        <v>0</v>
      </c>
      <c r="Y320" s="68">
        <v>0</v>
      </c>
      <c r="Z320" s="459">
        <v>0</v>
      </c>
      <c r="AA320" s="100">
        <v>0</v>
      </c>
      <c r="AB320" s="100"/>
      <c r="AC320" s="100">
        <v>5250</v>
      </c>
      <c r="AD320" s="379">
        <v>0</v>
      </c>
      <c r="AE320" s="100">
        <v>0</v>
      </c>
      <c r="AF320" s="100">
        <v>0</v>
      </c>
      <c r="AG320" s="100">
        <v>1625</v>
      </c>
      <c r="AH320" s="100">
        <v>0</v>
      </c>
      <c r="AI320" s="100"/>
      <c r="AJ320" s="100">
        <v>0</v>
      </c>
      <c r="AK320" s="100">
        <v>0</v>
      </c>
      <c r="AL320" s="100">
        <v>0</v>
      </c>
      <c r="AM320" s="100">
        <v>1500</v>
      </c>
      <c r="AN320" s="100">
        <v>1150</v>
      </c>
      <c r="AO320" s="100">
        <v>0</v>
      </c>
      <c r="AP320" s="100"/>
      <c r="AQ320" s="348">
        <v>0</v>
      </c>
      <c r="AR320" s="100">
        <v>3600</v>
      </c>
      <c r="AS320" s="100">
        <v>0</v>
      </c>
      <c r="AT320" s="100">
        <v>0</v>
      </c>
      <c r="AU320" s="100">
        <v>0</v>
      </c>
      <c r="AV320" s="100">
        <v>3750</v>
      </c>
      <c r="AW320" s="100"/>
      <c r="AX320" s="348"/>
      <c r="AY320" s="100">
        <v>125</v>
      </c>
      <c r="AZ320" s="100"/>
      <c r="BA320" s="100"/>
      <c r="BB320" s="100"/>
      <c r="BC320" s="299">
        <f t="shared" si="133"/>
        <v>17000</v>
      </c>
      <c r="BD320" s="896">
        <f t="shared" si="134"/>
        <v>7</v>
      </c>
      <c r="BE320" s="896">
        <f t="shared" si="135"/>
        <v>2428.5714285714284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6">
        <v>6951</v>
      </c>
      <c r="C321" s="879" t="s">
        <v>1314</v>
      </c>
      <c r="D321" s="188">
        <v>25</v>
      </c>
      <c r="E321" s="347">
        <v>389</v>
      </c>
      <c r="F321" s="100">
        <f>SUMIF(pro!$A:$A,$V:$V,pro!$N:$N)</f>
        <v>698</v>
      </c>
      <c r="G321" s="348"/>
      <c r="H321" s="356"/>
      <c r="I321" s="419">
        <f>SUMIF(data!$D:$D,$B321&amp;$D321,data!$J:$J)</f>
        <v>293</v>
      </c>
      <c r="J321" s="348">
        <f>SUMIF(data!$D:$D,$B321&amp;$D321,data!$K:$K)</f>
        <v>7325</v>
      </c>
      <c r="K321" s="356">
        <f>SUMIF(AJOUT!$A:$A,BRAN!$V:$V,AJOUT!$L:$L)</f>
        <v>0</v>
      </c>
      <c r="L321" s="356">
        <f>SUMIF(CBOUT!$A:$A,BRAN!$V:$V,CBOUT!$G:$G)</f>
        <v>0</v>
      </c>
      <c r="M321" s="550">
        <f t="shared" si="136"/>
        <v>794</v>
      </c>
      <c r="N321" s="348">
        <f t="shared" ref="N321" si="141">M321*D321</f>
        <v>19850</v>
      </c>
      <c r="O321" s="351">
        <f t="shared" ref="O321" si="142">SUM(X321:BB321)</f>
        <v>80675</v>
      </c>
      <c r="P321" s="349"/>
      <c r="Q321" s="349"/>
      <c r="R321" s="350">
        <f>O321/INTGRATE!$N$293</f>
        <v>3507.608695652174</v>
      </c>
      <c r="S321" s="349">
        <f t="shared" ref="S321:S323" si="143">IF(R321=0,0,N321/R321)</f>
        <v>5.6591261233343664</v>
      </c>
      <c r="T321" s="470"/>
      <c r="U321" s="139"/>
      <c r="V321" s="956" t="str">
        <f t="shared" si="140"/>
        <v>695125</v>
      </c>
      <c r="W321" s="943">
        <v>314081</v>
      </c>
      <c r="X321" s="68">
        <v>625</v>
      </c>
      <c r="Y321" s="68">
        <v>5250</v>
      </c>
      <c r="Z321" s="459">
        <v>1000</v>
      </c>
      <c r="AA321" s="100">
        <v>5100</v>
      </c>
      <c r="AB321" s="100"/>
      <c r="AC321" s="100">
        <v>2325</v>
      </c>
      <c r="AD321" s="379">
        <v>20800</v>
      </c>
      <c r="AE321" s="100">
        <v>0</v>
      </c>
      <c r="AF321" s="100">
        <v>725</v>
      </c>
      <c r="AG321" s="100">
        <v>750</v>
      </c>
      <c r="AH321" s="100">
        <v>5025</v>
      </c>
      <c r="AI321" s="100"/>
      <c r="AJ321" s="100">
        <v>750</v>
      </c>
      <c r="AK321" s="100">
        <v>1750</v>
      </c>
      <c r="AL321" s="100">
        <v>700</v>
      </c>
      <c r="AM321" s="100">
        <v>1125</v>
      </c>
      <c r="AN321" s="100">
        <v>0</v>
      </c>
      <c r="AO321" s="100">
        <v>1875</v>
      </c>
      <c r="AP321" s="100"/>
      <c r="AQ321" s="379">
        <v>4750</v>
      </c>
      <c r="AR321" s="100">
        <v>1250</v>
      </c>
      <c r="AS321" s="100">
        <v>6750</v>
      </c>
      <c r="AT321" s="100">
        <v>0</v>
      </c>
      <c r="AU321" s="100">
        <v>10450</v>
      </c>
      <c r="AV321" s="100">
        <v>2350</v>
      </c>
      <c r="AW321" s="100"/>
      <c r="AX321" s="379"/>
      <c r="AY321" s="100">
        <v>7325</v>
      </c>
      <c r="AZ321" s="100"/>
      <c r="BA321" s="100"/>
      <c r="BB321" s="100"/>
      <c r="BC321" s="299">
        <f t="shared" si="133"/>
        <v>80675</v>
      </c>
      <c r="BD321" s="896">
        <f t="shared" si="134"/>
        <v>20</v>
      </c>
      <c r="BE321" s="896">
        <f t="shared" si="135"/>
        <v>4033.75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6" t="s">
        <v>2617</v>
      </c>
      <c r="C322" s="879" t="s">
        <v>1314</v>
      </c>
      <c r="D322" s="188">
        <v>25</v>
      </c>
      <c r="E322" s="347">
        <v>0</v>
      </c>
      <c r="F322" s="100">
        <f>SUMIF(pro!$A:$A,$V:$V,pro!$N:$N)</f>
        <v>0</v>
      </c>
      <c r="G322" s="348"/>
      <c r="H322" s="356"/>
      <c r="I322" s="419">
        <f>SUMIF(data!$D:$D,$B322&amp;$D322,data!$J:$J)</f>
        <v>0</v>
      </c>
      <c r="J322" s="348">
        <f>SUMIF(data!$D:$D,$B322&amp;$D322,data!$K:$K)</f>
        <v>0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ref="M322" si="144">E322+F322+H322-I322-L322+G322-K322</f>
        <v>0</v>
      </c>
      <c r="N322" s="348">
        <f t="shared" ref="N322" si="145">M322*D322</f>
        <v>0</v>
      </c>
      <c r="O322" s="351">
        <f t="shared" ref="O322" si="146">SUM(X322:BB322)</f>
        <v>2875</v>
      </c>
      <c r="P322" s="349"/>
      <c r="Q322" s="349"/>
      <c r="R322" s="350">
        <f>O322/INTGRATE!$N$293</f>
        <v>125</v>
      </c>
      <c r="S322" s="349">
        <f t="shared" ref="S322" si="147">IF(R322=0,0,N322/R322)</f>
        <v>0</v>
      </c>
      <c r="T322" s="470"/>
      <c r="U322" s="139"/>
      <c r="V322" s="956" t="str">
        <f t="shared" si="140"/>
        <v>6951X25</v>
      </c>
      <c r="W322" s="943">
        <v>31408887</v>
      </c>
      <c r="X322" s="68">
        <v>0</v>
      </c>
      <c r="Y322" s="68">
        <v>0</v>
      </c>
      <c r="Z322" s="459">
        <v>0</v>
      </c>
      <c r="AA322" s="100">
        <v>0</v>
      </c>
      <c r="AB322" s="100"/>
      <c r="AC322" s="100">
        <v>0</v>
      </c>
      <c r="AD322" s="379">
        <v>0</v>
      </c>
      <c r="AE322" s="100">
        <v>0</v>
      </c>
      <c r="AF322" s="100">
        <v>0</v>
      </c>
      <c r="AG322" s="100">
        <v>0</v>
      </c>
      <c r="AH322" s="100">
        <v>0</v>
      </c>
      <c r="AI322" s="100"/>
      <c r="AJ322" s="100">
        <v>0</v>
      </c>
      <c r="AK322" s="100">
        <v>0</v>
      </c>
      <c r="AL322" s="100">
        <v>0</v>
      </c>
      <c r="AM322" s="100">
        <v>0</v>
      </c>
      <c r="AN322" s="100">
        <v>2875</v>
      </c>
      <c r="AO322" s="100">
        <v>0</v>
      </c>
      <c r="AP322" s="100"/>
      <c r="AQ322" s="379">
        <v>0</v>
      </c>
      <c r="AR322" s="100">
        <v>0</v>
      </c>
      <c r="AS322" s="100">
        <v>0</v>
      </c>
      <c r="AT322" s="100">
        <v>0</v>
      </c>
      <c r="AU322" s="100">
        <v>0</v>
      </c>
      <c r="AV322" s="100">
        <v>0</v>
      </c>
      <c r="AW322" s="100"/>
      <c r="AX322" s="379"/>
      <c r="AY322" s="100">
        <v>0</v>
      </c>
      <c r="AZ322" s="100"/>
      <c r="BA322" s="100"/>
      <c r="BB322" s="100"/>
      <c r="BC322" s="299">
        <f t="shared" si="133"/>
        <v>2875</v>
      </c>
      <c r="BD322" s="896">
        <f t="shared" si="134"/>
        <v>1</v>
      </c>
      <c r="BE322" s="896">
        <f t="shared" si="135"/>
        <v>2875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61</v>
      </c>
      <c r="D323" s="67">
        <v>25</v>
      </c>
      <c r="E323" s="347">
        <v>82</v>
      </c>
      <c r="F323" s="100">
        <f>SUMIF(pro!$A:$A,$V:$V,pro!$N:$N)</f>
        <v>659</v>
      </c>
      <c r="G323" s="348"/>
      <c r="H323" s="356">
        <f>SUMIF(CBIN!$A:$A,BRAN!$V:$V,CBIN!$G:$G)</f>
        <v>0</v>
      </c>
      <c r="I323" s="419">
        <f>SUMIF(data!$D:$D,$B323&amp;$D323,data!$J:$J)</f>
        <v>82</v>
      </c>
      <c r="J323" s="348">
        <f>SUMIF(data!$D:$D,$B323&amp;$D323,data!$K:$K)</f>
        <v>2050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si="136"/>
        <v>659</v>
      </c>
      <c r="N323" s="348">
        <f t="shared" si="137"/>
        <v>16475</v>
      </c>
      <c r="O323" s="351">
        <f t="shared" si="138"/>
        <v>64625</v>
      </c>
      <c r="P323" s="349">
        <f>N316+N321+N322</f>
        <v>19850</v>
      </c>
      <c r="Q323" s="349">
        <f>O316+O321+O322</f>
        <v>83550</v>
      </c>
      <c r="R323" s="350">
        <f>O323/INTGRATE!$N$293</f>
        <v>2809.782608695652</v>
      </c>
      <c r="S323" s="349">
        <f t="shared" si="143"/>
        <v>5.8634429400386852</v>
      </c>
      <c r="T323" s="470"/>
      <c r="U323" s="139"/>
      <c r="V323" s="956" t="str">
        <f t="shared" si="140"/>
        <v>695225</v>
      </c>
      <c r="W323" s="943">
        <v>320041</v>
      </c>
      <c r="X323" s="68">
        <v>1950</v>
      </c>
      <c r="Y323" s="68">
        <v>2350</v>
      </c>
      <c r="Z323" s="459">
        <v>10400</v>
      </c>
      <c r="AA323" s="100">
        <v>12975</v>
      </c>
      <c r="AB323" s="100"/>
      <c r="AC323" s="100">
        <v>0</v>
      </c>
      <c r="AD323" s="379">
        <v>3700</v>
      </c>
      <c r="AE323" s="100">
        <v>10000</v>
      </c>
      <c r="AF323" s="100">
        <v>1500</v>
      </c>
      <c r="AG323" s="100">
        <v>1275</v>
      </c>
      <c r="AH323" s="100">
        <v>3000</v>
      </c>
      <c r="AI323" s="100"/>
      <c r="AJ323" s="100">
        <v>3325</v>
      </c>
      <c r="AK323" s="100">
        <v>800</v>
      </c>
      <c r="AL323" s="100">
        <v>500</v>
      </c>
      <c r="AM323" s="100">
        <v>1375</v>
      </c>
      <c r="AN323" s="100">
        <v>0</v>
      </c>
      <c r="AO323" s="100">
        <v>875</v>
      </c>
      <c r="AP323" s="100"/>
      <c r="AQ323" s="379">
        <v>0</v>
      </c>
      <c r="AR323" s="100">
        <v>3175</v>
      </c>
      <c r="AS323" s="100">
        <v>1500</v>
      </c>
      <c r="AT323" s="100">
        <v>1625</v>
      </c>
      <c r="AU323" s="100">
        <v>0</v>
      </c>
      <c r="AV323" s="100">
        <v>2250</v>
      </c>
      <c r="AW323" s="100"/>
      <c r="AX323" s="379"/>
      <c r="AY323" s="100">
        <v>2050</v>
      </c>
      <c r="AZ323" s="100"/>
      <c r="BA323" s="100"/>
      <c r="BB323" s="100"/>
      <c r="BC323" s="299">
        <f t="shared" si="133"/>
        <v>64625</v>
      </c>
      <c r="BD323" s="896">
        <f t="shared" si="134"/>
        <v>19</v>
      </c>
      <c r="BE323" s="896">
        <f t="shared" si="135"/>
        <v>3401.3157894736842</v>
      </c>
    </row>
    <row r="324" spans="1:151" ht="15" customHeight="1">
      <c r="A324" s="68">
        <v>11</v>
      </c>
      <c r="B324" s="77">
        <v>6953</v>
      </c>
      <c r="C324" s="77" t="s">
        <v>61</v>
      </c>
      <c r="D324" s="67">
        <v>25</v>
      </c>
      <c r="E324" s="347">
        <v>359</v>
      </c>
      <c r="F324" s="100">
        <f>SUMIF(pro!$A:$A,$V:$V,pro!$N:$N)</f>
        <v>0</v>
      </c>
      <c r="G324" s="348"/>
      <c r="H324" s="356">
        <f>SUMIF(CBIN!$A:$A,BRAN!$V:$V,CBIN!$G:$G)</f>
        <v>0</v>
      </c>
      <c r="I324" s="419">
        <f>SUMIF(data!$D:$D,$B324&amp;$D324,data!$J:$J)</f>
        <v>201</v>
      </c>
      <c r="J324" s="348">
        <f>SUMIF(data!$D:$D,$B324&amp;$D324,data!$K:$K)</f>
        <v>5025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si="136"/>
        <v>158</v>
      </c>
      <c r="N324" s="348">
        <f t="shared" si="137"/>
        <v>3950</v>
      </c>
      <c r="O324" s="351">
        <f t="shared" si="138"/>
        <v>29200</v>
      </c>
      <c r="P324" s="349">
        <f>+N327+N326</f>
        <v>16375</v>
      </c>
      <c r="Q324" s="349">
        <f>+O327+O326</f>
        <v>65700</v>
      </c>
      <c r="R324" s="350">
        <f>O324/INTGRATE!$N$293</f>
        <v>1269.5652173913043</v>
      </c>
      <c r="S324" s="349">
        <f t="shared" si="139"/>
        <v>3.1113013698630141</v>
      </c>
      <c r="T324" s="470"/>
      <c r="U324" s="139"/>
      <c r="V324" s="956" t="str">
        <f t="shared" si="140"/>
        <v>695325</v>
      </c>
      <c r="W324" s="943">
        <v>332401</v>
      </c>
      <c r="X324" s="68">
        <v>0</v>
      </c>
      <c r="Y324" s="68">
        <v>375</v>
      </c>
      <c r="Z324" s="459">
        <v>0</v>
      </c>
      <c r="AA324" s="100">
        <v>500</v>
      </c>
      <c r="AB324" s="100"/>
      <c r="AC324" s="100">
        <v>250</v>
      </c>
      <c r="AD324" s="379">
        <v>3125</v>
      </c>
      <c r="AE324" s="100">
        <v>375</v>
      </c>
      <c r="AF324" s="100">
        <v>375</v>
      </c>
      <c r="AG324" s="100">
        <v>625</v>
      </c>
      <c r="AH324" s="100">
        <v>1625</v>
      </c>
      <c r="AI324" s="100"/>
      <c r="AJ324" s="100">
        <v>500</v>
      </c>
      <c r="AK324" s="100">
        <v>3875</v>
      </c>
      <c r="AL324" s="100">
        <v>125</v>
      </c>
      <c r="AM324" s="100">
        <v>1750</v>
      </c>
      <c r="AN324" s="100">
        <v>0</v>
      </c>
      <c r="AO324" s="100">
        <v>3250</v>
      </c>
      <c r="AP324" s="100"/>
      <c r="AQ324" s="379">
        <v>0</v>
      </c>
      <c r="AR324" s="100">
        <v>0</v>
      </c>
      <c r="AS324" s="100">
        <v>750</v>
      </c>
      <c r="AT324" s="100">
        <v>1175</v>
      </c>
      <c r="AU324" s="100">
        <v>250</v>
      </c>
      <c r="AV324" s="100">
        <v>5250</v>
      </c>
      <c r="AW324" s="100"/>
      <c r="AX324" s="379"/>
      <c r="AY324" s="100">
        <v>5025</v>
      </c>
      <c r="AZ324" s="100"/>
      <c r="BA324" s="100"/>
      <c r="BB324" s="100"/>
      <c r="BC324" s="299">
        <f t="shared" si="133"/>
        <v>29200</v>
      </c>
      <c r="BD324" s="896">
        <f t="shared" si="134"/>
        <v>18</v>
      </c>
      <c r="BE324" s="896">
        <f t="shared" si="135"/>
        <v>1622.2222222222222</v>
      </c>
    </row>
    <row r="325" spans="1:151" ht="15" customHeight="1">
      <c r="A325" s="68">
        <v>12</v>
      </c>
      <c r="B325" s="77">
        <v>6954</v>
      </c>
      <c r="C325" s="77" t="s">
        <v>61</v>
      </c>
      <c r="D325" s="67">
        <v>25</v>
      </c>
      <c r="E325" s="347">
        <v>0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0</v>
      </c>
      <c r="J325" s="348">
        <f>SUMIF(data!$D:$D,$B325&amp;$D325,data!$K:$K)</f>
        <v>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36"/>
        <v>0</v>
      </c>
      <c r="N325" s="348">
        <f t="shared" si="137"/>
        <v>0</v>
      </c>
      <c r="O325" s="351">
        <f t="shared" si="138"/>
        <v>10375</v>
      </c>
      <c r="P325" s="349">
        <f>+N317+N318</f>
        <v>4150</v>
      </c>
      <c r="Q325" s="349">
        <f>+O317+O318</f>
        <v>46500</v>
      </c>
      <c r="R325" s="350">
        <f>O325/INTGRATE!$N$293</f>
        <v>451.08695652173913</v>
      </c>
      <c r="S325" s="349">
        <f t="shared" si="139"/>
        <v>0</v>
      </c>
      <c r="T325" s="470"/>
      <c r="U325" s="139"/>
      <c r="V325" s="956" t="str">
        <f t="shared" si="140"/>
        <v>695425</v>
      </c>
      <c r="W325" s="943">
        <v>332341</v>
      </c>
      <c r="X325" s="68">
        <v>0</v>
      </c>
      <c r="Y325" s="68">
        <v>0</v>
      </c>
      <c r="Z325" s="459">
        <v>0</v>
      </c>
      <c r="AA325" s="100">
        <v>0</v>
      </c>
      <c r="AB325" s="100"/>
      <c r="AC325" s="100">
        <v>0</v>
      </c>
      <c r="AD325" s="348">
        <v>0</v>
      </c>
      <c r="AE325" s="100">
        <v>0</v>
      </c>
      <c r="AF325" s="100">
        <v>0</v>
      </c>
      <c r="AG325" s="100">
        <v>0</v>
      </c>
      <c r="AH325" s="100">
        <v>0</v>
      </c>
      <c r="AI325" s="100"/>
      <c r="AJ325" s="100">
        <v>0</v>
      </c>
      <c r="AK325" s="100">
        <v>0</v>
      </c>
      <c r="AL325" s="100">
        <v>0</v>
      </c>
      <c r="AM325" s="100">
        <v>0</v>
      </c>
      <c r="AN325" s="100">
        <v>10375</v>
      </c>
      <c r="AO325" s="100">
        <v>0</v>
      </c>
      <c r="AP325" s="100"/>
      <c r="AQ325" s="348">
        <v>0</v>
      </c>
      <c r="AR325" s="100">
        <v>0</v>
      </c>
      <c r="AS325" s="100">
        <v>0</v>
      </c>
      <c r="AT325" s="100">
        <v>0</v>
      </c>
      <c r="AU325" s="100">
        <v>0</v>
      </c>
      <c r="AV325" s="100">
        <v>0</v>
      </c>
      <c r="AW325" s="100"/>
      <c r="AX325" s="348"/>
      <c r="AY325" s="100">
        <v>0</v>
      </c>
      <c r="AZ325" s="100"/>
      <c r="BA325" s="100"/>
      <c r="BB325" s="100"/>
      <c r="BC325" s="299">
        <f t="shared" si="133"/>
        <v>10375</v>
      </c>
      <c r="BD325" s="896">
        <f t="shared" si="134"/>
        <v>1</v>
      </c>
      <c r="BE325" s="896">
        <f t="shared" si="135"/>
        <v>10375</v>
      </c>
    </row>
    <row r="326" spans="1:151" ht="15" customHeight="1">
      <c r="A326" s="68">
        <v>13</v>
      </c>
      <c r="B326" s="183">
        <v>6895</v>
      </c>
      <c r="C326" s="479" t="s">
        <v>39</v>
      </c>
      <c r="D326" s="183">
        <v>25</v>
      </c>
      <c r="E326" s="347">
        <v>1280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870</v>
      </c>
      <c r="J326" s="348">
        <f>SUMIF(data!$D:$D,$B326&amp;$D326,data!$K:$K)</f>
        <v>21750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36"/>
        <v>410</v>
      </c>
      <c r="N326" s="348">
        <f t="shared" si="137"/>
        <v>10250</v>
      </c>
      <c r="O326" s="351">
        <f t="shared" si="138"/>
        <v>56675</v>
      </c>
      <c r="P326" s="349"/>
      <c r="Q326" s="349"/>
      <c r="R326" s="350">
        <f>O326/INTGRATE!$N$293</f>
        <v>2464.1304347826085</v>
      </c>
      <c r="S326" s="349">
        <f t="shared" si="139"/>
        <v>4.1596823996471111</v>
      </c>
      <c r="T326" s="470"/>
      <c r="U326" s="139"/>
      <c r="V326" s="956" t="str">
        <f t="shared" si="140"/>
        <v>689525</v>
      </c>
      <c r="W326" s="943">
        <v>423700</v>
      </c>
      <c r="X326" s="68">
        <v>500</v>
      </c>
      <c r="Y326" s="68">
        <v>0</v>
      </c>
      <c r="Z326" s="459">
        <v>750</v>
      </c>
      <c r="AA326" s="100">
        <v>2000</v>
      </c>
      <c r="AB326" s="100"/>
      <c r="AC326" s="100">
        <v>6750</v>
      </c>
      <c r="AD326" s="348">
        <v>500</v>
      </c>
      <c r="AE326" s="100">
        <v>10500</v>
      </c>
      <c r="AF326" s="100">
        <v>0</v>
      </c>
      <c r="AG326" s="100">
        <v>1000</v>
      </c>
      <c r="AH326" s="100">
        <v>1375</v>
      </c>
      <c r="AI326" s="100"/>
      <c r="AJ326" s="100">
        <v>500</v>
      </c>
      <c r="AK326" s="100">
        <v>1000</v>
      </c>
      <c r="AL326" s="100">
        <v>0</v>
      </c>
      <c r="AM326" s="100">
        <v>0</v>
      </c>
      <c r="AN326" s="100">
        <v>0</v>
      </c>
      <c r="AO326" s="100">
        <v>875</v>
      </c>
      <c r="AP326" s="100"/>
      <c r="AQ326" s="348">
        <v>6925</v>
      </c>
      <c r="AR326" s="100">
        <v>0</v>
      </c>
      <c r="AS326" s="100">
        <v>1000</v>
      </c>
      <c r="AT326" s="100">
        <v>0</v>
      </c>
      <c r="AU326" s="100">
        <v>500</v>
      </c>
      <c r="AV326" s="100">
        <v>750</v>
      </c>
      <c r="AW326" s="100"/>
      <c r="AX326" s="100"/>
      <c r="AY326" s="100">
        <v>21750</v>
      </c>
      <c r="AZ326" s="100"/>
      <c r="BA326" s="100"/>
      <c r="BB326" s="100"/>
      <c r="BC326" s="299">
        <f t="shared" si="133"/>
        <v>56675</v>
      </c>
      <c r="BD326" s="896">
        <f t="shared" si="134"/>
        <v>16</v>
      </c>
      <c r="BE326" s="896">
        <f t="shared" si="135"/>
        <v>3542.1875</v>
      </c>
    </row>
    <row r="327" spans="1:151" ht="15" customHeight="1">
      <c r="A327" s="68">
        <v>14</v>
      </c>
      <c r="B327" s="183">
        <v>6884</v>
      </c>
      <c r="C327" s="479" t="s">
        <v>39</v>
      </c>
      <c r="D327" s="183">
        <v>25</v>
      </c>
      <c r="E327" s="347">
        <v>333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88</v>
      </c>
      <c r="J327" s="348">
        <f>SUMIF(data!$D:$D,$B327&amp;$D327,data!$K:$K)</f>
        <v>2200</v>
      </c>
      <c r="K327" s="356">
        <f>SUMIF(AJOUT!$A:$A,BRAN!$V:$V,AJOUT!$L:$L)</f>
        <v>0</v>
      </c>
      <c r="L327" s="356">
        <f>SUMIF(CBOUT!$A:$A,BRAN!$V:$V,CBOUT!$G:$G)</f>
        <v>0</v>
      </c>
      <c r="M327" s="550">
        <f>E327+F327+H327-I327-L327+G327-K327</f>
        <v>245</v>
      </c>
      <c r="N327" s="348">
        <f>M327*D327</f>
        <v>6125</v>
      </c>
      <c r="O327" s="351">
        <f>SUM(X327:BB327)</f>
        <v>9025</v>
      </c>
      <c r="P327" s="349"/>
      <c r="Q327" s="349"/>
      <c r="R327" s="350">
        <f>O327/INTGRATE!$N$293</f>
        <v>392.39130434782606</v>
      </c>
      <c r="S327" s="349">
        <f>IF(R327=0,0,N327/R327)</f>
        <v>15.609418282548477</v>
      </c>
      <c r="T327" s="470"/>
      <c r="U327" s="139"/>
      <c r="V327" s="956" t="str">
        <f t="shared" si="140"/>
        <v>688425</v>
      </c>
      <c r="W327" s="943">
        <v>433700</v>
      </c>
      <c r="X327" s="68">
        <v>0</v>
      </c>
      <c r="Y327" s="68">
        <v>0</v>
      </c>
      <c r="Z327" s="459">
        <v>750</v>
      </c>
      <c r="AA327" s="100">
        <v>2075</v>
      </c>
      <c r="AB327" s="100"/>
      <c r="AC327" s="100">
        <v>125</v>
      </c>
      <c r="AD327" s="348">
        <v>0</v>
      </c>
      <c r="AE327" s="100">
        <v>125</v>
      </c>
      <c r="AF327" s="100">
        <v>0</v>
      </c>
      <c r="AG327" s="100">
        <v>0</v>
      </c>
      <c r="AH327" s="100">
        <v>3750</v>
      </c>
      <c r="AI327" s="100"/>
      <c r="AJ327" s="100">
        <v>0</v>
      </c>
      <c r="AK327" s="100">
        <v>0</v>
      </c>
      <c r="AL327" s="100">
        <v>0</v>
      </c>
      <c r="AM327" s="100">
        <v>0</v>
      </c>
      <c r="AN327" s="100">
        <v>0</v>
      </c>
      <c r="AO327" s="100">
        <v>0</v>
      </c>
      <c r="AP327" s="100"/>
      <c r="AQ327" s="348">
        <v>0</v>
      </c>
      <c r="AR327" s="100">
        <v>0</v>
      </c>
      <c r="AS327" s="100">
        <v>0</v>
      </c>
      <c r="AT327" s="100">
        <v>0</v>
      </c>
      <c r="AU327" s="100">
        <v>0</v>
      </c>
      <c r="AV327" s="100">
        <v>0</v>
      </c>
      <c r="AW327" s="100"/>
      <c r="AX327" s="100"/>
      <c r="AY327" s="100">
        <v>2200</v>
      </c>
      <c r="AZ327" s="100"/>
      <c r="BA327" s="100"/>
      <c r="BB327" s="100"/>
      <c r="BC327" s="299">
        <f t="shared" si="133"/>
        <v>9025</v>
      </c>
      <c r="BD327" s="896">
        <f t="shared" si="134"/>
        <v>6</v>
      </c>
      <c r="BE327" s="896">
        <f t="shared" si="135"/>
        <v>1504.1666666666667</v>
      </c>
    </row>
    <row r="328" spans="1:151" ht="15" customHeight="1">
      <c r="A328" s="68">
        <v>15</v>
      </c>
      <c r="B328" s="183">
        <v>6984</v>
      </c>
      <c r="C328" s="479" t="s">
        <v>61</v>
      </c>
      <c r="D328" s="183">
        <v>25</v>
      </c>
      <c r="E328" s="347">
        <v>0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0</v>
      </c>
      <c r="J328" s="348">
        <f>SUMIF(data!$D:$D,$B328&amp;$D328,data!$K:$K)</f>
        <v>0</v>
      </c>
      <c r="K328" s="356">
        <f>SUMIF(AJOUT!$A:$A,BRAN!$V:$V,AJOUT!$L:$L)</f>
        <v>0</v>
      </c>
      <c r="L328" s="356">
        <f>SUMIF(CBOUT!$A:$A,BRAN!$V:$V,CBOUT!$G:$G)</f>
        <v>0</v>
      </c>
      <c r="M328" s="550">
        <f>E328+F328+H328-I328-L328+G328-K328</f>
        <v>0</v>
      </c>
      <c r="N328" s="348">
        <f>M328*D328</f>
        <v>0</v>
      </c>
      <c r="O328" s="351">
        <f>SUM(X328:BB328)</f>
        <v>1750</v>
      </c>
      <c r="P328" s="349"/>
      <c r="Q328" s="349"/>
      <c r="R328" s="350">
        <f>O328/INTGRATE!$N$293</f>
        <v>76.086956521739125</v>
      </c>
      <c r="S328" s="349">
        <f>IF(R328=0,0,N328/R328)</f>
        <v>0</v>
      </c>
      <c r="T328" s="470"/>
      <c r="U328" s="139"/>
      <c r="V328" s="956" t="str">
        <f t="shared" si="140"/>
        <v>698425</v>
      </c>
      <c r="W328" s="943">
        <v>433701</v>
      </c>
      <c r="X328" s="68">
        <v>0</v>
      </c>
      <c r="Y328" s="68">
        <v>0</v>
      </c>
      <c r="Z328" s="459">
        <v>0</v>
      </c>
      <c r="AA328" s="100">
        <v>0</v>
      </c>
      <c r="AB328" s="100"/>
      <c r="AC328" s="100">
        <v>0</v>
      </c>
      <c r="AD328" s="348">
        <v>0</v>
      </c>
      <c r="AE328" s="100">
        <v>0</v>
      </c>
      <c r="AF328" s="100">
        <v>0</v>
      </c>
      <c r="AG328" s="100">
        <v>0</v>
      </c>
      <c r="AH328" s="100">
        <v>0</v>
      </c>
      <c r="AI328" s="100"/>
      <c r="AJ328" s="100">
        <v>0</v>
      </c>
      <c r="AK328" s="100">
        <v>0</v>
      </c>
      <c r="AL328" s="100">
        <v>0</v>
      </c>
      <c r="AM328" s="100">
        <v>0</v>
      </c>
      <c r="AN328" s="100">
        <v>1750</v>
      </c>
      <c r="AO328" s="100">
        <v>0</v>
      </c>
      <c r="AP328" s="100"/>
      <c r="AQ328" s="348">
        <v>0</v>
      </c>
      <c r="AR328" s="100">
        <v>0</v>
      </c>
      <c r="AS328" s="100">
        <v>0</v>
      </c>
      <c r="AT328" s="100">
        <v>0</v>
      </c>
      <c r="AU328" s="100">
        <v>0</v>
      </c>
      <c r="AV328" s="100">
        <v>0</v>
      </c>
      <c r="AW328" s="100"/>
      <c r="AX328" s="100"/>
      <c r="AY328" s="100">
        <v>0</v>
      </c>
      <c r="AZ328" s="100"/>
      <c r="BA328" s="100"/>
      <c r="BB328" s="100"/>
      <c r="BC328" s="299">
        <f t="shared" si="133"/>
        <v>1750</v>
      </c>
      <c r="BD328" s="896">
        <f t="shared" si="134"/>
        <v>1</v>
      </c>
      <c r="BE328" s="896">
        <f t="shared" si="135"/>
        <v>1750</v>
      </c>
    </row>
    <row r="329" spans="1:151" ht="15" customHeight="1">
      <c r="A329" s="68">
        <v>16</v>
      </c>
      <c r="B329" s="183">
        <v>6995</v>
      </c>
      <c r="C329" s="479" t="s">
        <v>61</v>
      </c>
      <c r="D329" s="183">
        <v>25</v>
      </c>
      <c r="E329" s="347">
        <v>35</v>
      </c>
      <c r="F329" s="100">
        <f>SUMIF(pro!$A:$A,$V:$V,pro!$N:$N)</f>
        <v>695</v>
      </c>
      <c r="G329" s="348"/>
      <c r="H329" s="356">
        <f>SUMIF(CBIN!$A:$A,BRAN!$V:$V,CBIN!$G:$G)</f>
        <v>0</v>
      </c>
      <c r="I329" s="419">
        <f>SUMIF(data!$D:$D,$B329&amp;$D329,data!$J:$J)</f>
        <v>35</v>
      </c>
      <c r="J329" s="348">
        <f>SUMIF(data!$D:$D,$B329&amp;$D329,data!$K:$K)</f>
        <v>875</v>
      </c>
      <c r="K329" s="356">
        <f>SUMIF(AJOUT!$A:$A,BRAN!$V:$V,AJOUT!$L:$L)</f>
        <v>0</v>
      </c>
      <c r="L329" s="356">
        <f>SUMIF(CBOUT!$A:$A,BRAN!$V:$V,CBOUT!$G:$G)</f>
        <v>0</v>
      </c>
      <c r="M329" s="550">
        <f t="shared" si="136"/>
        <v>695</v>
      </c>
      <c r="N329" s="348">
        <f t="shared" si="137"/>
        <v>17375</v>
      </c>
      <c r="O329" s="351">
        <f t="shared" si="138"/>
        <v>37000</v>
      </c>
      <c r="P329" s="349"/>
      <c r="Q329" s="349"/>
      <c r="R329" s="350">
        <f>O329/INTGRATE!$N$293</f>
        <v>1608.695652173913</v>
      </c>
      <c r="S329" s="349">
        <f t="shared" si="139"/>
        <v>10.800675675675675</v>
      </c>
      <c r="T329" s="470"/>
      <c r="U329" s="139"/>
      <c r="V329" s="956" t="str">
        <f t="shared" si="140"/>
        <v>699525</v>
      </c>
      <c r="W329" s="943">
        <v>423701</v>
      </c>
      <c r="X329" s="68">
        <v>0</v>
      </c>
      <c r="Y329" s="68">
        <v>4250</v>
      </c>
      <c r="Z329" s="459">
        <v>375</v>
      </c>
      <c r="AA329" s="100">
        <v>1400</v>
      </c>
      <c r="AB329" s="100"/>
      <c r="AC329" s="100">
        <v>2450</v>
      </c>
      <c r="AD329" s="348">
        <v>2125</v>
      </c>
      <c r="AE329" s="100">
        <v>875</v>
      </c>
      <c r="AF329" s="100">
        <v>5250</v>
      </c>
      <c r="AG329" s="100">
        <v>625</v>
      </c>
      <c r="AH329" s="100">
        <v>2775</v>
      </c>
      <c r="AI329" s="100"/>
      <c r="AJ329" s="100">
        <v>0</v>
      </c>
      <c r="AK329" s="100">
        <v>1075</v>
      </c>
      <c r="AL329" s="100">
        <v>125</v>
      </c>
      <c r="AM329" s="100">
        <v>0</v>
      </c>
      <c r="AN329" s="100">
        <v>625</v>
      </c>
      <c r="AO329" s="100">
        <v>6100</v>
      </c>
      <c r="AP329" s="100"/>
      <c r="AQ329" s="348">
        <v>3125</v>
      </c>
      <c r="AR329" s="100">
        <v>2350</v>
      </c>
      <c r="AS329" s="100">
        <v>850</v>
      </c>
      <c r="AT329" s="100">
        <v>0</v>
      </c>
      <c r="AU329" s="100">
        <v>250</v>
      </c>
      <c r="AV329" s="100">
        <v>1500</v>
      </c>
      <c r="AW329" s="100"/>
      <c r="AX329" s="100"/>
      <c r="AY329" s="100">
        <v>875</v>
      </c>
      <c r="AZ329" s="100"/>
      <c r="BA329" s="100"/>
      <c r="BB329" s="100"/>
      <c r="BC329" s="299">
        <f t="shared" si="133"/>
        <v>37000</v>
      </c>
      <c r="BD329" s="896">
        <f t="shared" si="134"/>
        <v>19</v>
      </c>
      <c r="BE329" s="896">
        <f t="shared" si="135"/>
        <v>1947.3684210526317</v>
      </c>
    </row>
    <row r="330" spans="1:151" ht="15" customHeight="1">
      <c r="A330" s="68">
        <v>17</v>
      </c>
      <c r="B330" s="517">
        <v>6991</v>
      </c>
      <c r="C330" s="517" t="s">
        <v>61</v>
      </c>
      <c r="D330" s="518">
        <v>25</v>
      </c>
      <c r="E330" s="347">
        <v>10</v>
      </c>
      <c r="F330" s="100">
        <f>SUMIF(pro!$A:$A,$V:$V,pro!$N:$N)</f>
        <v>250</v>
      </c>
      <c r="G330" s="348"/>
      <c r="H330" s="356">
        <f>SUMIF(CBIN!$A:$A,BRAN!$V:$V,CBIN!$G:$G)</f>
        <v>0</v>
      </c>
      <c r="I330" s="419">
        <f>SUMIF(data!$D:$D,$B330&amp;$D330,data!$J:$J)</f>
        <v>10</v>
      </c>
      <c r="J330" s="348">
        <f>SUMIF(data!$D:$D,$B330&amp;$D330,data!$K:$K)</f>
        <v>250</v>
      </c>
      <c r="K330" s="356">
        <f>SUMIF(AJOUT!$A:$A,BRAN!$V:$V,AJOUT!$L:$L)</f>
        <v>0</v>
      </c>
      <c r="L330" s="356">
        <f>SUMIF(CBOUT!$A:$A,BRAN!$V:$V,CBOUT!$G:$G)</f>
        <v>0</v>
      </c>
      <c r="M330" s="550">
        <f>E330+F330+H330-I330-L330+G330-K330</f>
        <v>250</v>
      </c>
      <c r="N330" s="348">
        <f>M330*D330</f>
        <v>6250</v>
      </c>
      <c r="O330" s="351">
        <f>SUM(X330:BB330)</f>
        <v>9000</v>
      </c>
      <c r="P330" s="349"/>
      <c r="Q330" s="349"/>
      <c r="R330" s="350">
        <f>O330/INTGRATE!$N$293</f>
        <v>391.30434782608694</v>
      </c>
      <c r="S330" s="349">
        <f>IF(R330=0,0,N330/R330)</f>
        <v>15.972222222222223</v>
      </c>
      <c r="T330" s="677"/>
      <c r="U330" s="699"/>
      <c r="V330" s="956" t="str">
        <f>B330&amp;D330</f>
        <v>699125</v>
      </c>
      <c r="W330" s="943">
        <v>513021</v>
      </c>
      <c r="X330" s="765">
        <v>0</v>
      </c>
      <c r="Y330" s="765">
        <v>750</v>
      </c>
      <c r="Z330" s="766">
        <v>250</v>
      </c>
      <c r="AA330" s="161">
        <v>125</v>
      </c>
      <c r="AB330" s="161"/>
      <c r="AC330" s="161">
        <v>0</v>
      </c>
      <c r="AD330" s="379">
        <v>0</v>
      </c>
      <c r="AE330" s="161">
        <v>875</v>
      </c>
      <c r="AF330" s="161">
        <v>0</v>
      </c>
      <c r="AG330" s="161">
        <v>500</v>
      </c>
      <c r="AH330" s="161">
        <v>875</v>
      </c>
      <c r="AI330" s="161"/>
      <c r="AJ330" s="161">
        <v>1000</v>
      </c>
      <c r="AK330" s="161">
        <v>0</v>
      </c>
      <c r="AL330" s="161">
        <v>250</v>
      </c>
      <c r="AM330" s="161">
        <v>1000</v>
      </c>
      <c r="AN330" s="161"/>
      <c r="AO330" s="161">
        <v>250</v>
      </c>
      <c r="AP330" s="161"/>
      <c r="AQ330" s="379">
        <v>0</v>
      </c>
      <c r="AR330" s="161">
        <v>250</v>
      </c>
      <c r="AS330" s="161">
        <v>350</v>
      </c>
      <c r="AT330" s="161">
        <v>0</v>
      </c>
      <c r="AU330" s="161">
        <v>0</v>
      </c>
      <c r="AV330" s="161">
        <v>2275</v>
      </c>
      <c r="AW330" s="161"/>
      <c r="AX330" s="161"/>
      <c r="AY330" s="161">
        <v>250</v>
      </c>
      <c r="AZ330" s="161"/>
      <c r="BA330" s="161"/>
      <c r="BB330" s="161"/>
      <c r="BC330" s="299">
        <f t="shared" si="133"/>
        <v>9000</v>
      </c>
      <c r="BD330" s="896">
        <f t="shared" si="134"/>
        <v>14</v>
      </c>
      <c r="BE330" s="896">
        <f t="shared" si="135"/>
        <v>642.85714285714289</v>
      </c>
    </row>
    <row r="331" spans="1:151" s="59" customFormat="1" ht="15" customHeight="1">
      <c r="A331" s="1226" t="s">
        <v>1764</v>
      </c>
      <c r="B331" s="1227"/>
      <c r="C331" s="1227"/>
      <c r="D331" s="1228"/>
      <c r="E331" s="113"/>
      <c r="F331" s="113"/>
      <c r="G331" s="113"/>
      <c r="H331" s="113"/>
      <c r="I331" s="113"/>
      <c r="J331" s="113"/>
      <c r="K331" s="113"/>
      <c r="L331" s="113"/>
      <c r="M331" s="551"/>
      <c r="N331" s="113"/>
      <c r="O331" s="113"/>
      <c r="P331" s="113"/>
      <c r="Q331" s="113"/>
      <c r="R331" s="113"/>
      <c r="S331" s="114"/>
      <c r="T331" s="532"/>
      <c r="U331" s="159"/>
      <c r="V331" s="956"/>
      <c r="W331" s="943"/>
      <c r="X331" s="768">
        <f t="shared" ref="X331:BC331" si="148">SUM(X314:X330)</f>
        <v>3075</v>
      </c>
      <c r="Y331" s="769">
        <f t="shared" si="148"/>
        <v>12975</v>
      </c>
      <c r="Z331" s="769">
        <f t="shared" si="148"/>
        <v>18525</v>
      </c>
      <c r="AA331" s="769">
        <f t="shared" si="148"/>
        <v>24175</v>
      </c>
      <c r="AB331" s="769">
        <f t="shared" si="148"/>
        <v>0</v>
      </c>
      <c r="AC331" s="769">
        <f t="shared" si="148"/>
        <v>17150</v>
      </c>
      <c r="AD331" s="769">
        <f t="shared" si="148"/>
        <v>35250</v>
      </c>
      <c r="AE331" s="769">
        <f t="shared" si="148"/>
        <v>29000</v>
      </c>
      <c r="AF331" s="769">
        <f t="shared" si="148"/>
        <v>7850</v>
      </c>
      <c r="AG331" s="769">
        <f t="shared" si="148"/>
        <v>6400</v>
      </c>
      <c r="AH331" s="769">
        <f t="shared" si="148"/>
        <v>19675</v>
      </c>
      <c r="AI331" s="769">
        <f t="shared" si="148"/>
        <v>0</v>
      </c>
      <c r="AJ331" s="769">
        <f t="shared" si="148"/>
        <v>7025</v>
      </c>
      <c r="AK331" s="769">
        <f t="shared" si="148"/>
        <v>15975</v>
      </c>
      <c r="AL331" s="769">
        <f t="shared" si="148"/>
        <v>1700</v>
      </c>
      <c r="AM331" s="769">
        <f t="shared" si="148"/>
        <v>8000</v>
      </c>
      <c r="AN331" s="769">
        <f t="shared" si="148"/>
        <v>18025</v>
      </c>
      <c r="AO331" s="769">
        <f t="shared" si="148"/>
        <v>13225</v>
      </c>
      <c r="AP331" s="769">
        <f t="shared" si="148"/>
        <v>0</v>
      </c>
      <c r="AQ331" s="769">
        <f t="shared" si="148"/>
        <v>14800</v>
      </c>
      <c r="AR331" s="769">
        <f t="shared" si="148"/>
        <v>10625</v>
      </c>
      <c r="AS331" s="769">
        <f t="shared" si="148"/>
        <v>15200</v>
      </c>
      <c r="AT331" s="769">
        <f t="shared" si="148"/>
        <v>4425</v>
      </c>
      <c r="AU331" s="769">
        <f t="shared" si="148"/>
        <v>11450</v>
      </c>
      <c r="AV331" s="769">
        <f t="shared" si="148"/>
        <v>25850</v>
      </c>
      <c r="AW331" s="769">
        <f t="shared" si="148"/>
        <v>0</v>
      </c>
      <c r="AX331" s="769">
        <f t="shared" si="148"/>
        <v>0</v>
      </c>
      <c r="AY331" s="769">
        <f t="shared" si="148"/>
        <v>45575</v>
      </c>
      <c r="AZ331" s="769">
        <f t="shared" si="148"/>
        <v>0</v>
      </c>
      <c r="BA331" s="769">
        <f t="shared" si="148"/>
        <v>0</v>
      </c>
      <c r="BB331" s="769">
        <f t="shared" si="148"/>
        <v>0</v>
      </c>
      <c r="BC331" s="769">
        <f t="shared" si="148"/>
        <v>365950</v>
      </c>
      <c r="BD331" s="112"/>
      <c r="BE331" s="112"/>
      <c r="BH331" s="508"/>
    </row>
    <row r="332" spans="1:151" s="59" customFormat="1" ht="15" customHeight="1">
      <c r="A332" s="1226" t="s">
        <v>1740</v>
      </c>
      <c r="B332" s="1227"/>
      <c r="C332" s="1227"/>
      <c r="D332" s="1228"/>
      <c r="E332" s="113">
        <f>SUM(E314:E330)</f>
        <v>3096</v>
      </c>
      <c r="F332" s="113">
        <f>SUM(F314:F330)-F334</f>
        <v>2302</v>
      </c>
      <c r="G332" s="113">
        <f>SUM(G314:G330)</f>
        <v>0</v>
      </c>
      <c r="H332" s="113">
        <f>SUM(H314:H330)</f>
        <v>0</v>
      </c>
      <c r="I332" s="113">
        <f>SUM(I314:I330)</f>
        <v>1823</v>
      </c>
      <c r="J332" s="113">
        <f>SUM(J314:J330)-J334</f>
        <v>45575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3575</v>
      </c>
      <c r="N332" s="113">
        <f t="shared" si="149"/>
        <v>89375</v>
      </c>
      <c r="O332" s="113">
        <f t="shared" si="149"/>
        <v>365950</v>
      </c>
      <c r="P332" s="113">
        <f t="shared" si="149"/>
        <v>89375</v>
      </c>
      <c r="Q332" s="113">
        <f t="shared" si="149"/>
        <v>365950</v>
      </c>
      <c r="R332" s="113">
        <f t="shared" si="149"/>
        <v>15910.86956521739</v>
      </c>
      <c r="S332" s="113">
        <f t="shared" si="149"/>
        <v>69.925616008901983</v>
      </c>
      <c r="T332" s="1232"/>
      <c r="U332" s="159">
        <f>SUM(U316:U316,U319:U325)*25</f>
        <v>0</v>
      </c>
      <c r="V332" s="956"/>
      <c r="W332" s="94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91">
        <f>+BC331+BC300+BC276+BC193+BC150</f>
        <v>11688710</v>
      </c>
      <c r="BD332" s="391"/>
      <c r="BE332" s="391"/>
      <c r="BH332" s="508"/>
    </row>
    <row r="333" spans="1:151" s="59" customFormat="1" ht="15" customHeight="1">
      <c r="A333" s="1226" t="s">
        <v>1765</v>
      </c>
      <c r="B333" s="1227"/>
      <c r="C333" s="1227"/>
      <c r="D333" s="1228"/>
      <c r="E333" s="113"/>
      <c r="F333" s="113"/>
      <c r="G333" s="113"/>
      <c r="H333" s="113"/>
      <c r="I333" s="113"/>
      <c r="J333" s="113"/>
      <c r="K333" s="113"/>
      <c r="L333" s="113"/>
      <c r="M333" s="551"/>
      <c r="N333" s="113"/>
      <c r="O333" s="113"/>
      <c r="P333" s="113"/>
      <c r="Q333" s="113"/>
      <c r="R333" s="113"/>
      <c r="S333" s="113"/>
      <c r="T333" s="1233"/>
      <c r="U333" s="159"/>
      <c r="V333" s="959"/>
      <c r="W333" s="943"/>
      <c r="X333" s="770">
        <f t="shared" ref="X333:BB333" si="150">X331+X300+X276+X193+X150</f>
        <v>363685</v>
      </c>
      <c r="Y333" s="770">
        <f t="shared" si="150"/>
        <v>511050</v>
      </c>
      <c r="Z333" s="770">
        <f t="shared" si="150"/>
        <v>670890</v>
      </c>
      <c r="AA333" s="770">
        <f t="shared" si="150"/>
        <v>730380</v>
      </c>
      <c r="AB333" s="770">
        <f t="shared" si="150"/>
        <v>0</v>
      </c>
      <c r="AC333" s="770">
        <f t="shared" si="150"/>
        <v>427580</v>
      </c>
      <c r="AD333" s="770">
        <f t="shared" si="150"/>
        <v>450600</v>
      </c>
      <c r="AE333" s="770">
        <f t="shared" si="150"/>
        <v>452180</v>
      </c>
      <c r="AF333" s="770">
        <f t="shared" si="150"/>
        <v>396375</v>
      </c>
      <c r="AG333" s="770">
        <f t="shared" si="150"/>
        <v>480820</v>
      </c>
      <c r="AH333" s="770">
        <f t="shared" si="150"/>
        <v>575300</v>
      </c>
      <c r="AI333" s="770">
        <f t="shared" si="150"/>
        <v>0</v>
      </c>
      <c r="AJ333" s="770">
        <f t="shared" si="150"/>
        <v>371945</v>
      </c>
      <c r="AK333" s="770">
        <f t="shared" si="150"/>
        <v>500095</v>
      </c>
      <c r="AL333" s="770">
        <f t="shared" si="150"/>
        <v>332965</v>
      </c>
      <c r="AM333" s="770">
        <f t="shared" si="150"/>
        <v>341860</v>
      </c>
      <c r="AN333" s="770">
        <f t="shared" si="150"/>
        <v>538340</v>
      </c>
      <c r="AO333" s="770">
        <f t="shared" si="150"/>
        <v>552670</v>
      </c>
      <c r="AP333" s="770">
        <f t="shared" si="150"/>
        <v>0</v>
      </c>
      <c r="AQ333" s="770">
        <f t="shared" si="150"/>
        <v>440315</v>
      </c>
      <c r="AR333" s="770">
        <f t="shared" si="150"/>
        <v>480955</v>
      </c>
      <c r="AS333" s="770">
        <f t="shared" si="150"/>
        <v>495455</v>
      </c>
      <c r="AT333" s="770">
        <f t="shared" si="150"/>
        <v>373720</v>
      </c>
      <c r="AU333" s="770">
        <f t="shared" si="150"/>
        <v>542235</v>
      </c>
      <c r="AV333" s="770">
        <f t="shared" si="150"/>
        <v>779955</v>
      </c>
      <c r="AW333" s="770">
        <f t="shared" si="150"/>
        <v>0</v>
      </c>
      <c r="AX333" s="770">
        <f t="shared" si="150"/>
        <v>0</v>
      </c>
      <c r="AY333" s="770">
        <f t="shared" si="150"/>
        <v>879340</v>
      </c>
      <c r="AZ333" s="770">
        <f t="shared" si="150"/>
        <v>0</v>
      </c>
      <c r="BA333" s="770">
        <f t="shared" si="150"/>
        <v>0</v>
      </c>
      <c r="BB333" s="770">
        <f t="shared" si="150"/>
        <v>0</v>
      </c>
      <c r="BC333" s="509">
        <f>+SUM(BF15:BF27)</f>
        <v>11688710</v>
      </c>
      <c r="BD333" s="509"/>
      <c r="BE333" s="509"/>
      <c r="BH333" s="508"/>
    </row>
    <row r="334" spans="1:151" s="59" customFormat="1" ht="15" customHeight="1">
      <c r="A334" s="1226" t="s">
        <v>1766</v>
      </c>
      <c r="B334" s="1227"/>
      <c r="C334" s="1227"/>
      <c r="D334" s="1228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551"/>
      <c r="N334" s="113"/>
      <c r="O334" s="199"/>
      <c r="P334" s="199"/>
      <c r="Q334" s="199"/>
      <c r="R334" s="199"/>
      <c r="S334" s="199"/>
      <c r="T334" s="1233"/>
      <c r="U334" s="159"/>
      <c r="V334" s="959"/>
      <c r="W334" s="94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509"/>
      <c r="BD334" s="509"/>
      <c r="BE334" s="509"/>
      <c r="BH334" s="508"/>
    </row>
    <row r="335" spans="1:151" s="132" customFormat="1" ht="15" customHeight="1">
      <c r="A335" s="1236" t="s">
        <v>1742</v>
      </c>
      <c r="B335" s="1237"/>
      <c r="C335" s="1237"/>
      <c r="D335" s="1238"/>
      <c r="E335" s="73">
        <f>SUM(E331:E333)</f>
        <v>3096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1823</v>
      </c>
      <c r="J335" s="73">
        <f>+SUM(J331:J333)</f>
        <v>45575</v>
      </c>
      <c r="K335" s="73">
        <f>SUM(K331:K333)</f>
        <v>0</v>
      </c>
      <c r="L335" s="73">
        <f>SUM(L331:L333)</f>
        <v>0</v>
      </c>
      <c r="M335" s="549">
        <f>SUM(M331:M333)</f>
        <v>3575</v>
      </c>
      <c r="N335" s="73">
        <f>SUM(N331:N333)</f>
        <v>89375</v>
      </c>
      <c r="O335" s="1239">
        <f>SUM(O316:O330)</f>
        <v>365950</v>
      </c>
      <c r="P335" s="197"/>
      <c r="Q335" s="197"/>
      <c r="R335" s="1222">
        <f>SUM(R316:R330)</f>
        <v>15910.86956521739</v>
      </c>
      <c r="S335" s="1222" t="s">
        <v>46</v>
      </c>
      <c r="T335" s="1244"/>
      <c r="U335" s="150">
        <f>SUM(U316:U325)</f>
        <v>0</v>
      </c>
      <c r="V335" s="959"/>
      <c r="W335" s="94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510">
        <f>+BC332-BC333</f>
        <v>0</v>
      </c>
      <c r="BD335" s="510"/>
      <c r="BE335" s="510"/>
      <c r="BH335" s="508"/>
    </row>
    <row r="336" spans="1:151" s="71" customFormat="1" ht="15" customHeight="1">
      <c r="A336" s="1226" t="s">
        <v>1743</v>
      </c>
      <c r="B336" s="1227"/>
      <c r="C336" s="1227"/>
      <c r="D336" s="1228"/>
      <c r="E336" s="70">
        <f>SUM(E331:E332)*25+E333*40</f>
        <v>77400</v>
      </c>
      <c r="F336" s="70">
        <f>SUM(F331:F332)*25+F333*40</f>
        <v>57550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45575</v>
      </c>
      <c r="J336" s="70">
        <f>SUM(J331:J332)+J333+J334</f>
        <v>45575</v>
      </c>
      <c r="K336" s="70">
        <f>+K335*25</f>
        <v>0</v>
      </c>
      <c r="L336" s="70">
        <f>SUM(L331:L332)*25+L333*40</f>
        <v>0</v>
      </c>
      <c r="M336" s="552">
        <f>SUM(M331:M332)*25+M333*40</f>
        <v>89375</v>
      </c>
      <c r="N336" s="70">
        <f>SUM(N331:N332)+N333</f>
        <v>89375</v>
      </c>
      <c r="O336" s="1240"/>
      <c r="P336" s="198"/>
      <c r="Q336" s="198"/>
      <c r="R336" s="1223"/>
      <c r="S336" s="1223"/>
      <c r="T336" s="1245"/>
      <c r="U336" s="150">
        <f>SUM(U331:U333)</f>
        <v>0</v>
      </c>
      <c r="V336" s="959"/>
      <c r="W336" s="94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508"/>
    </row>
    <row r="337" spans="1:54" ht="15" customHeight="1">
      <c r="A337" s="310" t="s">
        <v>137</v>
      </c>
      <c r="B337" s="37"/>
      <c r="C337" s="37"/>
      <c r="D337" s="37"/>
      <c r="E337" s="133"/>
      <c r="F337" s="37"/>
      <c r="G337" s="37"/>
      <c r="H337" s="37"/>
      <c r="I337" s="37"/>
      <c r="J337" s="37"/>
      <c r="K337" s="37"/>
      <c r="L337" s="37"/>
      <c r="M337" s="543"/>
      <c r="N337" s="37"/>
      <c r="O337" s="37"/>
      <c r="P337" s="37"/>
      <c r="Q337" s="37"/>
      <c r="R337" s="37"/>
      <c r="S337" s="37"/>
      <c r="T337" s="528"/>
      <c r="U337" s="153"/>
      <c r="AZ337" s="58"/>
      <c r="BB337" s="72"/>
    </row>
    <row r="338" spans="1:54" ht="15" customHeight="1">
      <c r="A338" s="310" t="s">
        <v>1694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535"/>
      <c r="N338" s="38"/>
      <c r="O338" s="38"/>
      <c r="P338" s="38"/>
      <c r="Q338" s="38"/>
      <c r="R338" s="38"/>
      <c r="S338" s="38"/>
      <c r="T338" s="529"/>
      <c r="U338" s="134"/>
      <c r="V338" s="95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310" t="s">
        <v>1695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535"/>
      <c r="N339" s="38"/>
      <c r="O339" s="38"/>
      <c r="P339" s="38"/>
      <c r="Q339" s="38"/>
      <c r="R339" s="38"/>
      <c r="S339" s="38"/>
      <c r="T339" s="529"/>
      <c r="AZ339" s="58"/>
      <c r="BB339" s="72"/>
    </row>
    <row r="340" spans="1:54">
      <c r="T340" s="533"/>
    </row>
    <row r="341" spans="1:54">
      <c r="F341" s="60"/>
      <c r="G341" s="60"/>
      <c r="N341" s="719"/>
    </row>
    <row r="344" spans="1:54">
      <c r="I344" s="60"/>
    </row>
    <row r="361" spans="13:48" s="58" customFormat="1" ht="15">
      <c r="M361" s="553"/>
      <c r="T361" s="72"/>
      <c r="V361" s="966"/>
      <c r="W361" s="96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I273" activePane="bottomRight" state="frozen"/>
      <selection pane="topRight" activeCell="F1" sqref="F1"/>
      <selection pane="bottomLeft" activeCell="A10" sqref="A10"/>
      <selection pane="bottomRight" activeCell="BB272" sqref="BB272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202" t="s">
        <v>98</v>
      </c>
      <c r="B2" s="1202"/>
      <c r="C2" s="1202"/>
      <c r="D2" s="1202"/>
      <c r="E2" s="1202"/>
      <c r="F2" s="1054" t="s">
        <v>1735</v>
      </c>
      <c r="G2" s="1054"/>
      <c r="H2" s="1054"/>
      <c r="I2" s="1054"/>
      <c r="J2" s="1054"/>
      <c r="K2" s="1054"/>
      <c r="L2" s="1054"/>
      <c r="M2" s="1054"/>
      <c r="N2" s="1054"/>
      <c r="O2" s="1054"/>
      <c r="P2" s="210"/>
      <c r="Q2" s="210"/>
      <c r="R2" s="211"/>
      <c r="S2" s="211"/>
      <c r="AF2" s="214"/>
    </row>
    <row r="3" spans="1:62" ht="15" customHeight="1">
      <c r="A3" s="1202" t="s">
        <v>99</v>
      </c>
      <c r="B3" s="1202"/>
      <c r="C3" s="1202"/>
      <c r="D3" s="1202"/>
      <c r="E3" s="1202"/>
      <c r="F3" s="1054"/>
      <c r="G3" s="1054"/>
      <c r="H3" s="1054"/>
      <c r="I3" s="1054"/>
      <c r="J3" s="1054"/>
      <c r="K3" s="1054"/>
      <c r="L3" s="1054"/>
      <c r="M3" s="1054"/>
      <c r="N3" s="1054"/>
      <c r="O3" s="1054"/>
      <c r="P3" s="822" t="s">
        <v>1734</v>
      </c>
      <c r="Q3" s="1161">
        <f>BRAN!O3</f>
        <v>46140</v>
      </c>
      <c r="R3" s="1161"/>
      <c r="S3" s="1161"/>
      <c r="T3" s="1161"/>
      <c r="U3" s="1161"/>
      <c r="V3" s="1161"/>
      <c r="W3" s="823"/>
    </row>
    <row r="4" spans="1:62" ht="15" customHeight="1">
      <c r="A4" s="38" t="s">
        <v>2669</v>
      </c>
      <c r="B4" s="825"/>
      <c r="C4" s="825"/>
      <c r="D4" s="825"/>
      <c r="E4" s="825"/>
      <c r="F4" s="1162" t="s">
        <v>1737</v>
      </c>
      <c r="G4" s="1162"/>
      <c r="H4" s="1162"/>
      <c r="I4" s="1162"/>
      <c r="J4" s="1162"/>
      <c r="K4" s="1162"/>
      <c r="L4" s="1162"/>
      <c r="M4" s="1162"/>
      <c r="N4" s="1162"/>
      <c r="O4" s="1162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2668</v>
      </c>
      <c r="B5" s="825"/>
      <c r="C5" s="825"/>
      <c r="D5" s="825"/>
      <c r="E5" s="825"/>
      <c r="F5" s="1162" t="s">
        <v>1736</v>
      </c>
      <c r="G5" s="1162"/>
      <c r="H5" s="1162"/>
      <c r="I5" s="1162"/>
      <c r="J5" s="1162"/>
      <c r="K5" s="1162"/>
      <c r="L5" s="1162"/>
      <c r="M5" s="1162"/>
      <c r="N5" s="1162"/>
      <c r="O5" s="1162"/>
      <c r="P5" s="1203" t="s">
        <v>9</v>
      </c>
      <c r="Q5" s="1203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46" t="s">
        <v>1700</v>
      </c>
      <c r="B7" s="1037" t="s">
        <v>1676</v>
      </c>
      <c r="C7" s="1037" t="s">
        <v>1677</v>
      </c>
      <c r="D7" s="1049" t="s">
        <v>1747</v>
      </c>
      <c r="E7" s="61" t="s">
        <v>0</v>
      </c>
      <c r="F7" s="1052" t="s">
        <v>1680</v>
      </c>
      <c r="G7" s="1057"/>
      <c r="H7" s="1053"/>
      <c r="I7" s="1052" t="s">
        <v>1681</v>
      </c>
      <c r="J7" s="1057"/>
      <c r="K7" s="1057"/>
      <c r="L7" s="1057"/>
      <c r="M7" s="1057"/>
      <c r="N7" s="1053"/>
      <c r="O7" s="1052" t="s">
        <v>1687</v>
      </c>
      <c r="P7" s="1053"/>
      <c r="Q7" s="194" t="s">
        <v>1727</v>
      </c>
      <c r="R7" s="334"/>
      <c r="S7" s="334"/>
      <c r="T7" s="194" t="s">
        <v>1728</v>
      </c>
      <c r="U7" s="1040" t="s">
        <v>1690</v>
      </c>
      <c r="V7" s="1041"/>
      <c r="W7" s="1176" t="s">
        <v>1692</v>
      </c>
      <c r="X7" s="1002" t="s">
        <v>1693</v>
      </c>
      <c r="Y7" s="974"/>
      <c r="Z7" s="937"/>
    </row>
    <row r="8" spans="1:62" s="83" customFormat="1" ht="48.75" customHeight="1">
      <c r="A8" s="1047"/>
      <c r="B8" s="1038"/>
      <c r="C8" s="1038"/>
      <c r="D8" s="1050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52" t="s">
        <v>1684</v>
      </c>
      <c r="J8" s="1057"/>
      <c r="K8" s="1057"/>
      <c r="L8" s="1053"/>
      <c r="M8" s="585" t="s">
        <v>1688</v>
      </c>
      <c r="N8" s="784" t="s">
        <v>1686</v>
      </c>
      <c r="O8" s="1201" t="s">
        <v>1732</v>
      </c>
      <c r="P8" s="1053"/>
      <c r="Q8" s="787" t="s">
        <v>1730</v>
      </c>
      <c r="R8" s="786"/>
      <c r="S8" s="786"/>
      <c r="T8" s="787" t="s">
        <v>1731</v>
      </c>
      <c r="U8" s="1042"/>
      <c r="V8" s="1043"/>
      <c r="W8" s="1177"/>
      <c r="X8" s="1003"/>
      <c r="Y8" s="974"/>
      <c r="Z8" s="937"/>
    </row>
    <row r="9" spans="1:62" s="83" customFormat="1" ht="18.75" customHeight="1">
      <c r="A9" s="1048"/>
      <c r="B9" s="1039"/>
      <c r="C9" s="1039"/>
      <c r="D9" s="1051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44"/>
      <c r="V9" s="1045"/>
      <c r="W9" s="1178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96">
        <f>IF(T10=0,0,P10/T10)</f>
        <v>0</v>
      </c>
      <c r="V10" s="997"/>
      <c r="W10" s="363"/>
      <c r="X10" s="224"/>
      <c r="Y10" s="976" t="str">
        <f t="shared" ref="Y10:Y35" si="4">B10&amp;D10</f>
        <v>510F50</v>
      </c>
      <c r="Z10" s="938" t="s">
        <v>761</v>
      </c>
      <c r="AA10" s="449">
        <v>0</v>
      </c>
      <c r="AB10" s="449">
        <v>0</v>
      </c>
      <c r="AC10" s="343">
        <v>0</v>
      </c>
      <c r="AD10" s="343">
        <v>0</v>
      </c>
      <c r="AE10" s="343"/>
      <c r="AF10" s="343">
        <v>0</v>
      </c>
      <c r="AG10" s="343">
        <v>0</v>
      </c>
      <c r="AH10" s="343">
        <v>0</v>
      </c>
      <c r="AI10" s="343">
        <v>0</v>
      </c>
      <c r="AJ10" s="343">
        <v>0</v>
      </c>
      <c r="AK10" s="343">
        <v>0</v>
      </c>
      <c r="AL10" s="343"/>
      <c r="AM10" s="343">
        <v>0</v>
      </c>
      <c r="AN10" s="343">
        <v>0</v>
      </c>
      <c r="AO10" s="343">
        <v>0</v>
      </c>
      <c r="AP10" s="343">
        <v>0</v>
      </c>
      <c r="AQ10" s="343">
        <v>0</v>
      </c>
      <c r="AR10" s="343">
        <v>0</v>
      </c>
      <c r="AS10" s="343"/>
      <c r="AT10" s="344">
        <v>0</v>
      </c>
      <c r="AU10" s="343">
        <v>0</v>
      </c>
      <c r="AV10" s="343">
        <v>0</v>
      </c>
      <c r="AW10" s="343">
        <v>0</v>
      </c>
      <c r="AX10" s="343">
        <v>0</v>
      </c>
      <c r="AY10" s="343">
        <v>0</v>
      </c>
      <c r="AZ10" s="343"/>
      <c r="BA10" s="343"/>
      <c r="BB10" s="343">
        <v>0</v>
      </c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1743200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96">
        <f>IF(T11=0,0,P11/T11)</f>
        <v>0</v>
      </c>
      <c r="V11" s="997"/>
      <c r="W11" s="363"/>
      <c r="X11" s="224"/>
      <c r="Y11" s="976" t="str">
        <f t="shared" si="4"/>
        <v>510MF50</v>
      </c>
      <c r="Z11" s="938">
        <v>161211</v>
      </c>
      <c r="AA11" s="449">
        <v>0</v>
      </c>
      <c r="AB11" s="449">
        <v>0</v>
      </c>
      <c r="AC11" s="343">
        <v>0</v>
      </c>
      <c r="AD11" s="343">
        <v>0</v>
      </c>
      <c r="AE11" s="343"/>
      <c r="AF11" s="343">
        <v>0</v>
      </c>
      <c r="AG11" s="343">
        <v>0</v>
      </c>
      <c r="AH11" s="343">
        <v>0</v>
      </c>
      <c r="AI11" s="343">
        <v>0</v>
      </c>
      <c r="AJ11" s="343">
        <v>0</v>
      </c>
      <c r="AK11" s="343">
        <v>0</v>
      </c>
      <c r="AL11" s="343"/>
      <c r="AM11" s="343">
        <v>0</v>
      </c>
      <c r="AN11" s="343">
        <v>0</v>
      </c>
      <c r="AO11" s="343">
        <v>0</v>
      </c>
      <c r="AP11" s="343">
        <v>0</v>
      </c>
      <c r="AQ11" s="343">
        <v>0</v>
      </c>
      <c r="AR11" s="343">
        <v>0</v>
      </c>
      <c r="AS11" s="343"/>
      <c r="AT11" s="344">
        <v>0</v>
      </c>
      <c r="AU11" s="343">
        <v>0</v>
      </c>
      <c r="AV11" s="343">
        <v>0</v>
      </c>
      <c r="AW11" s="343">
        <v>0</v>
      </c>
      <c r="AX11" s="343">
        <v>0</v>
      </c>
      <c r="AY11" s="343">
        <v>0</v>
      </c>
      <c r="AZ11" s="343"/>
      <c r="BA11" s="343"/>
      <c r="BB11" s="343">
        <v>0</v>
      </c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146630</v>
      </c>
      <c r="T12" s="346">
        <f t="shared" si="3"/>
        <v>0</v>
      </c>
      <c r="U12" s="996">
        <f>IF(T12=0,0,P12/T12)</f>
        <v>0</v>
      </c>
      <c r="V12" s="997"/>
      <c r="W12" s="363"/>
      <c r="X12" s="224"/>
      <c r="Y12" s="976" t="str">
        <f t="shared" si="4"/>
        <v>510NF50</v>
      </c>
      <c r="Z12" s="938" t="s">
        <v>762</v>
      </c>
      <c r="AA12" s="449">
        <v>0</v>
      </c>
      <c r="AB12" s="449">
        <v>0</v>
      </c>
      <c r="AC12" s="343">
        <v>0</v>
      </c>
      <c r="AD12" s="343">
        <v>0</v>
      </c>
      <c r="AE12" s="343"/>
      <c r="AF12" s="343">
        <v>0</v>
      </c>
      <c r="AG12" s="343">
        <v>0</v>
      </c>
      <c r="AH12" s="343">
        <v>0</v>
      </c>
      <c r="AI12" s="343">
        <v>0</v>
      </c>
      <c r="AJ12" s="343">
        <v>0</v>
      </c>
      <c r="AK12" s="343">
        <v>0</v>
      </c>
      <c r="AL12" s="343"/>
      <c r="AM12" s="343">
        <v>0</v>
      </c>
      <c r="AN12" s="343">
        <v>0</v>
      </c>
      <c r="AO12" s="343">
        <v>0</v>
      </c>
      <c r="AP12" s="343">
        <v>0</v>
      </c>
      <c r="AQ12" s="343">
        <v>0</v>
      </c>
      <c r="AR12" s="343">
        <v>0</v>
      </c>
      <c r="AS12" s="343"/>
      <c r="AT12" s="344">
        <v>0</v>
      </c>
      <c r="AU12" s="343">
        <v>0</v>
      </c>
      <c r="AV12" s="343">
        <v>0</v>
      </c>
      <c r="AW12" s="343">
        <v>0</v>
      </c>
      <c r="AX12" s="343">
        <v>0</v>
      </c>
      <c r="AY12" s="343">
        <v>0</v>
      </c>
      <c r="AZ12" s="343"/>
      <c r="BA12" s="343"/>
      <c r="BB12" s="343">
        <v>0</v>
      </c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2311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9400</v>
      </c>
      <c r="S13" s="344">
        <f>SUM(Q57:Q60,Q70,Q75:Q78)</f>
        <v>146630</v>
      </c>
      <c r="T13" s="346">
        <f t="shared" si="3"/>
        <v>0</v>
      </c>
      <c r="U13" s="996">
        <f>IF(T13=0,0,P13/T13)</f>
        <v>0</v>
      </c>
      <c r="V13" s="997"/>
      <c r="W13" s="363"/>
      <c r="X13" s="224"/>
      <c r="Y13" s="976" t="str">
        <f t="shared" si="4"/>
        <v>510NFTL350</v>
      </c>
      <c r="Z13" s="938">
        <v>112591</v>
      </c>
      <c r="AA13" s="449">
        <v>0</v>
      </c>
      <c r="AB13" s="449">
        <v>0</v>
      </c>
      <c r="AC13" s="343">
        <v>0</v>
      </c>
      <c r="AD13" s="343">
        <v>0</v>
      </c>
      <c r="AE13" s="343"/>
      <c r="AF13" s="343">
        <v>0</v>
      </c>
      <c r="AG13" s="343">
        <v>0</v>
      </c>
      <c r="AH13" s="343">
        <v>0</v>
      </c>
      <c r="AI13" s="343">
        <v>0</v>
      </c>
      <c r="AJ13" s="343">
        <v>0</v>
      </c>
      <c r="AK13" s="343">
        <v>0</v>
      </c>
      <c r="AL13" s="343"/>
      <c r="AM13" s="343">
        <v>0</v>
      </c>
      <c r="AN13" s="343">
        <v>0</v>
      </c>
      <c r="AO13" s="343">
        <v>0</v>
      </c>
      <c r="AP13" s="343">
        <v>0</v>
      </c>
      <c r="AQ13" s="343">
        <v>0</v>
      </c>
      <c r="AR13" s="343">
        <v>0</v>
      </c>
      <c r="AS13" s="343"/>
      <c r="AT13" s="344">
        <v>0</v>
      </c>
      <c r="AU13" s="343">
        <v>0</v>
      </c>
      <c r="AV13" s="343">
        <v>0</v>
      </c>
      <c r="AW13" s="343">
        <v>0</v>
      </c>
      <c r="AX13" s="343">
        <v>0</v>
      </c>
      <c r="AY13" s="343">
        <v>0</v>
      </c>
      <c r="AZ13" s="343"/>
      <c r="BA13" s="343"/>
      <c r="BB13" s="343">
        <v>0</v>
      </c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96">
        <f>IF(T14=0,0,P14/T14)</f>
        <v>0</v>
      </c>
      <c r="V14" s="997"/>
      <c r="W14" s="363"/>
      <c r="X14" s="224"/>
      <c r="Y14" s="976" t="str">
        <f t="shared" si="4"/>
        <v>510NFTL3P1250</v>
      </c>
      <c r="Z14" s="938">
        <v>11259812</v>
      </c>
      <c r="AA14" s="449">
        <v>0</v>
      </c>
      <c r="AB14" s="449">
        <v>0</v>
      </c>
      <c r="AC14" s="343">
        <v>0</v>
      </c>
      <c r="AD14" s="343">
        <v>0</v>
      </c>
      <c r="AE14" s="343"/>
      <c r="AF14" s="343">
        <v>0</v>
      </c>
      <c r="AG14" s="343">
        <v>0</v>
      </c>
      <c r="AH14" s="343">
        <v>0</v>
      </c>
      <c r="AI14" s="343">
        <v>0</v>
      </c>
      <c r="AJ14" s="343">
        <v>0</v>
      </c>
      <c r="AK14" s="343">
        <v>0</v>
      </c>
      <c r="AL14" s="343"/>
      <c r="AM14" s="343">
        <v>0</v>
      </c>
      <c r="AN14" s="343">
        <v>0</v>
      </c>
      <c r="AO14" s="343">
        <v>0</v>
      </c>
      <c r="AP14" s="343">
        <v>0</v>
      </c>
      <c r="AQ14" s="343">
        <v>0</v>
      </c>
      <c r="AR14" s="343">
        <v>0</v>
      </c>
      <c r="AS14" s="343"/>
      <c r="AT14" s="344">
        <v>0</v>
      </c>
      <c r="AU14" s="343">
        <v>0</v>
      </c>
      <c r="AV14" s="343">
        <v>0</v>
      </c>
      <c r="AW14" s="343">
        <v>0</v>
      </c>
      <c r="AX14" s="343">
        <v>0</v>
      </c>
      <c r="AY14" s="343">
        <v>0</v>
      </c>
      <c r="AZ14" s="343"/>
      <c r="BA14" s="343"/>
      <c r="BB14" s="343">
        <v>0</v>
      </c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96">
        <f t="shared" ref="U15:U24" si="14">IF(T15=0,0,P15/T15)</f>
        <v>0</v>
      </c>
      <c r="V15" s="997"/>
      <c r="W15" s="363"/>
      <c r="X15" s="224"/>
      <c r="Y15" s="976" t="str">
        <f>B15&amp;D15</f>
        <v>510NFP1250</v>
      </c>
      <c r="Z15" s="938">
        <v>11252812</v>
      </c>
      <c r="AA15" s="449">
        <v>0</v>
      </c>
      <c r="AB15" s="449">
        <v>0</v>
      </c>
      <c r="AC15" s="343">
        <v>0</v>
      </c>
      <c r="AD15" s="343">
        <v>0</v>
      </c>
      <c r="AE15" s="343"/>
      <c r="AF15" s="343">
        <v>0</v>
      </c>
      <c r="AG15" s="343">
        <v>0</v>
      </c>
      <c r="AH15" s="343">
        <v>0</v>
      </c>
      <c r="AI15" s="343">
        <v>0</v>
      </c>
      <c r="AJ15" s="343">
        <v>0</v>
      </c>
      <c r="AK15" s="343">
        <v>0</v>
      </c>
      <c r="AL15" s="343"/>
      <c r="AM15" s="343">
        <v>0</v>
      </c>
      <c r="AN15" s="343">
        <v>0</v>
      </c>
      <c r="AO15" s="343">
        <v>0</v>
      </c>
      <c r="AP15" s="343">
        <v>0</v>
      </c>
      <c r="AQ15" s="343">
        <v>0</v>
      </c>
      <c r="AR15" s="343">
        <v>0</v>
      </c>
      <c r="AS15" s="343"/>
      <c r="AT15" s="344">
        <v>0</v>
      </c>
      <c r="AU15" s="343">
        <v>0</v>
      </c>
      <c r="AV15" s="343">
        <v>0</v>
      </c>
      <c r="AW15" s="343">
        <v>0</v>
      </c>
      <c r="AX15" s="343">
        <v>0</v>
      </c>
      <c r="AY15" s="343">
        <v>0</v>
      </c>
      <c r="AZ15" s="343"/>
      <c r="BA15" s="343"/>
      <c r="BB15" s="343">
        <v>0</v>
      </c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254400</v>
      </c>
      <c r="S16" s="344">
        <f>+SUM(Q10:Q102)-S13-S19</f>
        <v>495800</v>
      </c>
      <c r="T16" s="346">
        <f t="shared" si="3"/>
        <v>0</v>
      </c>
      <c r="U16" s="996">
        <f t="shared" si="14"/>
        <v>0</v>
      </c>
      <c r="V16" s="997"/>
      <c r="W16" s="363"/>
      <c r="X16" s="224"/>
      <c r="Y16" s="976" t="str">
        <f t="shared" si="4"/>
        <v>510NFP8750</v>
      </c>
      <c r="Z16" s="938">
        <v>11252887</v>
      </c>
      <c r="AA16" s="449">
        <v>0</v>
      </c>
      <c r="AB16" s="449">
        <v>0</v>
      </c>
      <c r="AC16" s="343">
        <v>0</v>
      </c>
      <c r="AD16" s="343">
        <v>0</v>
      </c>
      <c r="AE16" s="343"/>
      <c r="AF16" s="343">
        <v>0</v>
      </c>
      <c r="AG16" s="343">
        <v>0</v>
      </c>
      <c r="AH16" s="343">
        <v>0</v>
      </c>
      <c r="AI16" s="343">
        <v>0</v>
      </c>
      <c r="AJ16" s="343">
        <v>0</v>
      </c>
      <c r="AK16" s="343">
        <v>0</v>
      </c>
      <c r="AL16" s="343"/>
      <c r="AM16" s="343">
        <v>0</v>
      </c>
      <c r="AN16" s="343">
        <v>0</v>
      </c>
      <c r="AO16" s="343">
        <v>0</v>
      </c>
      <c r="AP16" s="343">
        <v>0</v>
      </c>
      <c r="AQ16" s="343">
        <v>0</v>
      </c>
      <c r="AR16" s="343">
        <v>0</v>
      </c>
      <c r="AS16" s="343"/>
      <c r="AT16" s="344">
        <v>0</v>
      </c>
      <c r="AU16" s="343">
        <v>0</v>
      </c>
      <c r="AV16" s="343">
        <v>0</v>
      </c>
      <c r="AW16" s="343">
        <v>0</v>
      </c>
      <c r="AX16" s="343">
        <v>0</v>
      </c>
      <c r="AY16" s="343">
        <v>0</v>
      </c>
      <c r="AZ16" s="343"/>
      <c r="BA16" s="343"/>
      <c r="BB16" s="343">
        <v>0</v>
      </c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377620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96">
        <f t="shared" si="14"/>
        <v>0</v>
      </c>
      <c r="V17" s="997"/>
      <c r="W17" s="363"/>
      <c r="X17" s="224"/>
      <c r="Y17" s="976" t="str">
        <f t="shared" si="4"/>
        <v>510NFP8850</v>
      </c>
      <c r="Z17" s="938">
        <v>11252888</v>
      </c>
      <c r="AA17" s="449">
        <v>0</v>
      </c>
      <c r="AB17" s="449">
        <v>0</v>
      </c>
      <c r="AC17" s="343">
        <v>0</v>
      </c>
      <c r="AD17" s="343">
        <v>0</v>
      </c>
      <c r="AE17" s="343"/>
      <c r="AF17" s="343">
        <v>0</v>
      </c>
      <c r="AG17" s="343">
        <v>0</v>
      </c>
      <c r="AH17" s="343">
        <v>0</v>
      </c>
      <c r="AI17" s="343">
        <v>0</v>
      </c>
      <c r="AJ17" s="343">
        <v>0</v>
      </c>
      <c r="AK17" s="343">
        <v>0</v>
      </c>
      <c r="AL17" s="343"/>
      <c r="AM17" s="343">
        <v>0</v>
      </c>
      <c r="AN17" s="343">
        <v>0</v>
      </c>
      <c r="AO17" s="343">
        <v>0</v>
      </c>
      <c r="AP17" s="343">
        <v>0</v>
      </c>
      <c r="AQ17" s="343">
        <v>0</v>
      </c>
      <c r="AR17" s="343">
        <v>0</v>
      </c>
      <c r="AS17" s="343"/>
      <c r="AT17" s="344">
        <v>0</v>
      </c>
      <c r="AU17" s="343">
        <v>0</v>
      </c>
      <c r="AV17" s="343">
        <v>0</v>
      </c>
      <c r="AW17" s="343">
        <v>0</v>
      </c>
      <c r="AX17" s="343">
        <v>0</v>
      </c>
      <c r="AY17" s="343">
        <v>0</v>
      </c>
      <c r="AZ17" s="343"/>
      <c r="BA17" s="343"/>
      <c r="BB17" s="343">
        <v>0</v>
      </c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2488</v>
      </c>
      <c r="S18" s="344"/>
      <c r="T18" s="346">
        <f t="shared" si="3"/>
        <v>0</v>
      </c>
      <c r="U18" s="996">
        <f t="shared" si="14"/>
        <v>0</v>
      </c>
      <c r="V18" s="997"/>
      <c r="W18" s="363"/>
      <c r="X18" s="224"/>
      <c r="Y18" s="976" t="str">
        <f t="shared" si="4"/>
        <v>510NFP9150</v>
      </c>
      <c r="Z18" s="938">
        <v>11252891</v>
      </c>
      <c r="AA18" s="449">
        <v>0</v>
      </c>
      <c r="AB18" s="449">
        <v>0</v>
      </c>
      <c r="AC18" s="343">
        <v>0</v>
      </c>
      <c r="AD18" s="343">
        <v>0</v>
      </c>
      <c r="AE18" s="343"/>
      <c r="AF18" s="343">
        <v>0</v>
      </c>
      <c r="AG18" s="343">
        <v>0</v>
      </c>
      <c r="AH18" s="343">
        <v>0</v>
      </c>
      <c r="AI18" s="343">
        <v>0</v>
      </c>
      <c r="AJ18" s="343">
        <v>0</v>
      </c>
      <c r="AK18" s="343">
        <v>0</v>
      </c>
      <c r="AL18" s="343"/>
      <c r="AM18" s="343">
        <v>0</v>
      </c>
      <c r="AN18" s="343">
        <v>0</v>
      </c>
      <c r="AO18" s="343">
        <v>0</v>
      </c>
      <c r="AP18" s="343">
        <v>0</v>
      </c>
      <c r="AQ18" s="343">
        <v>0</v>
      </c>
      <c r="AR18" s="343">
        <v>0</v>
      </c>
      <c r="AS18" s="343"/>
      <c r="AT18" s="344">
        <v>0</v>
      </c>
      <c r="AU18" s="343">
        <v>0</v>
      </c>
      <c r="AV18" s="343">
        <v>0</v>
      </c>
      <c r="AW18" s="343">
        <v>0</v>
      </c>
      <c r="AX18" s="343">
        <v>0</v>
      </c>
      <c r="AY18" s="343">
        <v>0</v>
      </c>
      <c r="AZ18" s="343"/>
      <c r="BA18" s="343"/>
      <c r="BB18" s="343">
        <v>0</v>
      </c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337200</v>
      </c>
      <c r="S19" s="344">
        <f>+SUM(Q11:Q34,Q44:Q45,Q56,Q61:Q63,Q65:Q66,Q68:Q69,Q71:Q74,Q79,Q82:Q95,Q102)</f>
        <v>2119840</v>
      </c>
      <c r="T19" s="346">
        <f t="shared" si="3"/>
        <v>0</v>
      </c>
      <c r="U19" s="996">
        <f t="shared" si="14"/>
        <v>0</v>
      </c>
      <c r="V19" s="997"/>
      <c r="W19" s="363"/>
      <c r="X19" s="224"/>
      <c r="Y19" s="976" t="str">
        <f t="shared" si="4"/>
        <v>510NFP8950</v>
      </c>
      <c r="Z19" s="938">
        <v>11252889</v>
      </c>
      <c r="AA19" s="449">
        <v>0</v>
      </c>
      <c r="AB19" s="449">
        <v>0</v>
      </c>
      <c r="AC19" s="343">
        <v>0</v>
      </c>
      <c r="AD19" s="343">
        <v>0</v>
      </c>
      <c r="AE19" s="343"/>
      <c r="AF19" s="343">
        <v>0</v>
      </c>
      <c r="AG19" s="343">
        <v>0</v>
      </c>
      <c r="AH19" s="343">
        <v>0</v>
      </c>
      <c r="AI19" s="343">
        <v>0</v>
      </c>
      <c r="AJ19" s="343">
        <v>0</v>
      </c>
      <c r="AK19" s="343">
        <v>0</v>
      </c>
      <c r="AL19" s="343"/>
      <c r="AM19" s="343">
        <v>0</v>
      </c>
      <c r="AN19" s="343">
        <v>0</v>
      </c>
      <c r="AO19" s="343">
        <v>0</v>
      </c>
      <c r="AP19" s="343">
        <v>0</v>
      </c>
      <c r="AQ19" s="343">
        <v>0</v>
      </c>
      <c r="AR19" s="343">
        <v>0</v>
      </c>
      <c r="AS19" s="343"/>
      <c r="AT19" s="344">
        <v>0</v>
      </c>
      <c r="AU19" s="343">
        <v>0</v>
      </c>
      <c r="AV19" s="343">
        <v>0</v>
      </c>
      <c r="AW19" s="343">
        <v>0</v>
      </c>
      <c r="AX19" s="343">
        <v>0</v>
      </c>
      <c r="AY19" s="343">
        <v>0</v>
      </c>
      <c r="AZ19" s="343"/>
      <c r="BA19" s="343"/>
      <c r="BB19" s="343">
        <v>0</v>
      </c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1019070</v>
      </c>
      <c r="BJ19" s="225" t="s">
        <v>1353</v>
      </c>
      <c r="BK19" s="436">
        <f>+BI17+BI23</f>
        <v>1743200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96">
        <f t="shared" si="14"/>
        <v>0</v>
      </c>
      <c r="V20" s="997"/>
      <c r="W20" s="363"/>
      <c r="X20" s="224"/>
      <c r="Y20" s="976" t="str">
        <f t="shared" si="4"/>
        <v>510NFP8550</v>
      </c>
      <c r="Z20" s="938">
        <v>11252885</v>
      </c>
      <c r="AA20" s="449">
        <v>0</v>
      </c>
      <c r="AB20" s="449">
        <v>0</v>
      </c>
      <c r="AC20" s="343">
        <v>0</v>
      </c>
      <c r="AD20" s="343">
        <v>0</v>
      </c>
      <c r="AE20" s="343"/>
      <c r="AF20" s="343">
        <v>0</v>
      </c>
      <c r="AG20" s="343">
        <v>0</v>
      </c>
      <c r="AH20" s="343">
        <v>0</v>
      </c>
      <c r="AI20" s="343">
        <v>0</v>
      </c>
      <c r="AJ20" s="343">
        <v>0</v>
      </c>
      <c r="AK20" s="343">
        <v>0</v>
      </c>
      <c r="AL20" s="343"/>
      <c r="AM20" s="343">
        <v>0</v>
      </c>
      <c r="AN20" s="343">
        <v>0</v>
      </c>
      <c r="AO20" s="343">
        <v>0</v>
      </c>
      <c r="AP20" s="343">
        <v>0</v>
      </c>
      <c r="AQ20" s="343">
        <v>0</v>
      </c>
      <c r="AR20" s="343">
        <v>0</v>
      </c>
      <c r="AS20" s="343"/>
      <c r="AT20" s="344">
        <v>0</v>
      </c>
      <c r="AU20" s="343">
        <v>0</v>
      </c>
      <c r="AV20" s="343">
        <v>0</v>
      </c>
      <c r="AW20" s="343">
        <v>0</v>
      </c>
      <c r="AX20" s="343">
        <v>0</v>
      </c>
      <c r="AY20" s="343">
        <v>0</v>
      </c>
      <c r="AZ20" s="343"/>
      <c r="BA20" s="343"/>
      <c r="BB20" s="343">
        <v>0</v>
      </c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1019070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1168</v>
      </c>
      <c r="F21" s="100">
        <f>SUMIF(pro!$A:$A,INTGRATE!$Y:$Y,pro!$N:$N)</f>
        <v>0</v>
      </c>
      <c r="G21" s="344"/>
      <c r="H21" s="344">
        <f>SUMIF(CBIN!$A:$A,INTGRATE!$Y:$Y,CBIN!$G:$G)</f>
        <v>0</v>
      </c>
      <c r="I21" s="343">
        <f>SUMIF(data!$D:$D,INTGRATE!$B21&amp;INTGRATE!$D21,data!$J:$J)</f>
        <v>180</v>
      </c>
      <c r="J21" s="343"/>
      <c r="K21" s="343"/>
      <c r="L21" s="343">
        <f>SUMIF(data!$D:$D,INTGRATE!$B21&amp;INTGRATE!$D21,data!$K:$K)</f>
        <v>9000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988</v>
      </c>
      <c r="P21" s="344">
        <f t="shared" si="1"/>
        <v>49400</v>
      </c>
      <c r="Q21" s="344">
        <f t="shared" si="2"/>
        <v>179400</v>
      </c>
      <c r="R21" s="344"/>
      <c r="S21" s="344"/>
      <c r="T21" s="346">
        <f t="shared" si="3"/>
        <v>7800</v>
      </c>
      <c r="U21" s="996">
        <f t="shared" si="14"/>
        <v>6.333333333333333</v>
      </c>
      <c r="V21" s="997"/>
      <c r="W21" s="409"/>
      <c r="X21" s="224"/>
      <c r="Y21" s="976" t="str">
        <f t="shared" si="4"/>
        <v>510NFP9250</v>
      </c>
      <c r="Z21" s="938">
        <v>11252892</v>
      </c>
      <c r="AA21" s="449">
        <v>0</v>
      </c>
      <c r="AB21" s="449">
        <v>0</v>
      </c>
      <c r="AC21" s="343">
        <v>0</v>
      </c>
      <c r="AD21" s="343">
        <v>7900</v>
      </c>
      <c r="AE21" s="343"/>
      <c r="AF21" s="343">
        <v>8750</v>
      </c>
      <c r="AG21" s="343">
        <v>40150</v>
      </c>
      <c r="AH21" s="343">
        <v>2300</v>
      </c>
      <c r="AI21" s="343">
        <v>5900</v>
      </c>
      <c r="AJ21" s="343">
        <v>4600</v>
      </c>
      <c r="AK21" s="343">
        <v>0</v>
      </c>
      <c r="AL21" s="343"/>
      <c r="AM21" s="343">
        <v>13050</v>
      </c>
      <c r="AN21" s="343">
        <v>9000</v>
      </c>
      <c r="AO21" s="343">
        <v>5350</v>
      </c>
      <c r="AP21" s="343">
        <v>14550</v>
      </c>
      <c r="AQ21" s="343">
        <v>1200</v>
      </c>
      <c r="AR21" s="343">
        <v>0</v>
      </c>
      <c r="AS21" s="343"/>
      <c r="AT21" s="344">
        <v>20950</v>
      </c>
      <c r="AU21" s="343">
        <v>4250</v>
      </c>
      <c r="AV21" s="343">
        <v>0</v>
      </c>
      <c r="AW21" s="343">
        <v>10700</v>
      </c>
      <c r="AX21" s="343">
        <v>0</v>
      </c>
      <c r="AY21" s="343">
        <v>21750</v>
      </c>
      <c r="AZ21" s="343"/>
      <c r="BA21" s="343"/>
      <c r="BB21" s="343">
        <v>9000</v>
      </c>
      <c r="BC21" s="343"/>
      <c r="BD21" s="343"/>
      <c r="BE21" s="343"/>
      <c r="BF21" s="222">
        <f t="shared" si="5"/>
        <v>179400</v>
      </c>
      <c r="BG21" s="896">
        <f t="shared" si="6"/>
        <v>16</v>
      </c>
      <c r="BH21" s="896">
        <f t="shared" si="7"/>
        <v>11212.5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96">
        <f t="shared" si="14"/>
        <v>0</v>
      </c>
      <c r="V22" s="997"/>
      <c r="W22" s="409"/>
      <c r="X22" s="224"/>
      <c r="Y22" s="976" t="str">
        <f t="shared" si="4"/>
        <v>511AF50</v>
      </c>
      <c r="Z22" s="938" t="s">
        <v>763</v>
      </c>
      <c r="AA22" s="449">
        <v>0</v>
      </c>
      <c r="AB22" s="449">
        <v>0</v>
      </c>
      <c r="AC22" s="343">
        <v>0</v>
      </c>
      <c r="AD22" s="343">
        <v>0</v>
      </c>
      <c r="AE22" s="343"/>
      <c r="AF22" s="343">
        <v>0</v>
      </c>
      <c r="AG22" s="343">
        <v>0</v>
      </c>
      <c r="AH22" s="343">
        <v>0</v>
      </c>
      <c r="AI22" s="343">
        <v>0</v>
      </c>
      <c r="AJ22" s="343">
        <v>0</v>
      </c>
      <c r="AK22" s="343">
        <v>0</v>
      </c>
      <c r="AL22" s="343"/>
      <c r="AM22" s="343">
        <v>0</v>
      </c>
      <c r="AN22" s="343">
        <v>0</v>
      </c>
      <c r="AO22" s="343">
        <v>0</v>
      </c>
      <c r="AP22" s="343">
        <v>0</v>
      </c>
      <c r="AQ22" s="343">
        <v>0</v>
      </c>
      <c r="AR22" s="343">
        <v>0</v>
      </c>
      <c r="AS22" s="343"/>
      <c r="AT22" s="344">
        <v>0</v>
      </c>
      <c r="AU22" s="343">
        <v>0</v>
      </c>
      <c r="AV22" s="343">
        <v>0</v>
      </c>
      <c r="AW22" s="343">
        <v>0</v>
      </c>
      <c r="AX22" s="343">
        <v>0</v>
      </c>
      <c r="AY22" s="343">
        <v>0</v>
      </c>
      <c r="AZ22" s="343"/>
      <c r="BA22" s="343"/>
      <c r="BB22" s="343">
        <v>0</v>
      </c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96">
        <f t="shared" si="14"/>
        <v>0</v>
      </c>
      <c r="V23" s="997"/>
      <c r="W23" s="363"/>
      <c r="X23" s="224"/>
      <c r="Y23" s="976" t="str">
        <f t="shared" si="4"/>
        <v>511ANF50</v>
      </c>
      <c r="Z23" s="938" t="s">
        <v>764</v>
      </c>
      <c r="AA23" s="449">
        <v>0</v>
      </c>
      <c r="AB23" s="449">
        <v>0</v>
      </c>
      <c r="AC23" s="343">
        <v>0</v>
      </c>
      <c r="AD23" s="343">
        <v>0</v>
      </c>
      <c r="AE23" s="343"/>
      <c r="AF23" s="343">
        <v>0</v>
      </c>
      <c r="AG23" s="343">
        <v>0</v>
      </c>
      <c r="AH23" s="343">
        <v>0</v>
      </c>
      <c r="AI23" s="343">
        <v>0</v>
      </c>
      <c r="AJ23" s="343">
        <v>0</v>
      </c>
      <c r="AK23" s="343">
        <v>0</v>
      </c>
      <c r="AL23" s="343"/>
      <c r="AM23" s="343">
        <v>0</v>
      </c>
      <c r="AN23" s="343">
        <v>0</v>
      </c>
      <c r="AO23" s="343">
        <v>0</v>
      </c>
      <c r="AP23" s="343">
        <v>0</v>
      </c>
      <c r="AQ23" s="343">
        <v>0</v>
      </c>
      <c r="AR23" s="343">
        <v>0</v>
      </c>
      <c r="AS23" s="343"/>
      <c r="AT23" s="344">
        <v>0</v>
      </c>
      <c r="AU23" s="343">
        <v>0</v>
      </c>
      <c r="AV23" s="343">
        <v>0</v>
      </c>
      <c r="AW23" s="343">
        <v>0</v>
      </c>
      <c r="AX23" s="343">
        <v>0</v>
      </c>
      <c r="AY23" s="343">
        <v>0</v>
      </c>
      <c r="AZ23" s="343"/>
      <c r="BA23" s="343"/>
      <c r="BB23" s="343">
        <v>0</v>
      </c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1743200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96">
        <f t="shared" si="14"/>
        <v>0</v>
      </c>
      <c r="V24" s="997"/>
      <c r="W24" s="363"/>
      <c r="X24" s="224"/>
      <c r="Y24" s="976" t="str">
        <f t="shared" si="4"/>
        <v>511ANFTL350</v>
      </c>
      <c r="Z24" s="938">
        <v>113591</v>
      </c>
      <c r="AA24" s="449">
        <v>0</v>
      </c>
      <c r="AB24" s="449">
        <v>0</v>
      </c>
      <c r="AC24" s="343">
        <v>0</v>
      </c>
      <c r="AD24" s="343">
        <v>0</v>
      </c>
      <c r="AE24" s="343"/>
      <c r="AF24" s="343">
        <v>0</v>
      </c>
      <c r="AG24" s="343">
        <v>0</v>
      </c>
      <c r="AH24" s="343">
        <v>0</v>
      </c>
      <c r="AI24" s="343">
        <v>0</v>
      </c>
      <c r="AJ24" s="343">
        <v>0</v>
      </c>
      <c r="AK24" s="343">
        <v>0</v>
      </c>
      <c r="AL24" s="343"/>
      <c r="AM24" s="343">
        <v>0</v>
      </c>
      <c r="AN24" s="343">
        <v>0</v>
      </c>
      <c r="AO24" s="343">
        <v>0</v>
      </c>
      <c r="AP24" s="343">
        <v>0</v>
      </c>
      <c r="AQ24" s="343">
        <v>0</v>
      </c>
      <c r="AR24" s="343">
        <v>0</v>
      </c>
      <c r="AS24" s="343"/>
      <c r="AT24" s="344">
        <v>0</v>
      </c>
      <c r="AU24" s="343">
        <v>0</v>
      </c>
      <c r="AV24" s="343">
        <v>0</v>
      </c>
      <c r="AW24" s="343">
        <v>0</v>
      </c>
      <c r="AX24" s="343">
        <v>0</v>
      </c>
      <c r="AY24" s="343">
        <v>0</v>
      </c>
      <c r="AZ24" s="343"/>
      <c r="BA24" s="343"/>
      <c r="BB24" s="343">
        <v>0</v>
      </c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96">
        <f>IF(T25=0,0,P25/T25)</f>
        <v>0</v>
      </c>
      <c r="V25" s="997"/>
      <c r="W25" s="363"/>
      <c r="X25" s="224"/>
      <c r="Y25" s="976" t="str">
        <f t="shared" si="4"/>
        <v>511ANFTL3P1250</v>
      </c>
      <c r="Z25" s="938">
        <v>11359812</v>
      </c>
      <c r="AA25" s="449">
        <v>0</v>
      </c>
      <c r="AB25" s="449">
        <v>0</v>
      </c>
      <c r="AC25" s="343">
        <v>0</v>
      </c>
      <c r="AD25" s="343">
        <v>0</v>
      </c>
      <c r="AE25" s="343"/>
      <c r="AF25" s="343">
        <v>0</v>
      </c>
      <c r="AG25" s="343">
        <v>0</v>
      </c>
      <c r="AH25" s="343">
        <v>0</v>
      </c>
      <c r="AI25" s="343">
        <v>0</v>
      </c>
      <c r="AJ25" s="343">
        <v>0</v>
      </c>
      <c r="AK25" s="343">
        <v>0</v>
      </c>
      <c r="AL25" s="343"/>
      <c r="AM25" s="343">
        <v>0</v>
      </c>
      <c r="AN25" s="343">
        <v>0</v>
      </c>
      <c r="AO25" s="343">
        <v>0</v>
      </c>
      <c r="AP25" s="343">
        <v>0</v>
      </c>
      <c r="AQ25" s="343">
        <v>0</v>
      </c>
      <c r="AR25" s="343">
        <v>0</v>
      </c>
      <c r="AS25" s="343"/>
      <c r="AT25" s="344">
        <v>0</v>
      </c>
      <c r="AU25" s="343">
        <v>0</v>
      </c>
      <c r="AV25" s="343">
        <v>0</v>
      </c>
      <c r="AW25" s="343">
        <v>0</v>
      </c>
      <c r="AX25" s="343">
        <v>0</v>
      </c>
      <c r="AY25" s="343">
        <v>0</v>
      </c>
      <c r="AZ25" s="343"/>
      <c r="BA25" s="343"/>
      <c r="BB25" s="343">
        <v>0</v>
      </c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96">
        <f t="shared" ref="U26:U35" si="16">IF(T26=0,0,P26/T26)</f>
        <v>0</v>
      </c>
      <c r="V26" s="997"/>
      <c r="W26" s="363"/>
      <c r="X26" s="224"/>
      <c r="Y26" s="976" t="str">
        <f t="shared" si="4"/>
        <v>511ANFP1250</v>
      </c>
      <c r="Z26" s="938">
        <v>11352812</v>
      </c>
      <c r="AA26" s="449">
        <v>0</v>
      </c>
      <c r="AB26" s="449">
        <v>0</v>
      </c>
      <c r="AC26" s="343">
        <v>0</v>
      </c>
      <c r="AD26" s="343">
        <v>0</v>
      </c>
      <c r="AE26" s="343"/>
      <c r="AF26" s="343">
        <v>0</v>
      </c>
      <c r="AG26" s="343">
        <v>0</v>
      </c>
      <c r="AH26" s="343">
        <v>0</v>
      </c>
      <c r="AI26" s="343">
        <v>0</v>
      </c>
      <c r="AJ26" s="343">
        <v>0</v>
      </c>
      <c r="AK26" s="343">
        <v>0</v>
      </c>
      <c r="AL26" s="343"/>
      <c r="AM26" s="343">
        <v>0</v>
      </c>
      <c r="AN26" s="343">
        <v>0</v>
      </c>
      <c r="AO26" s="343">
        <v>0</v>
      </c>
      <c r="AP26" s="343">
        <v>0</v>
      </c>
      <c r="AQ26" s="343">
        <v>0</v>
      </c>
      <c r="AR26" s="343">
        <v>0</v>
      </c>
      <c r="AS26" s="343"/>
      <c r="AT26" s="344">
        <v>0</v>
      </c>
      <c r="AU26" s="343">
        <v>0</v>
      </c>
      <c r="AV26" s="343">
        <v>0</v>
      </c>
      <c r="AW26" s="343">
        <v>0</v>
      </c>
      <c r="AX26" s="343">
        <v>0</v>
      </c>
      <c r="AY26" s="343">
        <v>0</v>
      </c>
      <c r="AZ26" s="343"/>
      <c r="BA26" s="343"/>
      <c r="BB26" s="343">
        <v>0</v>
      </c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641450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96">
        <f t="shared" si="16"/>
        <v>0</v>
      </c>
      <c r="V27" s="997"/>
      <c r="W27" s="363"/>
      <c r="X27" s="224"/>
      <c r="Y27" s="976" t="str">
        <f t="shared" si="4"/>
        <v>511ANFP3550</v>
      </c>
      <c r="Z27" s="938">
        <v>11352835</v>
      </c>
      <c r="AA27" s="449">
        <v>0</v>
      </c>
      <c r="AB27" s="449">
        <v>0</v>
      </c>
      <c r="AC27" s="343">
        <v>0</v>
      </c>
      <c r="AD27" s="343">
        <v>0</v>
      </c>
      <c r="AE27" s="343"/>
      <c r="AF27" s="343">
        <v>0</v>
      </c>
      <c r="AG27" s="343">
        <v>0</v>
      </c>
      <c r="AH27" s="343">
        <v>0</v>
      </c>
      <c r="AI27" s="343">
        <v>0</v>
      </c>
      <c r="AJ27" s="343">
        <v>0</v>
      </c>
      <c r="AK27" s="343">
        <v>0</v>
      </c>
      <c r="AL27" s="343"/>
      <c r="AM27" s="343">
        <v>0</v>
      </c>
      <c r="AN27" s="343">
        <v>0</v>
      </c>
      <c r="AO27" s="343">
        <v>0</v>
      </c>
      <c r="AP27" s="343">
        <v>0</v>
      </c>
      <c r="AQ27" s="343">
        <v>0</v>
      </c>
      <c r="AR27" s="343">
        <v>0</v>
      </c>
      <c r="AS27" s="343"/>
      <c r="AT27" s="344">
        <v>0</v>
      </c>
      <c r="AU27" s="343">
        <v>0</v>
      </c>
      <c r="AV27" s="343">
        <v>0</v>
      </c>
      <c r="AW27" s="343">
        <v>0</v>
      </c>
      <c r="AX27" s="343">
        <v>0</v>
      </c>
      <c r="AY27" s="343">
        <v>0</v>
      </c>
      <c r="AZ27" s="343"/>
      <c r="BA27" s="343"/>
      <c r="BB27" s="343">
        <v>0</v>
      </c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96">
        <f t="shared" si="16"/>
        <v>0</v>
      </c>
      <c r="V28" s="997"/>
      <c r="W28" s="363"/>
      <c r="X28" s="224"/>
      <c r="Y28" s="976" t="str">
        <f>B28&amp;D28</f>
        <v>511ANFP8150</v>
      </c>
      <c r="Z28" s="938">
        <v>11352881</v>
      </c>
      <c r="AA28" s="449">
        <v>0</v>
      </c>
      <c r="AB28" s="449">
        <v>0</v>
      </c>
      <c r="AC28" s="343">
        <v>0</v>
      </c>
      <c r="AD28" s="343">
        <v>0</v>
      </c>
      <c r="AE28" s="343"/>
      <c r="AF28" s="343">
        <v>0</v>
      </c>
      <c r="AG28" s="343">
        <v>0</v>
      </c>
      <c r="AH28" s="343">
        <v>0</v>
      </c>
      <c r="AI28" s="343">
        <v>0</v>
      </c>
      <c r="AJ28" s="343">
        <v>0</v>
      </c>
      <c r="AK28" s="343">
        <v>0</v>
      </c>
      <c r="AL28" s="343"/>
      <c r="AM28" s="343">
        <v>0</v>
      </c>
      <c r="AN28" s="343">
        <v>0</v>
      </c>
      <c r="AO28" s="343">
        <v>0</v>
      </c>
      <c r="AP28" s="343">
        <v>0</v>
      </c>
      <c r="AQ28" s="343">
        <v>0</v>
      </c>
      <c r="AR28" s="343">
        <v>0</v>
      </c>
      <c r="AS28" s="343"/>
      <c r="AT28" s="344">
        <v>0</v>
      </c>
      <c r="AU28" s="343">
        <v>0</v>
      </c>
      <c r="AV28" s="343">
        <v>0</v>
      </c>
      <c r="AW28" s="343">
        <v>0</v>
      </c>
      <c r="AX28" s="343">
        <v>0</v>
      </c>
      <c r="AY28" s="343">
        <v>0</v>
      </c>
      <c r="AZ28" s="343"/>
      <c r="BA28" s="343"/>
      <c r="BB28" s="343">
        <v>0</v>
      </c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96">
        <f t="shared" si="16"/>
        <v>0</v>
      </c>
      <c r="V29" s="997"/>
      <c r="W29" s="363"/>
      <c r="X29" s="224"/>
      <c r="Y29" s="976" t="str">
        <f t="shared" si="4"/>
        <v>511ANFP8750</v>
      </c>
      <c r="Z29" s="938">
        <v>11352887</v>
      </c>
      <c r="AA29" s="449">
        <v>0</v>
      </c>
      <c r="AB29" s="449">
        <v>0</v>
      </c>
      <c r="AC29" s="343">
        <v>0</v>
      </c>
      <c r="AD29" s="343">
        <v>0</v>
      </c>
      <c r="AE29" s="343"/>
      <c r="AF29" s="343">
        <v>0</v>
      </c>
      <c r="AG29" s="343">
        <v>0</v>
      </c>
      <c r="AH29" s="343">
        <v>0</v>
      </c>
      <c r="AI29" s="343">
        <v>0</v>
      </c>
      <c r="AJ29" s="343">
        <v>0</v>
      </c>
      <c r="AK29" s="343">
        <v>0</v>
      </c>
      <c r="AL29" s="343"/>
      <c r="AM29" s="343">
        <v>0</v>
      </c>
      <c r="AN29" s="343">
        <v>0</v>
      </c>
      <c r="AO29" s="343">
        <v>0</v>
      </c>
      <c r="AP29" s="343">
        <v>0</v>
      </c>
      <c r="AQ29" s="343">
        <v>0</v>
      </c>
      <c r="AR29" s="343">
        <v>0</v>
      </c>
      <c r="AS29" s="343"/>
      <c r="AT29" s="344">
        <v>0</v>
      </c>
      <c r="AU29" s="343">
        <v>0</v>
      </c>
      <c r="AV29" s="343">
        <v>0</v>
      </c>
      <c r="AW29" s="343">
        <v>0</v>
      </c>
      <c r="AX29" s="343">
        <v>0</v>
      </c>
      <c r="AY29" s="343">
        <v>0</v>
      </c>
      <c r="AZ29" s="343"/>
      <c r="BA29" s="343"/>
      <c r="BB29" s="343">
        <v>0</v>
      </c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96">
        <f t="shared" si="16"/>
        <v>0</v>
      </c>
      <c r="V30" s="997"/>
      <c r="W30" s="363"/>
      <c r="X30" s="224"/>
      <c r="Y30" s="976" t="str">
        <f t="shared" si="4"/>
        <v>511ANFP8850</v>
      </c>
      <c r="Z30" s="938">
        <v>11352888</v>
      </c>
      <c r="AA30" s="449">
        <v>0</v>
      </c>
      <c r="AB30" s="449">
        <v>0</v>
      </c>
      <c r="AC30" s="343">
        <v>0</v>
      </c>
      <c r="AD30" s="343">
        <v>0</v>
      </c>
      <c r="AE30" s="343"/>
      <c r="AF30" s="343">
        <v>0</v>
      </c>
      <c r="AG30" s="343">
        <v>0</v>
      </c>
      <c r="AH30" s="343">
        <v>0</v>
      </c>
      <c r="AI30" s="343">
        <v>0</v>
      </c>
      <c r="AJ30" s="343">
        <v>0</v>
      </c>
      <c r="AK30" s="343">
        <v>0</v>
      </c>
      <c r="AL30" s="343"/>
      <c r="AM30" s="343">
        <v>0</v>
      </c>
      <c r="AN30" s="343">
        <v>0</v>
      </c>
      <c r="AO30" s="343">
        <v>0</v>
      </c>
      <c r="AP30" s="343">
        <v>0</v>
      </c>
      <c r="AQ30" s="343">
        <v>0</v>
      </c>
      <c r="AR30" s="343">
        <v>0</v>
      </c>
      <c r="AS30" s="343"/>
      <c r="AT30" s="344">
        <v>0</v>
      </c>
      <c r="AU30" s="343">
        <v>0</v>
      </c>
      <c r="AV30" s="343">
        <v>0</v>
      </c>
      <c r="AW30" s="343">
        <v>0</v>
      </c>
      <c r="AX30" s="343">
        <v>0</v>
      </c>
      <c r="AY30" s="343">
        <v>0</v>
      </c>
      <c r="AZ30" s="343"/>
      <c r="BA30" s="343"/>
      <c r="BB30" s="343">
        <v>0</v>
      </c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96">
        <f t="shared" si="16"/>
        <v>0</v>
      </c>
      <c r="V31" s="997"/>
      <c r="W31" s="363"/>
      <c r="X31" s="224"/>
      <c r="Y31" s="976" t="str">
        <f t="shared" si="4"/>
        <v>511ANFP8950</v>
      </c>
      <c r="Z31" s="938">
        <v>11352889</v>
      </c>
      <c r="AA31" s="449">
        <v>0</v>
      </c>
      <c r="AB31" s="449">
        <v>0</v>
      </c>
      <c r="AC31" s="343">
        <v>0</v>
      </c>
      <c r="AD31" s="343">
        <v>0</v>
      </c>
      <c r="AE31" s="343"/>
      <c r="AF31" s="343">
        <v>0</v>
      </c>
      <c r="AG31" s="343">
        <v>0</v>
      </c>
      <c r="AH31" s="343">
        <v>0</v>
      </c>
      <c r="AI31" s="343">
        <v>0</v>
      </c>
      <c r="AJ31" s="343">
        <v>0</v>
      </c>
      <c r="AK31" s="343">
        <v>0</v>
      </c>
      <c r="AL31" s="343"/>
      <c r="AM31" s="343">
        <v>0</v>
      </c>
      <c r="AN31" s="343">
        <v>0</v>
      </c>
      <c r="AO31" s="343">
        <v>0</v>
      </c>
      <c r="AP31" s="343">
        <v>0</v>
      </c>
      <c r="AQ31" s="343">
        <v>0</v>
      </c>
      <c r="AR31" s="343">
        <v>0</v>
      </c>
      <c r="AS31" s="343"/>
      <c r="AT31" s="344">
        <v>0</v>
      </c>
      <c r="AU31" s="343">
        <v>0</v>
      </c>
      <c r="AV31" s="343">
        <v>0</v>
      </c>
      <c r="AW31" s="343">
        <v>0</v>
      </c>
      <c r="AX31" s="343">
        <v>0</v>
      </c>
      <c r="AY31" s="343">
        <v>0</v>
      </c>
      <c r="AZ31" s="343"/>
      <c r="BA31" s="343"/>
      <c r="BB31" s="343">
        <v>0</v>
      </c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96">
        <f t="shared" si="16"/>
        <v>0</v>
      </c>
      <c r="V32" s="997"/>
      <c r="W32" s="363"/>
      <c r="X32" s="224"/>
      <c r="Y32" s="976" t="str">
        <f>B32&amp;D32</f>
        <v>511ANFP9150</v>
      </c>
      <c r="Z32" s="938">
        <v>11352891</v>
      </c>
      <c r="AA32" s="449">
        <v>0</v>
      </c>
      <c r="AB32" s="449">
        <v>0</v>
      </c>
      <c r="AC32" s="343">
        <v>0</v>
      </c>
      <c r="AD32" s="343">
        <v>0</v>
      </c>
      <c r="AE32" s="343"/>
      <c r="AF32" s="343">
        <v>0</v>
      </c>
      <c r="AG32" s="343">
        <v>0</v>
      </c>
      <c r="AH32" s="343">
        <v>0</v>
      </c>
      <c r="AI32" s="343">
        <v>0</v>
      </c>
      <c r="AJ32" s="343">
        <v>0</v>
      </c>
      <c r="AK32" s="343">
        <v>0</v>
      </c>
      <c r="AL32" s="343"/>
      <c r="AM32" s="343">
        <v>0</v>
      </c>
      <c r="AN32" s="343">
        <v>0</v>
      </c>
      <c r="AO32" s="343">
        <v>0</v>
      </c>
      <c r="AP32" s="343">
        <v>0</v>
      </c>
      <c r="AQ32" s="343">
        <v>0</v>
      </c>
      <c r="AR32" s="343">
        <v>0</v>
      </c>
      <c r="AS32" s="343"/>
      <c r="AT32" s="344">
        <v>0</v>
      </c>
      <c r="AU32" s="343">
        <v>0</v>
      </c>
      <c r="AV32" s="343">
        <v>0</v>
      </c>
      <c r="AW32" s="343">
        <v>0</v>
      </c>
      <c r="AX32" s="343">
        <v>0</v>
      </c>
      <c r="AY32" s="343">
        <v>0</v>
      </c>
      <c r="AZ32" s="343"/>
      <c r="BA32" s="343"/>
      <c r="BB32" s="343">
        <v>0</v>
      </c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1074</v>
      </c>
      <c r="F33" s="100">
        <f>SUMIF(pro!$A:$A,INTGRATE!$Y:$Y,pro!$N:$N)</f>
        <v>0</v>
      </c>
      <c r="G33" s="344"/>
      <c r="H33" s="344">
        <f>SUMIF(CBIN!$A:$A,INTGRATE!$Y:$Y,CBIN!$G:$G)</f>
        <v>0</v>
      </c>
      <c r="I33" s="343">
        <f>SUMIF(data!$D:$D,INTGRATE!$B33&amp;INTGRATE!$D33,data!$J:$J)</f>
        <v>83</v>
      </c>
      <c r="J33" s="343"/>
      <c r="K33" s="343"/>
      <c r="L33" s="343">
        <f>SUMIF(data!$D:$D,INTGRATE!$B33&amp;INTGRATE!$D33,data!$K:$K)</f>
        <v>4150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991</v>
      </c>
      <c r="P33" s="344">
        <f t="shared" si="1"/>
        <v>49550</v>
      </c>
      <c r="Q33" s="344">
        <f>SUM(AA33:BE33)</f>
        <v>174300</v>
      </c>
      <c r="R33" s="344"/>
      <c r="S33" s="344"/>
      <c r="T33" s="346">
        <f t="shared" si="3"/>
        <v>7578.260869565217</v>
      </c>
      <c r="U33" s="996">
        <f t="shared" si="16"/>
        <v>6.5384394721744119</v>
      </c>
      <c r="V33" s="997"/>
      <c r="W33" s="363"/>
      <c r="X33" s="224"/>
      <c r="Y33" s="976" t="str">
        <f>B33&amp;D33</f>
        <v>511ANFP9250</v>
      </c>
      <c r="Z33" s="938">
        <v>11352892</v>
      </c>
      <c r="AA33" s="449">
        <v>0</v>
      </c>
      <c r="AB33" s="449">
        <v>21700</v>
      </c>
      <c r="AC33" s="343">
        <v>0</v>
      </c>
      <c r="AD33" s="343">
        <v>0</v>
      </c>
      <c r="AE33" s="343"/>
      <c r="AF33" s="343">
        <v>0</v>
      </c>
      <c r="AG33" s="343">
        <v>800</v>
      </c>
      <c r="AH33" s="343">
        <v>7100</v>
      </c>
      <c r="AI33" s="343">
        <v>7300</v>
      </c>
      <c r="AJ33" s="343">
        <v>3400</v>
      </c>
      <c r="AK33" s="343">
        <v>0</v>
      </c>
      <c r="AL33" s="343"/>
      <c r="AM33" s="343">
        <v>23350</v>
      </c>
      <c r="AN33" s="343">
        <v>0</v>
      </c>
      <c r="AO33" s="343">
        <v>11300</v>
      </c>
      <c r="AP33" s="343">
        <v>24500</v>
      </c>
      <c r="AQ33" s="343">
        <v>6050</v>
      </c>
      <c r="AR33" s="343">
        <v>6550</v>
      </c>
      <c r="AS33" s="343"/>
      <c r="AT33" s="344">
        <v>8750</v>
      </c>
      <c r="AU33" s="343">
        <v>11550</v>
      </c>
      <c r="AV33" s="343">
        <v>18700</v>
      </c>
      <c r="AW33" s="343">
        <v>12550</v>
      </c>
      <c r="AX33" s="343">
        <v>1600</v>
      </c>
      <c r="AY33" s="343">
        <v>4950</v>
      </c>
      <c r="AZ33" s="343"/>
      <c r="BA33" s="343"/>
      <c r="BB33" s="343">
        <v>4150</v>
      </c>
      <c r="BC33" s="343"/>
      <c r="BD33" s="343"/>
      <c r="BE33" s="343"/>
      <c r="BF33" s="222">
        <f t="shared" si="5"/>
        <v>174300</v>
      </c>
      <c r="BG33" s="896">
        <f t="shared" si="6"/>
        <v>17</v>
      </c>
      <c r="BH33" s="896">
        <f t="shared" si="7"/>
        <v>10252.941176470587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96">
        <f t="shared" si="16"/>
        <v>0</v>
      </c>
      <c r="V34" s="997"/>
      <c r="W34" s="363"/>
      <c r="X34" s="224"/>
      <c r="Y34" s="976" t="str">
        <f t="shared" si="4"/>
        <v>511ANFP8550</v>
      </c>
      <c r="Z34" s="938">
        <v>11352885</v>
      </c>
      <c r="AA34" s="449">
        <v>0</v>
      </c>
      <c r="AB34" s="449">
        <v>0</v>
      </c>
      <c r="AC34" s="343">
        <v>0</v>
      </c>
      <c r="AD34" s="343">
        <v>0</v>
      </c>
      <c r="AE34" s="343"/>
      <c r="AF34" s="343">
        <v>0</v>
      </c>
      <c r="AG34" s="343">
        <v>0</v>
      </c>
      <c r="AH34" s="343">
        <v>0</v>
      </c>
      <c r="AI34" s="343">
        <v>0</v>
      </c>
      <c r="AJ34" s="343">
        <v>0</v>
      </c>
      <c r="AK34" s="343">
        <v>0</v>
      </c>
      <c r="AL34" s="343"/>
      <c r="AM34" s="343">
        <v>0</v>
      </c>
      <c r="AN34" s="343">
        <v>0</v>
      </c>
      <c r="AO34" s="343">
        <v>0</v>
      </c>
      <c r="AP34" s="343">
        <v>0</v>
      </c>
      <c r="AQ34" s="343">
        <v>0</v>
      </c>
      <c r="AR34" s="343">
        <v>0</v>
      </c>
      <c r="AS34" s="343"/>
      <c r="AT34" s="344">
        <v>0</v>
      </c>
      <c r="AU34" s="343">
        <v>0</v>
      </c>
      <c r="AV34" s="343">
        <v>0</v>
      </c>
      <c r="AW34" s="343">
        <v>0</v>
      </c>
      <c r="AX34" s="343">
        <v>0</v>
      </c>
      <c r="AY34" s="343">
        <v>0</v>
      </c>
      <c r="AZ34" s="343"/>
      <c r="BA34" s="343"/>
      <c r="BB34" s="343">
        <v>0</v>
      </c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96">
        <f t="shared" si="16"/>
        <v>0</v>
      </c>
      <c r="V35" s="997"/>
      <c r="W35" s="363"/>
      <c r="X35" s="224"/>
      <c r="Y35" s="976" t="str">
        <f t="shared" si="4"/>
        <v>511F50</v>
      </c>
      <c r="Z35" s="938" t="s">
        <v>765</v>
      </c>
      <c r="AA35" s="449">
        <v>0</v>
      </c>
      <c r="AB35" s="449">
        <v>0</v>
      </c>
      <c r="AC35" s="343">
        <v>0</v>
      </c>
      <c r="AD35" s="343">
        <v>0</v>
      </c>
      <c r="AE35" s="343"/>
      <c r="AF35" s="343">
        <v>0</v>
      </c>
      <c r="AG35" s="343">
        <v>0</v>
      </c>
      <c r="AH35" s="343">
        <v>0</v>
      </c>
      <c r="AI35" s="343">
        <v>0</v>
      </c>
      <c r="AJ35" s="343">
        <v>0</v>
      </c>
      <c r="AK35" s="343">
        <v>0</v>
      </c>
      <c r="AL35" s="343"/>
      <c r="AM35" s="343">
        <v>0</v>
      </c>
      <c r="AN35" s="343">
        <v>0</v>
      </c>
      <c r="AO35" s="343">
        <v>0</v>
      </c>
      <c r="AP35" s="343">
        <v>0</v>
      </c>
      <c r="AQ35" s="343">
        <v>0</v>
      </c>
      <c r="AR35" s="343">
        <v>0</v>
      </c>
      <c r="AS35" s="343"/>
      <c r="AT35" s="344">
        <v>0</v>
      </c>
      <c r="AU35" s="343">
        <v>0</v>
      </c>
      <c r="AV35" s="343">
        <v>0</v>
      </c>
      <c r="AW35" s="343">
        <v>0</v>
      </c>
      <c r="AX35" s="343">
        <v>0</v>
      </c>
      <c r="AY35" s="343">
        <v>0</v>
      </c>
      <c r="AZ35" s="343"/>
      <c r="BA35" s="343"/>
      <c r="BB35" s="343">
        <v>0</v>
      </c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1900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1900</v>
      </c>
      <c r="P36" s="344">
        <f t="shared" si="1"/>
        <v>95000</v>
      </c>
      <c r="Q36" s="344">
        <f t="shared" si="18"/>
        <v>251850</v>
      </c>
      <c r="R36" s="344"/>
      <c r="S36" s="344"/>
      <c r="T36" s="346">
        <f t="shared" si="3"/>
        <v>10950</v>
      </c>
      <c r="U36" s="996">
        <f t="shared" ref="U36:U61" si="19">IF(T36=0,0,P36/T36)</f>
        <v>8.6757990867579906</v>
      </c>
      <c r="V36" s="997"/>
      <c r="W36" s="409"/>
      <c r="X36" s="224"/>
      <c r="Y36" s="976" t="str">
        <f t="shared" ref="Y36:Y97" si="20">B36&amp;D36</f>
        <v>511NF50</v>
      </c>
      <c r="Z36" s="938" t="s">
        <v>766</v>
      </c>
      <c r="AA36" s="449">
        <v>0</v>
      </c>
      <c r="AB36" s="449">
        <v>0</v>
      </c>
      <c r="AC36" s="343">
        <v>0</v>
      </c>
      <c r="AD36" s="343">
        <v>0</v>
      </c>
      <c r="AE36" s="343"/>
      <c r="AF36" s="343">
        <v>29250</v>
      </c>
      <c r="AG36" s="343">
        <v>49600</v>
      </c>
      <c r="AH36" s="343">
        <v>20950</v>
      </c>
      <c r="AI36" s="343">
        <v>10650</v>
      </c>
      <c r="AJ36" s="343">
        <v>35000</v>
      </c>
      <c r="AK36" s="343">
        <v>16000</v>
      </c>
      <c r="AL36" s="343"/>
      <c r="AM36" s="343">
        <v>0</v>
      </c>
      <c r="AN36" s="343">
        <v>0</v>
      </c>
      <c r="AO36" s="343">
        <v>0</v>
      </c>
      <c r="AP36" s="343">
        <v>0</v>
      </c>
      <c r="AQ36" s="343">
        <v>0</v>
      </c>
      <c r="AR36" s="343">
        <v>800</v>
      </c>
      <c r="AS36" s="343"/>
      <c r="AT36" s="344">
        <v>16000</v>
      </c>
      <c r="AU36" s="343">
        <v>8000</v>
      </c>
      <c r="AV36" s="343">
        <v>9200</v>
      </c>
      <c r="AW36" s="343">
        <v>5650</v>
      </c>
      <c r="AX36" s="343">
        <v>31050</v>
      </c>
      <c r="AY36" s="343">
        <v>19700</v>
      </c>
      <c r="AZ36" s="343"/>
      <c r="BA36" s="343"/>
      <c r="BB36" s="343">
        <v>0</v>
      </c>
      <c r="BC36" s="343"/>
      <c r="BD36" s="343"/>
      <c r="BE36" s="343"/>
      <c r="BF36" s="222">
        <f t="shared" si="5"/>
        <v>251850</v>
      </c>
      <c r="BG36" s="896">
        <f t="shared" si="6"/>
        <v>13</v>
      </c>
      <c r="BH36" s="896">
        <f t="shared" si="7"/>
        <v>19373.076923076922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96">
        <f>IF(T37=0,0,P37/T37)</f>
        <v>0</v>
      </c>
      <c r="V37" s="997"/>
      <c r="W37" s="409"/>
      <c r="X37" s="224"/>
      <c r="Y37" s="976" t="str">
        <f t="shared" si="20"/>
        <v>511NFTL350</v>
      </c>
      <c r="Z37" s="938">
        <v>114591</v>
      </c>
      <c r="AA37" s="449">
        <v>0</v>
      </c>
      <c r="AB37" s="449">
        <v>0</v>
      </c>
      <c r="AC37" s="343">
        <v>0</v>
      </c>
      <c r="AD37" s="343">
        <v>0</v>
      </c>
      <c r="AE37" s="343"/>
      <c r="AF37" s="343">
        <v>0</v>
      </c>
      <c r="AG37" s="343">
        <v>0</v>
      </c>
      <c r="AH37" s="343">
        <v>0</v>
      </c>
      <c r="AI37" s="343">
        <v>0</v>
      </c>
      <c r="AJ37" s="343">
        <v>0</v>
      </c>
      <c r="AK37" s="343">
        <v>0</v>
      </c>
      <c r="AL37" s="343"/>
      <c r="AM37" s="343">
        <v>0</v>
      </c>
      <c r="AN37" s="343">
        <v>0</v>
      </c>
      <c r="AO37" s="343">
        <v>0</v>
      </c>
      <c r="AP37" s="343">
        <v>0</v>
      </c>
      <c r="AQ37" s="343">
        <v>0</v>
      </c>
      <c r="AR37" s="343">
        <v>0</v>
      </c>
      <c r="AS37" s="343"/>
      <c r="AT37" s="344">
        <v>0</v>
      </c>
      <c r="AU37" s="343">
        <v>0</v>
      </c>
      <c r="AV37" s="343">
        <v>0</v>
      </c>
      <c r="AW37" s="343">
        <v>0</v>
      </c>
      <c r="AX37" s="343">
        <v>0</v>
      </c>
      <c r="AY37" s="343">
        <v>0</v>
      </c>
      <c r="AZ37" s="343"/>
      <c r="BA37" s="343"/>
      <c r="BB37" s="343">
        <v>0</v>
      </c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96">
        <f>IF(T38=0,0,P38/T38)</f>
        <v>0</v>
      </c>
      <c r="V38" s="997"/>
      <c r="W38" s="409"/>
      <c r="X38" s="224"/>
      <c r="Y38" s="976" t="str">
        <f t="shared" si="20"/>
        <v>511NFP3150</v>
      </c>
      <c r="Z38" s="938">
        <v>11452831</v>
      </c>
      <c r="AA38" s="449">
        <v>0</v>
      </c>
      <c r="AB38" s="449">
        <v>0</v>
      </c>
      <c r="AC38" s="343">
        <v>0</v>
      </c>
      <c r="AD38" s="343">
        <v>0</v>
      </c>
      <c r="AE38" s="343"/>
      <c r="AF38" s="343">
        <v>0</v>
      </c>
      <c r="AG38" s="343">
        <v>0</v>
      </c>
      <c r="AH38" s="343">
        <v>0</v>
      </c>
      <c r="AI38" s="343">
        <v>0</v>
      </c>
      <c r="AJ38" s="343">
        <v>0</v>
      </c>
      <c r="AK38" s="343">
        <v>0</v>
      </c>
      <c r="AL38" s="343"/>
      <c r="AM38" s="343">
        <v>0</v>
      </c>
      <c r="AN38" s="343">
        <v>0</v>
      </c>
      <c r="AO38" s="343">
        <v>0</v>
      </c>
      <c r="AP38" s="343">
        <v>0</v>
      </c>
      <c r="AQ38" s="343">
        <v>0</v>
      </c>
      <c r="AR38" s="343">
        <v>0</v>
      </c>
      <c r="AS38" s="343"/>
      <c r="AT38" s="344">
        <v>0</v>
      </c>
      <c r="AU38" s="343">
        <v>0</v>
      </c>
      <c r="AV38" s="343">
        <v>0</v>
      </c>
      <c r="AW38" s="343">
        <v>0</v>
      </c>
      <c r="AX38" s="343">
        <v>0</v>
      </c>
      <c r="AY38" s="343">
        <v>0</v>
      </c>
      <c r="AZ38" s="343"/>
      <c r="BA38" s="343"/>
      <c r="BB38" s="343">
        <v>0</v>
      </c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96">
        <f>IF(T39=0,0,P39/T39)</f>
        <v>0</v>
      </c>
      <c r="V39" s="997"/>
      <c r="W39" s="409"/>
      <c r="X39" s="224"/>
      <c r="Y39" s="976" t="str">
        <f>B39&amp;D39</f>
        <v>511NFP3250</v>
      </c>
      <c r="Z39" s="938">
        <v>11452832</v>
      </c>
      <c r="AA39" s="449">
        <v>0</v>
      </c>
      <c r="AB39" s="449">
        <v>0</v>
      </c>
      <c r="AC39" s="343">
        <v>0</v>
      </c>
      <c r="AD39" s="343">
        <v>0</v>
      </c>
      <c r="AE39" s="343"/>
      <c r="AF39" s="343">
        <v>0</v>
      </c>
      <c r="AG39" s="343">
        <v>0</v>
      </c>
      <c r="AH39" s="343">
        <v>0</v>
      </c>
      <c r="AI39" s="343">
        <v>0</v>
      </c>
      <c r="AJ39" s="343">
        <v>0</v>
      </c>
      <c r="AK39" s="343">
        <v>0</v>
      </c>
      <c r="AL39" s="343"/>
      <c r="AM39" s="343">
        <v>0</v>
      </c>
      <c r="AN39" s="343">
        <v>0</v>
      </c>
      <c r="AO39" s="343">
        <v>0</v>
      </c>
      <c r="AP39" s="343">
        <v>0</v>
      </c>
      <c r="AQ39" s="343">
        <v>0</v>
      </c>
      <c r="AR39" s="343">
        <v>0</v>
      </c>
      <c r="AS39" s="343"/>
      <c r="AT39" s="344">
        <v>0</v>
      </c>
      <c r="AU39" s="343">
        <v>0</v>
      </c>
      <c r="AV39" s="343">
        <v>0</v>
      </c>
      <c r="AW39" s="343">
        <v>0</v>
      </c>
      <c r="AX39" s="343">
        <v>0</v>
      </c>
      <c r="AY39" s="343">
        <v>0</v>
      </c>
      <c r="AZ39" s="343"/>
      <c r="BA39" s="343"/>
      <c r="BB39" s="343">
        <v>0</v>
      </c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96">
        <f t="shared" si="19"/>
        <v>0</v>
      </c>
      <c r="V40" s="997"/>
      <c r="W40" s="363"/>
      <c r="X40" s="224"/>
      <c r="Y40" s="976" t="str">
        <f>B40&amp;D40</f>
        <v>511NFP3350</v>
      </c>
      <c r="Z40" s="938">
        <v>11452833</v>
      </c>
      <c r="AA40" s="449">
        <v>0</v>
      </c>
      <c r="AB40" s="449">
        <v>0</v>
      </c>
      <c r="AC40" s="343">
        <v>0</v>
      </c>
      <c r="AD40" s="343">
        <v>0</v>
      </c>
      <c r="AE40" s="343"/>
      <c r="AF40" s="343">
        <v>0</v>
      </c>
      <c r="AG40" s="343">
        <v>0</v>
      </c>
      <c r="AH40" s="343">
        <v>0</v>
      </c>
      <c r="AI40" s="343">
        <v>0</v>
      </c>
      <c r="AJ40" s="343">
        <v>0</v>
      </c>
      <c r="AK40" s="343">
        <v>0</v>
      </c>
      <c r="AL40" s="343"/>
      <c r="AM40" s="343">
        <v>0</v>
      </c>
      <c r="AN40" s="343">
        <v>0</v>
      </c>
      <c r="AO40" s="343">
        <v>0</v>
      </c>
      <c r="AP40" s="343">
        <v>0</v>
      </c>
      <c r="AQ40" s="343">
        <v>0</v>
      </c>
      <c r="AR40" s="343">
        <v>0</v>
      </c>
      <c r="AS40" s="343"/>
      <c r="AT40" s="344">
        <v>0</v>
      </c>
      <c r="AU40" s="343">
        <v>0</v>
      </c>
      <c r="AV40" s="343">
        <v>0</v>
      </c>
      <c r="AW40" s="343">
        <v>0</v>
      </c>
      <c r="AX40" s="343">
        <v>0</v>
      </c>
      <c r="AY40" s="343">
        <v>0</v>
      </c>
      <c r="AZ40" s="343"/>
      <c r="BA40" s="343"/>
      <c r="BB40" s="343">
        <v>0</v>
      </c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1223</v>
      </c>
      <c r="F41" s="100">
        <f>SUMIF(pro!$A:$A,INTGRATE!$Y:$Y,pro!$N:$N)</f>
        <v>2533</v>
      </c>
      <c r="G41" s="344"/>
      <c r="H41" s="344">
        <f>SUMIF(CBIN!$A:$A,INTGRATE!$Y:$Y,CBIN!$G:$G)</f>
        <v>0</v>
      </c>
      <c r="I41" s="343">
        <f>SUMIF(data!$D:$D,INTGRATE!$B41&amp;INTGRATE!$D41,data!$J:$J)</f>
        <v>568</v>
      </c>
      <c r="J41" s="343"/>
      <c r="K41" s="343"/>
      <c r="L41" s="343">
        <f>SUMIF(data!$D:$D,INTGRATE!$B41&amp;INTGRATE!$D41,data!$K:$K)</f>
        <v>28400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3188</v>
      </c>
      <c r="P41" s="344">
        <f t="shared" si="1"/>
        <v>159400</v>
      </c>
      <c r="Q41" s="344">
        <f t="shared" si="18"/>
        <v>243950</v>
      </c>
      <c r="R41" s="344"/>
      <c r="S41" s="344"/>
      <c r="T41" s="346">
        <f t="shared" si="3"/>
        <v>10606.521739130434</v>
      </c>
      <c r="U41" s="996">
        <f t="shared" si="19"/>
        <v>15.028489444558312</v>
      </c>
      <c r="V41" s="997"/>
      <c r="W41" s="363"/>
      <c r="X41" s="224"/>
      <c r="Y41" s="976" t="str">
        <f t="shared" si="20"/>
        <v>511NFP3550</v>
      </c>
      <c r="Z41" s="938">
        <v>11452835</v>
      </c>
      <c r="AA41" s="449">
        <v>7950</v>
      </c>
      <c r="AB41" s="449">
        <v>31900</v>
      </c>
      <c r="AC41" s="343">
        <v>7900</v>
      </c>
      <c r="AD41" s="343">
        <v>35850</v>
      </c>
      <c r="AE41" s="343"/>
      <c r="AF41" s="343">
        <v>0</v>
      </c>
      <c r="AG41" s="343">
        <v>0</v>
      </c>
      <c r="AH41" s="343">
        <v>0</v>
      </c>
      <c r="AI41" s="343">
        <v>0</v>
      </c>
      <c r="AJ41" s="343">
        <v>0</v>
      </c>
      <c r="AK41" s="343">
        <v>0</v>
      </c>
      <c r="AL41" s="343"/>
      <c r="AM41" s="343">
        <v>37200</v>
      </c>
      <c r="AN41" s="343">
        <v>22450</v>
      </c>
      <c r="AO41" s="343">
        <v>39100</v>
      </c>
      <c r="AP41" s="343">
        <v>8000</v>
      </c>
      <c r="AQ41" s="343">
        <v>0</v>
      </c>
      <c r="AR41" s="343">
        <v>25200</v>
      </c>
      <c r="AS41" s="343"/>
      <c r="AT41" s="344">
        <v>0</v>
      </c>
      <c r="AU41" s="343">
        <v>0</v>
      </c>
      <c r="AV41" s="343">
        <v>0</v>
      </c>
      <c r="AW41" s="343">
        <v>0</v>
      </c>
      <c r="AX41" s="343">
        <v>0</v>
      </c>
      <c r="AY41" s="343">
        <v>0</v>
      </c>
      <c r="AZ41" s="343"/>
      <c r="BA41" s="343"/>
      <c r="BB41" s="343">
        <v>28400</v>
      </c>
      <c r="BC41" s="343"/>
      <c r="BD41" s="343"/>
      <c r="BE41" s="343"/>
      <c r="BF41" s="222">
        <f t="shared" si="5"/>
        <v>243950</v>
      </c>
      <c r="BG41" s="896">
        <f t="shared" si="6"/>
        <v>10</v>
      </c>
      <c r="BH41" s="896">
        <f t="shared" si="7"/>
        <v>24395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96">
        <f t="shared" si="19"/>
        <v>0</v>
      </c>
      <c r="V42" s="997"/>
      <c r="W42" s="363"/>
      <c r="X42" s="224"/>
      <c r="Y42" s="976" t="str">
        <f t="shared" si="20"/>
        <v>511NFP8550</v>
      </c>
      <c r="Z42" s="938">
        <v>11452885</v>
      </c>
      <c r="AA42" s="449">
        <v>0</v>
      </c>
      <c r="AB42" s="449">
        <v>0</v>
      </c>
      <c r="AC42" s="343">
        <v>0</v>
      </c>
      <c r="AD42" s="343">
        <v>0</v>
      </c>
      <c r="AE42" s="343"/>
      <c r="AF42" s="343">
        <v>0</v>
      </c>
      <c r="AG42" s="343">
        <v>0</v>
      </c>
      <c r="AH42" s="343">
        <v>0</v>
      </c>
      <c r="AI42" s="343">
        <v>0</v>
      </c>
      <c r="AJ42" s="343">
        <v>0</v>
      </c>
      <c r="AK42" s="343">
        <v>0</v>
      </c>
      <c r="AL42" s="343"/>
      <c r="AM42" s="343">
        <v>0</v>
      </c>
      <c r="AN42" s="343">
        <v>0</v>
      </c>
      <c r="AO42" s="343">
        <v>0</v>
      </c>
      <c r="AP42" s="343">
        <v>0</v>
      </c>
      <c r="AQ42" s="343">
        <v>0</v>
      </c>
      <c r="AR42" s="343">
        <v>0</v>
      </c>
      <c r="AS42" s="343"/>
      <c r="AT42" s="344">
        <v>0</v>
      </c>
      <c r="AU42" s="343">
        <v>0</v>
      </c>
      <c r="AV42" s="343">
        <v>0</v>
      </c>
      <c r="AW42" s="343">
        <v>0</v>
      </c>
      <c r="AX42" s="343">
        <v>0</v>
      </c>
      <c r="AY42" s="343">
        <v>0</v>
      </c>
      <c r="AZ42" s="343"/>
      <c r="BA42" s="343"/>
      <c r="BB42" s="343">
        <v>0</v>
      </c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96">
        <f>IF(T43=0,0,P43/T43)</f>
        <v>0</v>
      </c>
      <c r="V43" s="997"/>
      <c r="W43" s="363"/>
      <c r="X43" s="224"/>
      <c r="Y43" s="976" t="str">
        <f>B43&amp;D43</f>
        <v>511NFP8750</v>
      </c>
      <c r="Z43" s="938">
        <v>11452887</v>
      </c>
      <c r="AA43" s="449">
        <v>0</v>
      </c>
      <c r="AB43" s="449">
        <v>0</v>
      </c>
      <c r="AC43" s="343">
        <v>0</v>
      </c>
      <c r="AD43" s="343">
        <v>0</v>
      </c>
      <c r="AE43" s="343"/>
      <c r="AF43" s="343">
        <v>0</v>
      </c>
      <c r="AG43" s="343">
        <v>0</v>
      </c>
      <c r="AH43" s="343">
        <v>0</v>
      </c>
      <c r="AI43" s="343">
        <v>0</v>
      </c>
      <c r="AJ43" s="343">
        <v>0</v>
      </c>
      <c r="AK43" s="343">
        <v>0</v>
      </c>
      <c r="AL43" s="343"/>
      <c r="AM43" s="343">
        <v>0</v>
      </c>
      <c r="AN43" s="343">
        <v>0</v>
      </c>
      <c r="AO43" s="343">
        <v>0</v>
      </c>
      <c r="AP43" s="343">
        <v>0</v>
      </c>
      <c r="AQ43" s="343">
        <v>0</v>
      </c>
      <c r="AR43" s="343">
        <v>0</v>
      </c>
      <c r="AS43" s="343"/>
      <c r="AT43" s="344">
        <v>0</v>
      </c>
      <c r="AU43" s="343">
        <v>0</v>
      </c>
      <c r="AV43" s="343">
        <v>0</v>
      </c>
      <c r="AW43" s="343">
        <v>0</v>
      </c>
      <c r="AX43" s="343">
        <v>0</v>
      </c>
      <c r="AY43" s="343">
        <v>0</v>
      </c>
      <c r="AZ43" s="343"/>
      <c r="BA43" s="343"/>
      <c r="BB43" s="343">
        <v>0</v>
      </c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96">
        <f>IF(T44=0,0,P44/T44)</f>
        <v>0</v>
      </c>
      <c r="V44" s="997"/>
      <c r="W44" s="363"/>
      <c r="X44" s="224"/>
      <c r="Y44" s="976" t="str">
        <f>B44&amp;D44</f>
        <v>513FTL350</v>
      </c>
      <c r="Z44" s="938">
        <v>115591</v>
      </c>
      <c r="AA44" s="449">
        <v>0</v>
      </c>
      <c r="AB44" s="449">
        <v>0</v>
      </c>
      <c r="AC44" s="343">
        <v>0</v>
      </c>
      <c r="AD44" s="343">
        <v>0</v>
      </c>
      <c r="AE44" s="343"/>
      <c r="AF44" s="343">
        <v>0</v>
      </c>
      <c r="AG44" s="343">
        <v>0</v>
      </c>
      <c r="AH44" s="343">
        <v>0</v>
      </c>
      <c r="AI44" s="343">
        <v>0</v>
      </c>
      <c r="AJ44" s="343">
        <v>0</v>
      </c>
      <c r="AK44" s="343">
        <v>0</v>
      </c>
      <c r="AL44" s="343"/>
      <c r="AM44" s="343">
        <v>0</v>
      </c>
      <c r="AN44" s="343">
        <v>0</v>
      </c>
      <c r="AO44" s="343">
        <v>0</v>
      </c>
      <c r="AP44" s="343">
        <v>0</v>
      </c>
      <c r="AQ44" s="343">
        <v>0</v>
      </c>
      <c r="AR44" s="343">
        <v>0</v>
      </c>
      <c r="AS44" s="343"/>
      <c r="AT44" s="344">
        <v>0</v>
      </c>
      <c r="AU44" s="343">
        <v>0</v>
      </c>
      <c r="AV44" s="343">
        <v>0</v>
      </c>
      <c r="AW44" s="343">
        <v>0</v>
      </c>
      <c r="AX44" s="343">
        <v>0</v>
      </c>
      <c r="AY44" s="343">
        <v>0</v>
      </c>
      <c r="AZ44" s="343"/>
      <c r="BA44" s="343"/>
      <c r="BB44" s="343">
        <v>0</v>
      </c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1609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392</v>
      </c>
      <c r="J45" s="343"/>
      <c r="K45" s="343"/>
      <c r="L45" s="343">
        <f>SUMIF(data!$D:$D,INTGRATE!$B45&amp;INTGRATE!$D45,data!$K:$K)</f>
        <v>19600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1217</v>
      </c>
      <c r="P45" s="344">
        <f t="shared" si="1"/>
        <v>60850</v>
      </c>
      <c r="Q45" s="344">
        <f t="shared" si="18"/>
        <v>893700</v>
      </c>
      <c r="R45" s="344"/>
      <c r="S45" s="344"/>
      <c r="T45" s="346">
        <f t="shared" si="21"/>
        <v>38856.521739130432</v>
      </c>
      <c r="U45" s="996">
        <f t="shared" si="19"/>
        <v>1.5660176793107308</v>
      </c>
      <c r="V45" s="997"/>
      <c r="W45" s="612"/>
      <c r="X45" s="613"/>
      <c r="Y45" s="976" t="str">
        <f t="shared" si="20"/>
        <v>513F50</v>
      </c>
      <c r="Z45" s="938" t="s">
        <v>767</v>
      </c>
      <c r="AA45" s="449">
        <v>66050</v>
      </c>
      <c r="AB45" s="449">
        <v>0</v>
      </c>
      <c r="AC45" s="343">
        <v>72750</v>
      </c>
      <c r="AD45" s="343">
        <v>18000</v>
      </c>
      <c r="AE45" s="343"/>
      <c r="AF45" s="343">
        <v>71250</v>
      </c>
      <c r="AG45" s="343">
        <v>63550</v>
      </c>
      <c r="AH45" s="343">
        <v>0</v>
      </c>
      <c r="AI45" s="343">
        <v>12550</v>
      </c>
      <c r="AJ45" s="343">
        <v>66150</v>
      </c>
      <c r="AK45" s="343">
        <v>29100</v>
      </c>
      <c r="AL45" s="343"/>
      <c r="AM45" s="343">
        <v>25500</v>
      </c>
      <c r="AN45" s="343">
        <v>70500</v>
      </c>
      <c r="AO45" s="343">
        <v>18500</v>
      </c>
      <c r="AP45" s="343">
        <v>50500</v>
      </c>
      <c r="AQ45" s="343">
        <v>50750</v>
      </c>
      <c r="AR45" s="343">
        <v>24250</v>
      </c>
      <c r="AS45" s="343"/>
      <c r="AT45" s="344">
        <v>53700</v>
      </c>
      <c r="AU45" s="343">
        <v>19000</v>
      </c>
      <c r="AV45" s="343">
        <v>22950</v>
      </c>
      <c r="AW45" s="343">
        <v>30450</v>
      </c>
      <c r="AX45" s="343">
        <v>39750</v>
      </c>
      <c r="AY45" s="343">
        <v>68850</v>
      </c>
      <c r="AZ45" s="343"/>
      <c r="BA45" s="343"/>
      <c r="BB45" s="343">
        <v>19600</v>
      </c>
      <c r="BC45" s="343"/>
      <c r="BD45" s="343"/>
      <c r="BE45" s="343"/>
      <c r="BF45" s="222">
        <f t="shared" si="5"/>
        <v>893700</v>
      </c>
      <c r="BG45" s="896">
        <f t="shared" si="6"/>
        <v>21</v>
      </c>
      <c r="BH45" s="896">
        <f t="shared" si="7"/>
        <v>42557.142857142855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96">
        <f t="shared" si="19"/>
        <v>0</v>
      </c>
      <c r="V46" s="997"/>
      <c r="W46" s="409"/>
      <c r="X46" s="224"/>
      <c r="Y46" s="976" t="str">
        <f t="shared" si="20"/>
        <v>521F50</v>
      </c>
      <c r="Z46" s="938" t="s">
        <v>768</v>
      </c>
      <c r="AA46" s="449">
        <v>0</v>
      </c>
      <c r="AB46" s="449">
        <v>0</v>
      </c>
      <c r="AC46" s="343">
        <v>0</v>
      </c>
      <c r="AD46" s="343">
        <v>0</v>
      </c>
      <c r="AE46" s="343"/>
      <c r="AF46" s="343">
        <v>0</v>
      </c>
      <c r="AG46" s="343">
        <v>0</v>
      </c>
      <c r="AH46" s="343">
        <v>0</v>
      </c>
      <c r="AI46" s="343">
        <v>0</v>
      </c>
      <c r="AJ46" s="343">
        <v>0</v>
      </c>
      <c r="AK46" s="343">
        <v>0</v>
      </c>
      <c r="AL46" s="343"/>
      <c r="AM46" s="343">
        <v>0</v>
      </c>
      <c r="AN46" s="343">
        <v>0</v>
      </c>
      <c r="AO46" s="343">
        <v>0</v>
      </c>
      <c r="AP46" s="343">
        <v>0</v>
      </c>
      <c r="AQ46" s="343">
        <v>0</v>
      </c>
      <c r="AR46" s="343">
        <v>0</v>
      </c>
      <c r="AS46" s="343"/>
      <c r="AT46" s="344">
        <v>0</v>
      </c>
      <c r="AU46" s="343">
        <v>0</v>
      </c>
      <c r="AV46" s="343">
        <v>0</v>
      </c>
      <c r="AW46" s="343">
        <v>0</v>
      </c>
      <c r="AX46" s="343">
        <v>0</v>
      </c>
      <c r="AY46" s="343">
        <v>0</v>
      </c>
      <c r="AZ46" s="343"/>
      <c r="BA46" s="343"/>
      <c r="BB46" s="343">
        <v>0</v>
      </c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96">
        <f t="shared" si="19"/>
        <v>0</v>
      </c>
      <c r="V47" s="997"/>
      <c r="W47" s="363"/>
      <c r="X47" s="224"/>
      <c r="Y47" s="976" t="str">
        <f t="shared" si="20"/>
        <v>521NF50</v>
      </c>
      <c r="Z47" s="938">
        <v>122021</v>
      </c>
      <c r="AA47" s="449">
        <v>0</v>
      </c>
      <c r="AB47" s="449">
        <v>0</v>
      </c>
      <c r="AC47" s="343">
        <v>0</v>
      </c>
      <c r="AD47" s="343">
        <v>0</v>
      </c>
      <c r="AE47" s="343"/>
      <c r="AF47" s="343">
        <v>0</v>
      </c>
      <c r="AG47" s="343">
        <v>0</v>
      </c>
      <c r="AH47" s="343">
        <v>0</v>
      </c>
      <c r="AI47" s="343">
        <v>0</v>
      </c>
      <c r="AJ47" s="343">
        <v>0</v>
      </c>
      <c r="AK47" s="343">
        <v>0</v>
      </c>
      <c r="AL47" s="343"/>
      <c r="AM47" s="343">
        <v>0</v>
      </c>
      <c r="AN47" s="343">
        <v>0</v>
      </c>
      <c r="AO47" s="343">
        <v>0</v>
      </c>
      <c r="AP47" s="343">
        <v>0</v>
      </c>
      <c r="AQ47" s="343">
        <v>0</v>
      </c>
      <c r="AR47" s="343">
        <v>0</v>
      </c>
      <c r="AS47" s="343"/>
      <c r="AT47" s="344">
        <v>0</v>
      </c>
      <c r="AU47" s="343">
        <v>0</v>
      </c>
      <c r="AV47" s="343">
        <v>0</v>
      </c>
      <c r="AW47" s="343">
        <v>0</v>
      </c>
      <c r="AX47" s="343">
        <v>0</v>
      </c>
      <c r="AY47" s="343">
        <v>0</v>
      </c>
      <c r="AZ47" s="343"/>
      <c r="BA47" s="343"/>
      <c r="BB47" s="343">
        <v>0</v>
      </c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96">
        <f t="shared" si="19"/>
        <v>0</v>
      </c>
      <c r="V48" s="997"/>
      <c r="W48" s="228"/>
      <c r="X48" s="224"/>
      <c r="Y48" s="976" t="str">
        <f t="shared" si="20"/>
        <v>521NF25</v>
      </c>
      <c r="Z48" s="938">
        <v>122021</v>
      </c>
      <c r="AA48" s="449">
        <v>0</v>
      </c>
      <c r="AB48" s="449">
        <v>0</v>
      </c>
      <c r="AC48" s="343">
        <v>0</v>
      </c>
      <c r="AD48" s="343">
        <v>0</v>
      </c>
      <c r="AE48" s="343"/>
      <c r="AF48" s="343">
        <v>0</v>
      </c>
      <c r="AG48" s="343">
        <v>0</v>
      </c>
      <c r="AH48" s="343">
        <v>0</v>
      </c>
      <c r="AI48" s="343">
        <v>0</v>
      </c>
      <c r="AJ48" s="343">
        <v>0</v>
      </c>
      <c r="AK48" s="343">
        <v>0</v>
      </c>
      <c r="AL48" s="343"/>
      <c r="AM48" s="343">
        <v>0</v>
      </c>
      <c r="AN48" s="343">
        <v>0</v>
      </c>
      <c r="AO48" s="343">
        <v>0</v>
      </c>
      <c r="AP48" s="343">
        <v>0</v>
      </c>
      <c r="AQ48" s="343">
        <v>0</v>
      </c>
      <c r="AR48" s="343">
        <v>0</v>
      </c>
      <c r="AS48" s="343"/>
      <c r="AT48" s="344">
        <v>0</v>
      </c>
      <c r="AU48" s="343">
        <v>0</v>
      </c>
      <c r="AV48" s="343">
        <v>0</v>
      </c>
      <c r="AW48" s="343">
        <v>0</v>
      </c>
      <c r="AX48" s="343">
        <v>0</v>
      </c>
      <c r="AY48" s="343">
        <v>0</v>
      </c>
      <c r="AZ48" s="343"/>
      <c r="BA48" s="343"/>
      <c r="BB48" s="343">
        <v>0</v>
      </c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96">
        <f t="shared" si="19"/>
        <v>0</v>
      </c>
      <c r="V49" s="997"/>
      <c r="W49" s="409"/>
      <c r="X49" s="224"/>
      <c r="Y49" s="976" t="str">
        <f t="shared" si="20"/>
        <v>521NFP4450</v>
      </c>
      <c r="Z49" s="938">
        <v>12202840</v>
      </c>
      <c r="AA49" s="449">
        <v>0</v>
      </c>
      <c r="AB49" s="449">
        <v>0</v>
      </c>
      <c r="AC49" s="343">
        <v>0</v>
      </c>
      <c r="AD49" s="343">
        <v>0</v>
      </c>
      <c r="AE49" s="343"/>
      <c r="AF49" s="343">
        <v>0</v>
      </c>
      <c r="AG49" s="343">
        <v>0</v>
      </c>
      <c r="AH49" s="343">
        <v>0</v>
      </c>
      <c r="AI49" s="343">
        <v>0</v>
      </c>
      <c r="AJ49" s="343">
        <v>0</v>
      </c>
      <c r="AK49" s="343">
        <v>0</v>
      </c>
      <c r="AL49" s="343"/>
      <c r="AM49" s="343">
        <v>0</v>
      </c>
      <c r="AN49" s="343">
        <v>0</v>
      </c>
      <c r="AO49" s="343">
        <v>0</v>
      </c>
      <c r="AP49" s="343">
        <v>0</v>
      </c>
      <c r="AQ49" s="343">
        <v>0</v>
      </c>
      <c r="AR49" s="343">
        <v>0</v>
      </c>
      <c r="AS49" s="343"/>
      <c r="AT49" s="344">
        <v>0</v>
      </c>
      <c r="AU49" s="343">
        <v>0</v>
      </c>
      <c r="AV49" s="343">
        <v>0</v>
      </c>
      <c r="AW49" s="343">
        <v>0</v>
      </c>
      <c r="AX49" s="343">
        <v>0</v>
      </c>
      <c r="AY49" s="343">
        <v>0</v>
      </c>
      <c r="AZ49" s="343"/>
      <c r="BA49" s="343"/>
      <c r="BB49" s="343">
        <v>0</v>
      </c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96">
        <f t="shared" si="19"/>
        <v>0</v>
      </c>
      <c r="V50" s="997"/>
      <c r="W50" s="363"/>
      <c r="X50" s="224"/>
      <c r="Y50" s="976" t="str">
        <f t="shared" si="20"/>
        <v>522F50</v>
      </c>
      <c r="Z50" s="938" t="s">
        <v>769</v>
      </c>
      <c r="AA50" s="449">
        <v>0</v>
      </c>
      <c r="AB50" s="449">
        <v>0</v>
      </c>
      <c r="AC50" s="343">
        <v>0</v>
      </c>
      <c r="AD50" s="343">
        <v>0</v>
      </c>
      <c r="AE50" s="343"/>
      <c r="AF50" s="343">
        <v>0</v>
      </c>
      <c r="AG50" s="343">
        <v>0</v>
      </c>
      <c r="AH50" s="343">
        <v>0</v>
      </c>
      <c r="AI50" s="343">
        <v>0</v>
      </c>
      <c r="AJ50" s="343">
        <v>0</v>
      </c>
      <c r="AK50" s="343">
        <v>0</v>
      </c>
      <c r="AL50" s="343"/>
      <c r="AM50" s="343">
        <v>0</v>
      </c>
      <c r="AN50" s="343">
        <v>0</v>
      </c>
      <c r="AO50" s="343">
        <v>0</v>
      </c>
      <c r="AP50" s="343">
        <v>0</v>
      </c>
      <c r="AQ50" s="343">
        <v>0</v>
      </c>
      <c r="AR50" s="343">
        <v>0</v>
      </c>
      <c r="AS50" s="343"/>
      <c r="AT50" s="344">
        <v>0</v>
      </c>
      <c r="AU50" s="343">
        <v>0</v>
      </c>
      <c r="AV50" s="343">
        <v>0</v>
      </c>
      <c r="AW50" s="343">
        <v>0</v>
      </c>
      <c r="AX50" s="343">
        <v>0</v>
      </c>
      <c r="AY50" s="343">
        <v>0</v>
      </c>
      <c r="AZ50" s="343"/>
      <c r="BA50" s="343"/>
      <c r="BB50" s="343">
        <v>0</v>
      </c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96">
        <f t="shared" si="19"/>
        <v>0</v>
      </c>
      <c r="V51" s="997"/>
      <c r="W51" s="363"/>
      <c r="X51" s="224"/>
      <c r="Y51" s="976" t="str">
        <f t="shared" si="20"/>
        <v>522NF50</v>
      </c>
      <c r="Z51" s="938">
        <v>123021</v>
      </c>
      <c r="AA51" s="449">
        <v>0</v>
      </c>
      <c r="AB51" s="449">
        <v>0</v>
      </c>
      <c r="AC51" s="343">
        <v>0</v>
      </c>
      <c r="AD51" s="343">
        <v>0</v>
      </c>
      <c r="AE51" s="343"/>
      <c r="AF51" s="343">
        <v>0</v>
      </c>
      <c r="AG51" s="343">
        <v>0</v>
      </c>
      <c r="AH51" s="343">
        <v>0</v>
      </c>
      <c r="AI51" s="343">
        <v>0</v>
      </c>
      <c r="AJ51" s="343">
        <v>0</v>
      </c>
      <c r="AK51" s="343">
        <v>0</v>
      </c>
      <c r="AL51" s="343"/>
      <c r="AM51" s="343">
        <v>0</v>
      </c>
      <c r="AN51" s="343">
        <v>0</v>
      </c>
      <c r="AO51" s="343">
        <v>0</v>
      </c>
      <c r="AP51" s="343">
        <v>0</v>
      </c>
      <c r="AQ51" s="343">
        <v>0</v>
      </c>
      <c r="AR51" s="343">
        <v>0</v>
      </c>
      <c r="AS51" s="343"/>
      <c r="AT51" s="344">
        <v>0</v>
      </c>
      <c r="AU51" s="343">
        <v>0</v>
      </c>
      <c r="AV51" s="343">
        <v>0</v>
      </c>
      <c r="AW51" s="343">
        <v>0</v>
      </c>
      <c r="AX51" s="343">
        <v>0</v>
      </c>
      <c r="AY51" s="343">
        <v>0</v>
      </c>
      <c r="AZ51" s="343"/>
      <c r="BA51" s="343"/>
      <c r="BB51" s="343">
        <v>0</v>
      </c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96">
        <f>IF(T52=0,0,P52/T52)</f>
        <v>0</v>
      </c>
      <c r="V52" s="997"/>
      <c r="W52" s="363"/>
      <c r="X52" s="224"/>
      <c r="Y52" s="976" t="str">
        <f t="shared" si="20"/>
        <v>524F25</v>
      </c>
      <c r="Z52" s="938">
        <v>127001</v>
      </c>
      <c r="AA52" s="449">
        <v>0</v>
      </c>
      <c r="AB52" s="449">
        <v>0</v>
      </c>
      <c r="AC52" s="343">
        <v>0</v>
      </c>
      <c r="AD52" s="343">
        <v>0</v>
      </c>
      <c r="AE52" s="343"/>
      <c r="AF52" s="343">
        <v>0</v>
      </c>
      <c r="AG52" s="343">
        <v>0</v>
      </c>
      <c r="AH52" s="343">
        <v>0</v>
      </c>
      <c r="AI52" s="343">
        <v>0</v>
      </c>
      <c r="AJ52" s="343">
        <v>0</v>
      </c>
      <c r="AK52" s="343">
        <v>0</v>
      </c>
      <c r="AL52" s="343"/>
      <c r="AM52" s="343">
        <v>0</v>
      </c>
      <c r="AN52" s="343">
        <v>0</v>
      </c>
      <c r="AO52" s="343">
        <v>0</v>
      </c>
      <c r="AP52" s="343">
        <v>0</v>
      </c>
      <c r="AQ52" s="343">
        <v>0</v>
      </c>
      <c r="AR52" s="343">
        <v>0</v>
      </c>
      <c r="AS52" s="343"/>
      <c r="AT52" s="344">
        <v>0</v>
      </c>
      <c r="AU52" s="343">
        <v>0</v>
      </c>
      <c r="AV52" s="343">
        <v>0</v>
      </c>
      <c r="AW52" s="343">
        <v>0</v>
      </c>
      <c r="AX52" s="343">
        <v>0</v>
      </c>
      <c r="AY52" s="343">
        <v>0</v>
      </c>
      <c r="AZ52" s="343"/>
      <c r="BA52" s="343"/>
      <c r="BB52" s="343">
        <v>0</v>
      </c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96">
        <f t="shared" si="19"/>
        <v>0</v>
      </c>
      <c r="V53" s="997"/>
      <c r="W53" s="363"/>
      <c r="X53" s="224"/>
      <c r="Y53" s="976" t="str">
        <f t="shared" si="20"/>
        <v>531NF25</v>
      </c>
      <c r="Z53" s="938">
        <v>132011</v>
      </c>
      <c r="AA53" s="449">
        <v>0</v>
      </c>
      <c r="AB53" s="449">
        <v>0</v>
      </c>
      <c r="AC53" s="343">
        <v>0</v>
      </c>
      <c r="AD53" s="343">
        <v>0</v>
      </c>
      <c r="AE53" s="343"/>
      <c r="AF53" s="343">
        <v>0</v>
      </c>
      <c r="AG53" s="343">
        <v>0</v>
      </c>
      <c r="AH53" s="343">
        <v>0</v>
      </c>
      <c r="AI53" s="343">
        <v>0</v>
      </c>
      <c r="AJ53" s="343">
        <v>0</v>
      </c>
      <c r="AK53" s="343">
        <v>0</v>
      </c>
      <c r="AL53" s="343"/>
      <c r="AM53" s="343">
        <v>0</v>
      </c>
      <c r="AN53" s="343">
        <v>0</v>
      </c>
      <c r="AO53" s="343">
        <v>0</v>
      </c>
      <c r="AP53" s="343">
        <v>0</v>
      </c>
      <c r="AQ53" s="343">
        <v>0</v>
      </c>
      <c r="AR53" s="343">
        <v>0</v>
      </c>
      <c r="AS53" s="343"/>
      <c r="AT53" s="344">
        <v>0</v>
      </c>
      <c r="AU53" s="343">
        <v>0</v>
      </c>
      <c r="AV53" s="343">
        <v>0</v>
      </c>
      <c r="AW53" s="343">
        <v>0</v>
      </c>
      <c r="AX53" s="343">
        <v>0</v>
      </c>
      <c r="AY53" s="343">
        <v>0</v>
      </c>
      <c r="AZ53" s="343"/>
      <c r="BA53" s="343"/>
      <c r="BB53" s="343">
        <v>0</v>
      </c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96">
        <f t="shared" si="19"/>
        <v>0</v>
      </c>
      <c r="V54" s="997"/>
      <c r="W54" s="363"/>
      <c r="X54" s="224"/>
      <c r="Y54" s="976" t="str">
        <f t="shared" si="20"/>
        <v>531NF50</v>
      </c>
      <c r="Z54" s="938">
        <v>132011</v>
      </c>
      <c r="AA54" s="449">
        <v>0</v>
      </c>
      <c r="AB54" s="449">
        <v>0</v>
      </c>
      <c r="AC54" s="343">
        <v>0</v>
      </c>
      <c r="AD54" s="343">
        <v>0</v>
      </c>
      <c r="AE54" s="343"/>
      <c r="AF54" s="343">
        <v>0</v>
      </c>
      <c r="AG54" s="343">
        <v>0</v>
      </c>
      <c r="AH54" s="343">
        <v>0</v>
      </c>
      <c r="AI54" s="343">
        <v>0</v>
      </c>
      <c r="AJ54" s="343">
        <v>0</v>
      </c>
      <c r="AK54" s="343">
        <v>0</v>
      </c>
      <c r="AL54" s="343"/>
      <c r="AM54" s="343">
        <v>0</v>
      </c>
      <c r="AN54" s="343">
        <v>0</v>
      </c>
      <c r="AO54" s="343">
        <v>0</v>
      </c>
      <c r="AP54" s="343">
        <v>0</v>
      </c>
      <c r="AQ54" s="343">
        <v>0</v>
      </c>
      <c r="AR54" s="343">
        <v>0</v>
      </c>
      <c r="AS54" s="343"/>
      <c r="AT54" s="344">
        <v>0</v>
      </c>
      <c r="AU54" s="343">
        <v>0</v>
      </c>
      <c r="AV54" s="343">
        <v>0</v>
      </c>
      <c r="AW54" s="343">
        <v>0</v>
      </c>
      <c r="AX54" s="343">
        <v>0</v>
      </c>
      <c r="AY54" s="343">
        <v>0</v>
      </c>
      <c r="AZ54" s="343"/>
      <c r="BA54" s="343"/>
      <c r="BB54" s="343">
        <v>0</v>
      </c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96">
        <f t="shared" si="19"/>
        <v>0</v>
      </c>
      <c r="V55" s="997"/>
      <c r="W55" s="363"/>
      <c r="X55" s="224"/>
      <c r="Y55" s="976" t="str">
        <f t="shared" si="20"/>
        <v>532NF50</v>
      </c>
      <c r="Z55" s="938" t="s">
        <v>770</v>
      </c>
      <c r="AA55" s="449">
        <v>0</v>
      </c>
      <c r="AB55" s="449">
        <v>0</v>
      </c>
      <c r="AC55" s="343">
        <v>0</v>
      </c>
      <c r="AD55" s="343">
        <v>0</v>
      </c>
      <c r="AE55" s="343"/>
      <c r="AF55" s="343">
        <v>0</v>
      </c>
      <c r="AG55" s="343">
        <v>0</v>
      </c>
      <c r="AH55" s="343">
        <v>0</v>
      </c>
      <c r="AI55" s="343">
        <v>0</v>
      </c>
      <c r="AJ55" s="343">
        <v>0</v>
      </c>
      <c r="AK55" s="343">
        <v>0</v>
      </c>
      <c r="AL55" s="343"/>
      <c r="AM55" s="343">
        <v>0</v>
      </c>
      <c r="AN55" s="343">
        <v>0</v>
      </c>
      <c r="AO55" s="343">
        <v>0</v>
      </c>
      <c r="AP55" s="343">
        <v>0</v>
      </c>
      <c r="AQ55" s="343">
        <v>0</v>
      </c>
      <c r="AR55" s="343">
        <v>0</v>
      </c>
      <c r="AS55" s="343"/>
      <c r="AT55" s="344">
        <v>0</v>
      </c>
      <c r="AU55" s="343">
        <v>0</v>
      </c>
      <c r="AV55" s="343">
        <v>0</v>
      </c>
      <c r="AW55" s="343">
        <v>0</v>
      </c>
      <c r="AX55" s="343">
        <v>0</v>
      </c>
      <c r="AY55" s="343">
        <v>0</v>
      </c>
      <c r="AZ55" s="343"/>
      <c r="BA55" s="343"/>
      <c r="BB55" s="343">
        <v>0</v>
      </c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809</v>
      </c>
      <c r="F56" s="100">
        <f>SUMIF(pro!$A:$A,INTGRATE!$Y:$Y,pro!$N:$N)</f>
        <v>0</v>
      </c>
      <c r="G56" s="344"/>
      <c r="H56" s="344">
        <f>SUMIF(CBIN!$A:$A,INTGRATE!$Y:$Y,CBIN!$G:$G)</f>
        <v>0</v>
      </c>
      <c r="I56" s="343">
        <f>SUMIF(data!$D:$D,INTGRATE!$B56&amp;INTGRATE!$D56,data!$J:$J)</f>
        <v>510</v>
      </c>
      <c r="J56" s="343"/>
      <c r="K56" s="343"/>
      <c r="L56" s="343">
        <f>SUMIF(data!$D:$D,INTGRATE!$B56&amp;INTGRATE!$D56,data!$K:$K)</f>
        <v>25500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299</v>
      </c>
      <c r="P56" s="344">
        <f t="shared" ref="P56:P67" si="24">O56*D56</f>
        <v>14950</v>
      </c>
      <c r="Q56" s="344">
        <f t="shared" ref="Q56:Q79" si="25">SUM(AA56:BE56)</f>
        <v>318550</v>
      </c>
      <c r="R56" s="344"/>
      <c r="S56" s="344"/>
      <c r="T56" s="346">
        <f t="shared" si="21"/>
        <v>13850</v>
      </c>
      <c r="U56" s="996">
        <f t="shared" si="19"/>
        <v>1.0794223826714802</v>
      </c>
      <c r="V56" s="997"/>
      <c r="W56" s="409"/>
      <c r="X56" s="224"/>
      <c r="Y56" s="976" t="str">
        <f t="shared" si="20"/>
        <v>540F50</v>
      </c>
      <c r="Z56" s="938" t="s">
        <v>771</v>
      </c>
      <c r="AA56" s="449">
        <v>0</v>
      </c>
      <c r="AB56" s="449">
        <v>24000</v>
      </c>
      <c r="AC56" s="343">
        <v>0</v>
      </c>
      <c r="AD56" s="343">
        <v>14000</v>
      </c>
      <c r="AE56" s="343"/>
      <c r="AF56" s="343">
        <v>24000</v>
      </c>
      <c r="AG56" s="343">
        <v>0</v>
      </c>
      <c r="AH56" s="343">
        <v>24000</v>
      </c>
      <c r="AI56" s="343">
        <v>8000</v>
      </c>
      <c r="AJ56" s="343">
        <v>0</v>
      </c>
      <c r="AK56" s="343">
        <v>38450</v>
      </c>
      <c r="AL56" s="343"/>
      <c r="AM56" s="343">
        <v>12000</v>
      </c>
      <c r="AN56" s="343">
        <v>20000</v>
      </c>
      <c r="AO56" s="343">
        <v>0</v>
      </c>
      <c r="AP56" s="343">
        <v>24000</v>
      </c>
      <c r="AQ56" s="343">
        <v>1800</v>
      </c>
      <c r="AR56" s="343">
        <v>16000</v>
      </c>
      <c r="AS56" s="343"/>
      <c r="AT56" s="344">
        <v>6000</v>
      </c>
      <c r="AU56" s="343">
        <v>12000</v>
      </c>
      <c r="AV56" s="343">
        <v>12000</v>
      </c>
      <c r="AW56" s="343">
        <v>0</v>
      </c>
      <c r="AX56" s="343">
        <v>18000</v>
      </c>
      <c r="AY56" s="343">
        <v>38800</v>
      </c>
      <c r="AZ56" s="343"/>
      <c r="BA56" s="343"/>
      <c r="BB56" s="343">
        <v>25500</v>
      </c>
      <c r="BC56" s="343"/>
      <c r="BD56" s="343"/>
      <c r="BE56" s="343"/>
      <c r="BF56" s="222">
        <f t="shared" si="5"/>
        <v>318550</v>
      </c>
      <c r="BG56" s="896">
        <f t="shared" si="6"/>
        <v>17</v>
      </c>
      <c r="BH56" s="896">
        <f t="shared" si="7"/>
        <v>18738.235294117647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348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160</v>
      </c>
      <c r="J57" s="343"/>
      <c r="K57" s="343"/>
      <c r="L57" s="343">
        <f>SUMIF(data!$D:$D,INTGRATE!$B57&amp;INTGRATE!$D57,data!$K:$K)</f>
        <v>8000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188</v>
      </c>
      <c r="P57" s="344">
        <f t="shared" si="24"/>
        <v>9400</v>
      </c>
      <c r="Q57" s="344">
        <f t="shared" si="25"/>
        <v>89850</v>
      </c>
      <c r="R57" s="344"/>
      <c r="S57" s="344"/>
      <c r="T57" s="346">
        <f t="shared" si="21"/>
        <v>3906.521739130435</v>
      </c>
      <c r="U57" s="996">
        <f t="shared" si="19"/>
        <v>2.4062326099053979</v>
      </c>
      <c r="V57" s="997"/>
      <c r="W57" s="409"/>
      <c r="X57" s="224"/>
      <c r="Y57" s="976" t="str">
        <f t="shared" si="20"/>
        <v>548F50</v>
      </c>
      <c r="Z57" s="938">
        <v>201501</v>
      </c>
      <c r="AA57" s="449">
        <v>7100</v>
      </c>
      <c r="AB57" s="449">
        <v>0</v>
      </c>
      <c r="AC57" s="343">
        <v>12000</v>
      </c>
      <c r="AD57" s="343">
        <v>0</v>
      </c>
      <c r="AE57" s="343"/>
      <c r="AF57" s="343">
        <v>8000</v>
      </c>
      <c r="AG57" s="343">
        <v>0</v>
      </c>
      <c r="AH57" s="343">
        <v>3400</v>
      </c>
      <c r="AI57" s="343">
        <v>1250</v>
      </c>
      <c r="AJ57" s="343">
        <v>0</v>
      </c>
      <c r="AK57" s="343">
        <v>15200</v>
      </c>
      <c r="AL57" s="343"/>
      <c r="AM57" s="343">
        <v>0</v>
      </c>
      <c r="AN57" s="343">
        <v>0</v>
      </c>
      <c r="AO57" s="343">
        <v>2700</v>
      </c>
      <c r="AP57" s="343">
        <v>8000</v>
      </c>
      <c r="AQ57" s="343">
        <v>4000</v>
      </c>
      <c r="AR57" s="343">
        <v>0</v>
      </c>
      <c r="AS57" s="343"/>
      <c r="AT57" s="344">
        <v>5000</v>
      </c>
      <c r="AU57" s="343">
        <v>0</v>
      </c>
      <c r="AV57" s="343">
        <v>3200</v>
      </c>
      <c r="AW57" s="343">
        <v>0</v>
      </c>
      <c r="AX57" s="343">
        <v>0</v>
      </c>
      <c r="AY57" s="343">
        <v>12000</v>
      </c>
      <c r="AZ57" s="343"/>
      <c r="BA57" s="343"/>
      <c r="BB57" s="343">
        <v>8000</v>
      </c>
      <c r="BC57" s="343"/>
      <c r="BD57" s="343"/>
      <c r="BE57" s="343"/>
      <c r="BF57" s="222">
        <f t="shared" si="5"/>
        <v>89850</v>
      </c>
      <c r="BG57" s="896">
        <f t="shared" si="6"/>
        <v>13</v>
      </c>
      <c r="BH57" s="896">
        <f t="shared" si="7"/>
        <v>6911.5384615384619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96">
        <f t="shared" si="19"/>
        <v>0</v>
      </c>
      <c r="V58" s="997"/>
      <c r="W58" s="409"/>
      <c r="X58" s="224"/>
      <c r="Y58" s="976" t="str">
        <f t="shared" si="20"/>
        <v>548FP3150</v>
      </c>
      <c r="Z58" s="938">
        <v>20150831</v>
      </c>
      <c r="AA58" s="449">
        <v>0</v>
      </c>
      <c r="AB58" s="449">
        <v>0</v>
      </c>
      <c r="AC58" s="343">
        <v>0</v>
      </c>
      <c r="AD58" s="343">
        <v>0</v>
      </c>
      <c r="AE58" s="343"/>
      <c r="AF58" s="343">
        <v>0</v>
      </c>
      <c r="AG58" s="343">
        <v>0</v>
      </c>
      <c r="AH58" s="343">
        <v>0</v>
      </c>
      <c r="AI58" s="343">
        <v>0</v>
      </c>
      <c r="AJ58" s="343">
        <v>0</v>
      </c>
      <c r="AK58" s="343">
        <v>0</v>
      </c>
      <c r="AL58" s="343"/>
      <c r="AM58" s="343">
        <v>0</v>
      </c>
      <c r="AN58" s="343">
        <v>0</v>
      </c>
      <c r="AO58" s="343">
        <v>0</v>
      </c>
      <c r="AP58" s="343">
        <v>0</v>
      </c>
      <c r="AQ58" s="343">
        <v>0</v>
      </c>
      <c r="AR58" s="343">
        <v>0</v>
      </c>
      <c r="AS58" s="343"/>
      <c r="AT58" s="344">
        <v>0</v>
      </c>
      <c r="AU58" s="343">
        <v>0</v>
      </c>
      <c r="AV58" s="343">
        <v>0</v>
      </c>
      <c r="AW58" s="343">
        <v>0</v>
      </c>
      <c r="AX58" s="343">
        <v>0</v>
      </c>
      <c r="AY58" s="343">
        <v>0</v>
      </c>
      <c r="AZ58" s="343"/>
      <c r="BA58" s="343"/>
      <c r="BB58" s="343">
        <v>0</v>
      </c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96">
        <f t="shared" si="19"/>
        <v>0</v>
      </c>
      <c r="V59" s="997"/>
      <c r="W59" s="409"/>
      <c r="X59" s="224"/>
      <c r="Y59" s="976" t="str">
        <f t="shared" si="20"/>
        <v>548FP3350</v>
      </c>
      <c r="Z59" s="938" t="s">
        <v>1147</v>
      </c>
      <c r="AA59" s="449">
        <v>0</v>
      </c>
      <c r="AB59" s="449">
        <v>0</v>
      </c>
      <c r="AC59" s="343">
        <v>0</v>
      </c>
      <c r="AD59" s="343">
        <v>0</v>
      </c>
      <c r="AE59" s="343"/>
      <c r="AF59" s="343">
        <v>0</v>
      </c>
      <c r="AG59" s="343">
        <v>0</v>
      </c>
      <c r="AH59" s="343">
        <v>0</v>
      </c>
      <c r="AI59" s="343">
        <v>0</v>
      </c>
      <c r="AJ59" s="343">
        <v>0</v>
      </c>
      <c r="AK59" s="343">
        <v>0</v>
      </c>
      <c r="AL59" s="343"/>
      <c r="AM59" s="343">
        <v>0</v>
      </c>
      <c r="AN59" s="343">
        <v>0</v>
      </c>
      <c r="AO59" s="343">
        <v>0</v>
      </c>
      <c r="AP59" s="343">
        <v>0</v>
      </c>
      <c r="AQ59" s="343">
        <v>0</v>
      </c>
      <c r="AR59" s="343">
        <v>0</v>
      </c>
      <c r="AS59" s="343"/>
      <c r="AT59" s="344">
        <v>0</v>
      </c>
      <c r="AU59" s="343">
        <v>0</v>
      </c>
      <c r="AV59" s="343">
        <v>0</v>
      </c>
      <c r="AW59" s="343">
        <v>0</v>
      </c>
      <c r="AX59" s="343">
        <v>0</v>
      </c>
      <c r="AY59" s="343">
        <v>0</v>
      </c>
      <c r="AZ59" s="343"/>
      <c r="BA59" s="343"/>
      <c r="BB59" s="343">
        <v>0</v>
      </c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>
        <v>0</v>
      </c>
      <c r="AB60" s="449">
        <v>0</v>
      </c>
      <c r="AC60" s="343">
        <v>0</v>
      </c>
      <c r="AD60" s="343">
        <v>0</v>
      </c>
      <c r="AE60" s="343"/>
      <c r="AF60" s="343">
        <v>0</v>
      </c>
      <c r="AG60" s="343">
        <v>0</v>
      </c>
      <c r="AH60" s="343">
        <v>0</v>
      </c>
      <c r="AI60" s="343">
        <v>0</v>
      </c>
      <c r="AJ60" s="343">
        <v>0</v>
      </c>
      <c r="AK60" s="343">
        <v>0</v>
      </c>
      <c r="AL60" s="343"/>
      <c r="AM60" s="343">
        <v>0</v>
      </c>
      <c r="AN60" s="343">
        <v>0</v>
      </c>
      <c r="AO60" s="343">
        <v>0</v>
      </c>
      <c r="AP60" s="343">
        <v>0</v>
      </c>
      <c r="AQ60" s="343">
        <v>0</v>
      </c>
      <c r="AR60" s="343">
        <v>0</v>
      </c>
      <c r="AS60" s="343"/>
      <c r="AT60" s="344">
        <v>0</v>
      </c>
      <c r="AU60" s="343">
        <v>0</v>
      </c>
      <c r="AV60" s="343">
        <v>0</v>
      </c>
      <c r="AW60" s="343">
        <v>0</v>
      </c>
      <c r="AX60" s="343">
        <v>0</v>
      </c>
      <c r="AY60" s="343">
        <v>0</v>
      </c>
      <c r="AZ60" s="343"/>
      <c r="BA60" s="343"/>
      <c r="BB60" s="343">
        <v>0</v>
      </c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1610</v>
      </c>
      <c r="F61" s="100">
        <f>SUMIF(pro!$A:$A,INTGRATE!$Y:$Y,pro!$N:$N)</f>
        <v>358</v>
      </c>
      <c r="G61" s="344"/>
      <c r="H61" s="344">
        <f>SUMIF(CBIN!$A:$A,INTGRATE!$Y:$Y,CBIN!$G:$G)</f>
        <v>0</v>
      </c>
      <c r="I61" s="343">
        <f>SUMIF(data!$D:$D,INTGRATE!$B61&amp;INTGRATE!$D61,data!$J:$J)</f>
        <v>466</v>
      </c>
      <c r="J61" s="343"/>
      <c r="K61" s="343"/>
      <c r="L61" s="343">
        <f>SUMIF(data!$D:$D,INTGRATE!$B61&amp;INTGRATE!$D61,data!$K:$K)</f>
        <v>23300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1502</v>
      </c>
      <c r="P61" s="344">
        <f t="shared" si="24"/>
        <v>75100</v>
      </c>
      <c r="Q61" s="344">
        <f t="shared" si="25"/>
        <v>233050</v>
      </c>
      <c r="R61" s="344"/>
      <c r="S61" s="344"/>
      <c r="T61" s="346">
        <f t="shared" si="21"/>
        <v>10132.608695652174</v>
      </c>
      <c r="U61" s="996">
        <f t="shared" si="19"/>
        <v>7.4117142244153618</v>
      </c>
      <c r="V61" s="997"/>
      <c r="W61" s="363"/>
      <c r="X61" s="224"/>
      <c r="Y61" s="976" t="str">
        <f t="shared" si="20"/>
        <v>549F50</v>
      </c>
      <c r="Z61" s="938">
        <v>203501</v>
      </c>
      <c r="AA61" s="449">
        <v>4900</v>
      </c>
      <c r="AB61" s="449">
        <v>0</v>
      </c>
      <c r="AC61" s="343">
        <v>0</v>
      </c>
      <c r="AD61" s="343">
        <v>12000</v>
      </c>
      <c r="AE61" s="343"/>
      <c r="AF61" s="343">
        <v>0</v>
      </c>
      <c r="AG61" s="343">
        <v>16000</v>
      </c>
      <c r="AH61" s="343">
        <v>20600</v>
      </c>
      <c r="AI61" s="343">
        <v>6650</v>
      </c>
      <c r="AJ61" s="343">
        <v>0</v>
      </c>
      <c r="AK61" s="343">
        <v>3600</v>
      </c>
      <c r="AL61" s="343"/>
      <c r="AM61" s="343">
        <v>12000</v>
      </c>
      <c r="AN61" s="343">
        <v>0</v>
      </c>
      <c r="AO61" s="343">
        <v>15800</v>
      </c>
      <c r="AP61" s="343">
        <v>0</v>
      </c>
      <c r="AQ61" s="343">
        <v>21700</v>
      </c>
      <c r="AR61" s="343">
        <v>16000</v>
      </c>
      <c r="AS61" s="343"/>
      <c r="AT61" s="344">
        <v>26950</v>
      </c>
      <c r="AU61" s="343">
        <v>20000</v>
      </c>
      <c r="AV61" s="343">
        <v>8350</v>
      </c>
      <c r="AW61" s="343">
        <v>12000</v>
      </c>
      <c r="AX61" s="343">
        <v>0</v>
      </c>
      <c r="AY61" s="343">
        <v>13200</v>
      </c>
      <c r="AZ61" s="343"/>
      <c r="BA61" s="343"/>
      <c r="BB61" s="343">
        <v>23300</v>
      </c>
      <c r="BC61" s="343"/>
      <c r="BD61" s="343"/>
      <c r="BE61" s="343"/>
      <c r="BF61" s="222">
        <f t="shared" si="5"/>
        <v>233050</v>
      </c>
      <c r="BG61" s="896">
        <f t="shared" si="6"/>
        <v>16</v>
      </c>
      <c r="BH61" s="896">
        <f t="shared" si="7"/>
        <v>14565.625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3494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3494</v>
      </c>
      <c r="P62" s="344">
        <f t="shared" si="24"/>
        <v>87350</v>
      </c>
      <c r="Q62" s="344">
        <f t="shared" si="25"/>
        <v>0</v>
      </c>
      <c r="R62" s="344"/>
      <c r="S62" s="344"/>
      <c r="T62" s="380">
        <f t="shared" si="21"/>
        <v>0</v>
      </c>
      <c r="U62" s="996">
        <f t="shared" ref="U62:U80" si="26">IF(T62=0,0,P62/T62)</f>
        <v>0</v>
      </c>
      <c r="V62" s="997"/>
      <c r="W62" s="409"/>
      <c r="X62" s="224"/>
      <c r="Y62" s="976" t="str">
        <f t="shared" si="20"/>
        <v>513F25</v>
      </c>
      <c r="Z62" s="938" t="s">
        <v>767</v>
      </c>
      <c r="AA62" s="449">
        <v>0</v>
      </c>
      <c r="AB62" s="449">
        <v>0</v>
      </c>
      <c r="AC62" s="343">
        <v>0</v>
      </c>
      <c r="AD62" s="343">
        <v>0</v>
      </c>
      <c r="AE62" s="343"/>
      <c r="AF62" s="343">
        <v>0</v>
      </c>
      <c r="AG62" s="343">
        <v>0</v>
      </c>
      <c r="AH62" s="343">
        <v>0</v>
      </c>
      <c r="AI62" s="343">
        <v>0</v>
      </c>
      <c r="AJ62" s="343">
        <v>0</v>
      </c>
      <c r="AK62" s="343">
        <v>0</v>
      </c>
      <c r="AL62" s="343"/>
      <c r="AM62" s="343">
        <v>0</v>
      </c>
      <c r="AN62" s="343">
        <v>0</v>
      </c>
      <c r="AO62" s="343">
        <v>0</v>
      </c>
      <c r="AP62" s="343">
        <v>0</v>
      </c>
      <c r="AQ62" s="343">
        <v>0</v>
      </c>
      <c r="AR62" s="343">
        <v>0</v>
      </c>
      <c r="AS62" s="343"/>
      <c r="AT62" s="344">
        <v>0</v>
      </c>
      <c r="AU62" s="343">
        <v>0</v>
      </c>
      <c r="AV62" s="343">
        <v>0</v>
      </c>
      <c r="AW62" s="343">
        <v>0</v>
      </c>
      <c r="AX62" s="343">
        <v>0</v>
      </c>
      <c r="AY62" s="343">
        <v>0</v>
      </c>
      <c r="AZ62" s="343"/>
      <c r="BA62" s="343"/>
      <c r="BB62" s="343">
        <v>0</v>
      </c>
      <c r="BC62" s="343"/>
      <c r="BD62" s="343"/>
      <c r="BE62" s="343"/>
      <c r="BF62" s="222">
        <f t="shared" si="5"/>
        <v>0</v>
      </c>
      <c r="BG62" s="896">
        <f t="shared" si="6"/>
        <v>0</v>
      </c>
      <c r="BH62" s="896">
        <f t="shared" si="7"/>
        <v>0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96">
        <f t="shared" si="26"/>
        <v>0</v>
      </c>
      <c r="V63" s="997"/>
      <c r="W63" s="409"/>
      <c r="X63" s="224"/>
      <c r="Y63" s="976" t="str">
        <f t="shared" si="20"/>
        <v>510F25</v>
      </c>
      <c r="Z63" s="938" t="s">
        <v>761</v>
      </c>
      <c r="AA63" s="449">
        <v>0</v>
      </c>
      <c r="AB63" s="449">
        <v>0</v>
      </c>
      <c r="AC63" s="343">
        <v>0</v>
      </c>
      <c r="AD63" s="343">
        <v>0</v>
      </c>
      <c r="AE63" s="343"/>
      <c r="AF63" s="343">
        <v>0</v>
      </c>
      <c r="AG63" s="343">
        <v>0</v>
      </c>
      <c r="AH63" s="343">
        <v>0</v>
      </c>
      <c r="AI63" s="343">
        <v>0</v>
      </c>
      <c r="AJ63" s="343">
        <v>0</v>
      </c>
      <c r="AK63" s="343">
        <v>0</v>
      </c>
      <c r="AL63" s="343"/>
      <c r="AM63" s="343">
        <v>0</v>
      </c>
      <c r="AN63" s="343">
        <v>0</v>
      </c>
      <c r="AO63" s="343">
        <v>0</v>
      </c>
      <c r="AP63" s="343">
        <v>0</v>
      </c>
      <c r="AQ63" s="343">
        <v>0</v>
      </c>
      <c r="AR63" s="343">
        <v>0</v>
      </c>
      <c r="AS63" s="343"/>
      <c r="AT63" s="344">
        <v>0</v>
      </c>
      <c r="AU63" s="343">
        <v>0</v>
      </c>
      <c r="AV63" s="343">
        <v>0</v>
      </c>
      <c r="AW63" s="343">
        <v>0</v>
      </c>
      <c r="AX63" s="343">
        <v>0</v>
      </c>
      <c r="AY63" s="343">
        <v>0</v>
      </c>
      <c r="AZ63" s="343"/>
      <c r="BA63" s="343"/>
      <c r="BB63" s="343">
        <v>0</v>
      </c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96">
        <f t="shared" si="26"/>
        <v>0</v>
      </c>
      <c r="V64" s="997"/>
      <c r="W64" s="363"/>
      <c r="X64" s="224"/>
      <c r="Y64" s="976" t="str">
        <f t="shared" si="20"/>
        <v>511NF25</v>
      </c>
      <c r="Z64" s="938" t="s">
        <v>766</v>
      </c>
      <c r="AA64" s="449">
        <v>0</v>
      </c>
      <c r="AB64" s="449">
        <v>0</v>
      </c>
      <c r="AC64" s="343">
        <v>0</v>
      </c>
      <c r="AD64" s="343">
        <v>0</v>
      </c>
      <c r="AE64" s="343"/>
      <c r="AF64" s="343">
        <v>0</v>
      </c>
      <c r="AG64" s="343">
        <v>0</v>
      </c>
      <c r="AH64" s="343">
        <v>0</v>
      </c>
      <c r="AI64" s="343">
        <v>0</v>
      </c>
      <c r="AJ64" s="343">
        <v>0</v>
      </c>
      <c r="AK64" s="343">
        <v>0</v>
      </c>
      <c r="AL64" s="343"/>
      <c r="AM64" s="343">
        <v>0</v>
      </c>
      <c r="AN64" s="343">
        <v>0</v>
      </c>
      <c r="AO64" s="343">
        <v>0</v>
      </c>
      <c r="AP64" s="343">
        <v>0</v>
      </c>
      <c r="AQ64" s="343">
        <v>0</v>
      </c>
      <c r="AR64" s="343">
        <v>0</v>
      </c>
      <c r="AS64" s="343"/>
      <c r="AT64" s="344">
        <v>0</v>
      </c>
      <c r="AU64" s="343">
        <v>0</v>
      </c>
      <c r="AV64" s="343">
        <v>0</v>
      </c>
      <c r="AW64" s="343">
        <v>0</v>
      </c>
      <c r="AX64" s="343">
        <v>0</v>
      </c>
      <c r="AY64" s="343">
        <v>0</v>
      </c>
      <c r="AZ64" s="343"/>
      <c r="BA64" s="343"/>
      <c r="BB64" s="343">
        <v>0</v>
      </c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96">
        <f t="shared" si="26"/>
        <v>0</v>
      </c>
      <c r="V65" s="997"/>
      <c r="W65" s="363"/>
      <c r="X65" s="224"/>
      <c r="Y65" s="976" t="str">
        <f>B65&amp;D65</f>
        <v>511ANF25</v>
      </c>
      <c r="Z65" s="938" t="s">
        <v>764</v>
      </c>
      <c r="AA65" s="449">
        <v>0</v>
      </c>
      <c r="AB65" s="449">
        <v>0</v>
      </c>
      <c r="AC65" s="343">
        <v>0</v>
      </c>
      <c r="AD65" s="343">
        <v>0</v>
      </c>
      <c r="AE65" s="343"/>
      <c r="AF65" s="343">
        <v>0</v>
      </c>
      <c r="AG65" s="343">
        <v>0</v>
      </c>
      <c r="AH65" s="343">
        <v>0</v>
      </c>
      <c r="AI65" s="343">
        <v>0</v>
      </c>
      <c r="AJ65" s="343">
        <v>0</v>
      </c>
      <c r="AK65" s="343">
        <v>0</v>
      </c>
      <c r="AL65" s="343"/>
      <c r="AM65" s="343">
        <v>0</v>
      </c>
      <c r="AN65" s="343">
        <v>0</v>
      </c>
      <c r="AO65" s="343">
        <v>0</v>
      </c>
      <c r="AP65" s="343">
        <v>0</v>
      </c>
      <c r="AQ65" s="343">
        <v>0</v>
      </c>
      <c r="AR65" s="343">
        <v>0</v>
      </c>
      <c r="AS65" s="343"/>
      <c r="AT65" s="344">
        <v>0</v>
      </c>
      <c r="AU65" s="343">
        <v>0</v>
      </c>
      <c r="AV65" s="343">
        <v>0</v>
      </c>
      <c r="AW65" s="343">
        <v>0</v>
      </c>
      <c r="AX65" s="343">
        <v>0</v>
      </c>
      <c r="AY65" s="343">
        <v>0</v>
      </c>
      <c r="AZ65" s="343"/>
      <c r="BA65" s="343"/>
      <c r="BB65" s="343">
        <v>0</v>
      </c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96">
        <f>IF(T66=0,0,P66/T66)</f>
        <v>0</v>
      </c>
      <c r="V66" s="997"/>
      <c r="W66" s="363"/>
      <c r="X66" s="224"/>
      <c r="Y66" s="976" t="str">
        <f>B66&amp;D66</f>
        <v>511ANFP9125</v>
      </c>
      <c r="Z66" s="938" t="s">
        <v>1484</v>
      </c>
      <c r="AA66" s="449">
        <v>0</v>
      </c>
      <c r="AB66" s="449">
        <v>0</v>
      </c>
      <c r="AC66" s="343">
        <v>0</v>
      </c>
      <c r="AD66" s="343">
        <v>0</v>
      </c>
      <c r="AE66" s="343"/>
      <c r="AF66" s="343">
        <v>0</v>
      </c>
      <c r="AG66" s="343">
        <v>0</v>
      </c>
      <c r="AH66" s="343">
        <v>0</v>
      </c>
      <c r="AI66" s="343">
        <v>0</v>
      </c>
      <c r="AJ66" s="343">
        <v>0</v>
      </c>
      <c r="AK66" s="343">
        <v>0</v>
      </c>
      <c r="AL66" s="343"/>
      <c r="AM66" s="343">
        <v>0</v>
      </c>
      <c r="AN66" s="343">
        <v>0</v>
      </c>
      <c r="AO66" s="343">
        <v>0</v>
      </c>
      <c r="AP66" s="343">
        <v>0</v>
      </c>
      <c r="AQ66" s="343">
        <v>0</v>
      </c>
      <c r="AR66" s="343">
        <v>0</v>
      </c>
      <c r="AS66" s="343"/>
      <c r="AT66" s="344">
        <v>0</v>
      </c>
      <c r="AU66" s="343">
        <v>0</v>
      </c>
      <c r="AV66" s="343">
        <v>0</v>
      </c>
      <c r="AW66" s="343">
        <v>0</v>
      </c>
      <c r="AX66" s="343">
        <v>0</v>
      </c>
      <c r="AY66" s="343">
        <v>0</v>
      </c>
      <c r="AZ66" s="343"/>
      <c r="BA66" s="343"/>
      <c r="BB66" s="343">
        <v>0</v>
      </c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96">
        <f t="shared" si="26"/>
        <v>0</v>
      </c>
      <c r="V67" s="997"/>
      <c r="W67" s="363"/>
      <c r="X67" s="224"/>
      <c r="Y67" s="976" t="str">
        <f t="shared" si="20"/>
        <v>511F25</v>
      </c>
      <c r="Z67" s="938" t="s">
        <v>765</v>
      </c>
      <c r="AA67" s="449">
        <v>0</v>
      </c>
      <c r="AB67" s="449">
        <v>0</v>
      </c>
      <c r="AC67" s="343">
        <v>0</v>
      </c>
      <c r="AD67" s="343">
        <v>0</v>
      </c>
      <c r="AE67" s="343"/>
      <c r="AF67" s="343">
        <v>0</v>
      </c>
      <c r="AG67" s="343">
        <v>0</v>
      </c>
      <c r="AH67" s="343">
        <v>0</v>
      </c>
      <c r="AI67" s="343">
        <v>0</v>
      </c>
      <c r="AJ67" s="343">
        <v>0</v>
      </c>
      <c r="AK67" s="343">
        <v>0</v>
      </c>
      <c r="AL67" s="343"/>
      <c r="AM67" s="343">
        <v>0</v>
      </c>
      <c r="AN67" s="343">
        <v>0</v>
      </c>
      <c r="AO67" s="343">
        <v>0</v>
      </c>
      <c r="AP67" s="343">
        <v>0</v>
      </c>
      <c r="AQ67" s="343">
        <v>0</v>
      </c>
      <c r="AR67" s="343">
        <v>0</v>
      </c>
      <c r="AS67" s="343"/>
      <c r="AT67" s="344">
        <v>0</v>
      </c>
      <c r="AU67" s="343">
        <v>0</v>
      </c>
      <c r="AV67" s="343">
        <v>0</v>
      </c>
      <c r="AW67" s="343">
        <v>0</v>
      </c>
      <c r="AX67" s="343">
        <v>0</v>
      </c>
      <c r="AY67" s="343">
        <v>0</v>
      </c>
      <c r="AZ67" s="343"/>
      <c r="BA67" s="343"/>
      <c r="BB67" s="343">
        <v>0</v>
      </c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96">
        <f t="shared" si="26"/>
        <v>0</v>
      </c>
      <c r="V68" s="997"/>
      <c r="W68" s="363"/>
      <c r="X68" s="224"/>
      <c r="Y68" s="976" t="str">
        <f t="shared" si="20"/>
        <v>511AF25</v>
      </c>
      <c r="Z68" s="938" t="s">
        <v>763</v>
      </c>
      <c r="AA68" s="449">
        <v>0</v>
      </c>
      <c r="AB68" s="449">
        <v>0</v>
      </c>
      <c r="AC68" s="343">
        <v>0</v>
      </c>
      <c r="AD68" s="343">
        <v>0</v>
      </c>
      <c r="AE68" s="343"/>
      <c r="AF68" s="343">
        <v>0</v>
      </c>
      <c r="AG68" s="343">
        <v>0</v>
      </c>
      <c r="AH68" s="343">
        <v>0</v>
      </c>
      <c r="AI68" s="343">
        <v>0</v>
      </c>
      <c r="AJ68" s="343">
        <v>0</v>
      </c>
      <c r="AK68" s="343">
        <v>0</v>
      </c>
      <c r="AL68" s="343"/>
      <c r="AM68" s="343">
        <v>0</v>
      </c>
      <c r="AN68" s="343">
        <v>0</v>
      </c>
      <c r="AO68" s="343">
        <v>0</v>
      </c>
      <c r="AP68" s="343">
        <v>0</v>
      </c>
      <c r="AQ68" s="343">
        <v>0</v>
      </c>
      <c r="AR68" s="343">
        <v>0</v>
      </c>
      <c r="AS68" s="343"/>
      <c r="AT68" s="344">
        <v>0</v>
      </c>
      <c r="AU68" s="343">
        <v>0</v>
      </c>
      <c r="AV68" s="343">
        <v>0</v>
      </c>
      <c r="AW68" s="343">
        <v>0</v>
      </c>
      <c r="AX68" s="343">
        <v>0</v>
      </c>
      <c r="AY68" s="343">
        <v>0</v>
      </c>
      <c r="AZ68" s="343"/>
      <c r="BA68" s="343"/>
      <c r="BB68" s="343">
        <v>0</v>
      </c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96">
        <f t="shared" si="26"/>
        <v>0</v>
      </c>
      <c r="V69" s="997"/>
      <c r="W69" s="363"/>
      <c r="X69" s="224"/>
      <c r="Y69" s="976" t="str">
        <f t="shared" si="20"/>
        <v>540F25</v>
      </c>
      <c r="Z69" s="938" t="s">
        <v>771</v>
      </c>
      <c r="AA69" s="449">
        <v>0</v>
      </c>
      <c r="AB69" s="449">
        <v>0</v>
      </c>
      <c r="AC69" s="343">
        <v>0</v>
      </c>
      <c r="AD69" s="343">
        <v>0</v>
      </c>
      <c r="AE69" s="343"/>
      <c r="AF69" s="343">
        <v>0</v>
      </c>
      <c r="AG69" s="343">
        <v>0</v>
      </c>
      <c r="AH69" s="343">
        <v>0</v>
      </c>
      <c r="AI69" s="343">
        <v>0</v>
      </c>
      <c r="AJ69" s="343">
        <v>0</v>
      </c>
      <c r="AK69" s="343">
        <v>0</v>
      </c>
      <c r="AL69" s="343"/>
      <c r="AM69" s="343">
        <v>0</v>
      </c>
      <c r="AN69" s="343">
        <v>0</v>
      </c>
      <c r="AO69" s="343">
        <v>0</v>
      </c>
      <c r="AP69" s="343">
        <v>0</v>
      </c>
      <c r="AQ69" s="343">
        <v>0</v>
      </c>
      <c r="AR69" s="343">
        <v>0</v>
      </c>
      <c r="AS69" s="343"/>
      <c r="AT69" s="344">
        <v>0</v>
      </c>
      <c r="AU69" s="343">
        <v>0</v>
      </c>
      <c r="AV69" s="343">
        <v>0</v>
      </c>
      <c r="AW69" s="343">
        <v>0</v>
      </c>
      <c r="AX69" s="343">
        <v>0</v>
      </c>
      <c r="AY69" s="343">
        <v>0</v>
      </c>
      <c r="AZ69" s="343"/>
      <c r="BA69" s="343"/>
      <c r="BB69" s="343">
        <v>0</v>
      </c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96">
        <f t="shared" si="26"/>
        <v>0</v>
      </c>
      <c r="V70" s="997"/>
      <c r="W70" s="363"/>
      <c r="X70" s="224"/>
      <c r="Y70" s="976" t="str">
        <f>B70&amp;D70</f>
        <v>548F25</v>
      </c>
      <c r="Z70" s="938" t="s">
        <v>1141</v>
      </c>
      <c r="AA70" s="449">
        <v>0</v>
      </c>
      <c r="AB70" s="449">
        <v>0</v>
      </c>
      <c r="AC70" s="343">
        <v>0</v>
      </c>
      <c r="AD70" s="343">
        <v>0</v>
      </c>
      <c r="AE70" s="343"/>
      <c r="AF70" s="343">
        <v>0</v>
      </c>
      <c r="AG70" s="343">
        <v>0</v>
      </c>
      <c r="AH70" s="343">
        <v>0</v>
      </c>
      <c r="AI70" s="343">
        <v>0</v>
      </c>
      <c r="AJ70" s="343">
        <v>0</v>
      </c>
      <c r="AK70" s="343">
        <v>0</v>
      </c>
      <c r="AL70" s="343"/>
      <c r="AM70" s="343">
        <v>0</v>
      </c>
      <c r="AN70" s="343">
        <v>0</v>
      </c>
      <c r="AO70" s="343">
        <v>0</v>
      </c>
      <c r="AP70" s="343">
        <v>0</v>
      </c>
      <c r="AQ70" s="343">
        <v>0</v>
      </c>
      <c r="AR70" s="343">
        <v>0</v>
      </c>
      <c r="AS70" s="343"/>
      <c r="AT70" s="344">
        <v>0</v>
      </c>
      <c r="AU70" s="343">
        <v>0</v>
      </c>
      <c r="AV70" s="343">
        <v>0</v>
      </c>
      <c r="AW70" s="343">
        <v>0</v>
      </c>
      <c r="AX70" s="343">
        <v>0</v>
      </c>
      <c r="AY70" s="343">
        <v>0</v>
      </c>
      <c r="AZ70" s="343"/>
      <c r="BA70" s="343"/>
      <c r="BB70" s="343">
        <v>0</v>
      </c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96">
        <f t="shared" si="26"/>
        <v>0</v>
      </c>
      <c r="V71" s="997"/>
      <c r="W71" s="363"/>
      <c r="X71" s="224"/>
      <c r="Y71" s="976" t="str">
        <f>B71&amp;D71</f>
        <v>549F25</v>
      </c>
      <c r="Z71" s="938">
        <v>203501</v>
      </c>
      <c r="AA71" s="449">
        <v>0</v>
      </c>
      <c r="AB71" s="449">
        <v>0</v>
      </c>
      <c r="AC71" s="343">
        <v>0</v>
      </c>
      <c r="AD71" s="343">
        <v>0</v>
      </c>
      <c r="AE71" s="343"/>
      <c r="AF71" s="343">
        <v>0</v>
      </c>
      <c r="AG71" s="343">
        <v>0</v>
      </c>
      <c r="AH71" s="343">
        <v>0</v>
      </c>
      <c r="AI71" s="343">
        <v>0</v>
      </c>
      <c r="AJ71" s="343">
        <v>0</v>
      </c>
      <c r="AK71" s="343">
        <v>0</v>
      </c>
      <c r="AL71" s="343"/>
      <c r="AM71" s="343">
        <v>0</v>
      </c>
      <c r="AN71" s="343">
        <v>0</v>
      </c>
      <c r="AO71" s="343">
        <v>0</v>
      </c>
      <c r="AP71" s="343">
        <v>0</v>
      </c>
      <c r="AQ71" s="343">
        <v>0</v>
      </c>
      <c r="AR71" s="343">
        <v>0</v>
      </c>
      <c r="AS71" s="343"/>
      <c r="AT71" s="344">
        <v>0</v>
      </c>
      <c r="AU71" s="343">
        <v>0</v>
      </c>
      <c r="AV71" s="343">
        <v>0</v>
      </c>
      <c r="AW71" s="343">
        <v>0</v>
      </c>
      <c r="AX71" s="343">
        <v>0</v>
      </c>
      <c r="AY71" s="343">
        <v>0</v>
      </c>
      <c r="AZ71" s="343"/>
      <c r="BA71" s="343"/>
      <c r="BB71" s="343">
        <v>0</v>
      </c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96">
        <f>IF(T72=0,0,P72/T72)</f>
        <v>0</v>
      </c>
      <c r="V72" s="997"/>
      <c r="W72" s="363"/>
      <c r="X72" s="224"/>
      <c r="Y72" s="976" t="str">
        <f>B72&amp;D72</f>
        <v>549F40</v>
      </c>
      <c r="Z72" s="938">
        <v>203501</v>
      </c>
      <c r="AA72" s="449">
        <v>0</v>
      </c>
      <c r="AB72" s="449">
        <v>0</v>
      </c>
      <c r="AC72" s="343">
        <v>0</v>
      </c>
      <c r="AD72" s="343">
        <v>0</v>
      </c>
      <c r="AE72" s="343"/>
      <c r="AF72" s="343">
        <v>0</v>
      </c>
      <c r="AG72" s="343">
        <v>0</v>
      </c>
      <c r="AH72" s="343">
        <v>0</v>
      </c>
      <c r="AI72" s="343">
        <v>0</v>
      </c>
      <c r="AJ72" s="343">
        <v>0</v>
      </c>
      <c r="AK72" s="343">
        <v>0</v>
      </c>
      <c r="AL72" s="343"/>
      <c r="AM72" s="343">
        <v>0</v>
      </c>
      <c r="AN72" s="343">
        <v>0</v>
      </c>
      <c r="AO72" s="343">
        <v>0</v>
      </c>
      <c r="AP72" s="343">
        <v>0</v>
      </c>
      <c r="AQ72" s="343">
        <v>0</v>
      </c>
      <c r="AR72" s="343">
        <v>0</v>
      </c>
      <c r="AS72" s="343"/>
      <c r="AT72" s="344">
        <v>0</v>
      </c>
      <c r="AU72" s="343">
        <v>0</v>
      </c>
      <c r="AV72" s="343">
        <v>0</v>
      </c>
      <c r="AW72" s="343">
        <v>0</v>
      </c>
      <c r="AX72" s="343">
        <v>0</v>
      </c>
      <c r="AY72" s="343">
        <v>0</v>
      </c>
      <c r="AZ72" s="343"/>
      <c r="BA72" s="343"/>
      <c r="BB72" s="343">
        <v>0</v>
      </c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96">
        <f>IF(T73=0,0,P73/T73)</f>
        <v>0</v>
      </c>
      <c r="V73" s="997"/>
      <c r="W73" s="363"/>
      <c r="X73" s="224"/>
      <c r="Y73" s="976" t="str">
        <f>B73&amp;D73</f>
        <v>540F40</v>
      </c>
      <c r="Z73" s="938" t="s">
        <v>771</v>
      </c>
      <c r="AA73" s="449">
        <v>0</v>
      </c>
      <c r="AB73" s="449">
        <v>0</v>
      </c>
      <c r="AC73" s="343">
        <v>0</v>
      </c>
      <c r="AD73" s="343">
        <v>0</v>
      </c>
      <c r="AE73" s="343"/>
      <c r="AF73" s="343">
        <v>0</v>
      </c>
      <c r="AG73" s="343">
        <v>0</v>
      </c>
      <c r="AH73" s="343">
        <v>0</v>
      </c>
      <c r="AI73" s="343">
        <v>0</v>
      </c>
      <c r="AJ73" s="343">
        <v>0</v>
      </c>
      <c r="AK73" s="343">
        <v>0</v>
      </c>
      <c r="AL73" s="343"/>
      <c r="AM73" s="343">
        <v>0</v>
      </c>
      <c r="AN73" s="343">
        <v>0</v>
      </c>
      <c r="AO73" s="343">
        <v>0</v>
      </c>
      <c r="AP73" s="343">
        <v>0</v>
      </c>
      <c r="AQ73" s="343">
        <v>0</v>
      </c>
      <c r="AR73" s="343">
        <v>0</v>
      </c>
      <c r="AS73" s="343"/>
      <c r="AT73" s="344">
        <v>0</v>
      </c>
      <c r="AU73" s="343">
        <v>0</v>
      </c>
      <c r="AV73" s="343">
        <v>0</v>
      </c>
      <c r="AW73" s="343">
        <v>0</v>
      </c>
      <c r="AX73" s="343">
        <v>0</v>
      </c>
      <c r="AY73" s="343">
        <v>0</v>
      </c>
      <c r="AZ73" s="343"/>
      <c r="BA73" s="343"/>
      <c r="BB73" s="343">
        <v>0</v>
      </c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133840</v>
      </c>
      <c r="R74" s="344"/>
      <c r="S74" s="344"/>
      <c r="T74" s="389">
        <f t="shared" ref="T74:T102" si="29">Q74/$N$293</f>
        <v>5819.130434782609</v>
      </c>
      <c r="U74" s="996">
        <f t="shared" si="26"/>
        <v>0</v>
      </c>
      <c r="V74" s="997"/>
      <c r="W74" s="363"/>
      <c r="X74" s="224"/>
      <c r="Y74" s="976" t="str">
        <f t="shared" si="20"/>
        <v>540FSILO</v>
      </c>
      <c r="Z74" s="938" t="s">
        <v>771</v>
      </c>
      <c r="AA74" s="449">
        <v>0</v>
      </c>
      <c r="AB74" s="449">
        <v>0</v>
      </c>
      <c r="AC74" s="343">
        <v>0</v>
      </c>
      <c r="AD74" s="343">
        <v>0</v>
      </c>
      <c r="AE74" s="343"/>
      <c r="AF74" s="343">
        <v>14540</v>
      </c>
      <c r="AG74" s="343">
        <v>0</v>
      </c>
      <c r="AH74" s="343">
        <v>14790</v>
      </c>
      <c r="AI74" s="343">
        <v>14500</v>
      </c>
      <c r="AJ74" s="343">
        <v>0</v>
      </c>
      <c r="AK74" s="343">
        <v>0</v>
      </c>
      <c r="AL74" s="343"/>
      <c r="AM74" s="343">
        <v>15040</v>
      </c>
      <c r="AN74" s="343">
        <v>15000</v>
      </c>
      <c r="AO74" s="343">
        <v>15000</v>
      </c>
      <c r="AP74" s="343">
        <v>0</v>
      </c>
      <c r="AQ74" s="343">
        <v>0</v>
      </c>
      <c r="AR74" s="343">
        <v>15000</v>
      </c>
      <c r="AS74" s="343"/>
      <c r="AT74" s="344">
        <v>14960</v>
      </c>
      <c r="AU74" s="343">
        <v>15010</v>
      </c>
      <c r="AV74" s="343">
        <v>0</v>
      </c>
      <c r="AW74" s="343">
        <v>0</v>
      </c>
      <c r="AX74" s="343">
        <v>0</v>
      </c>
      <c r="AY74" s="343">
        <v>0</v>
      </c>
      <c r="AZ74" s="343"/>
      <c r="BA74" s="343"/>
      <c r="BB74" s="343">
        <v>0</v>
      </c>
      <c r="BC74" s="343"/>
      <c r="BD74" s="343"/>
      <c r="BE74" s="343"/>
      <c r="BF74" s="222">
        <f t="shared" si="5"/>
        <v>133840</v>
      </c>
      <c r="BG74" s="896">
        <f t="shared" si="6"/>
        <v>9</v>
      </c>
      <c r="BH74" s="896">
        <f t="shared" si="7"/>
        <v>14871.111111111111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56780</v>
      </c>
      <c r="R75" s="344"/>
      <c r="S75" s="344"/>
      <c r="T75" s="389">
        <f t="shared" si="29"/>
        <v>2468.695652173913</v>
      </c>
      <c r="U75" s="996">
        <f t="shared" si="26"/>
        <v>0</v>
      </c>
      <c r="V75" s="997"/>
      <c r="W75" s="363"/>
      <c r="X75" s="224"/>
      <c r="Y75" s="976" t="str">
        <f t="shared" si="20"/>
        <v>548FSILO</v>
      </c>
      <c r="Z75" s="938">
        <v>201501</v>
      </c>
      <c r="AA75" s="449">
        <v>0</v>
      </c>
      <c r="AB75" s="449">
        <v>14250</v>
      </c>
      <c r="AC75" s="343">
        <v>0</v>
      </c>
      <c r="AD75" s="343">
        <v>0</v>
      </c>
      <c r="AE75" s="343"/>
      <c r="AF75" s="343">
        <v>14270</v>
      </c>
      <c r="AG75" s="343">
        <v>0</v>
      </c>
      <c r="AH75" s="343">
        <v>14120</v>
      </c>
      <c r="AI75" s="343">
        <v>14140</v>
      </c>
      <c r="AJ75" s="343">
        <v>0</v>
      </c>
      <c r="AK75" s="343">
        <v>0</v>
      </c>
      <c r="AL75" s="343"/>
      <c r="AM75" s="343">
        <v>0</v>
      </c>
      <c r="AN75" s="343">
        <v>0</v>
      </c>
      <c r="AO75" s="343">
        <v>0</v>
      </c>
      <c r="AP75" s="343">
        <v>0</v>
      </c>
      <c r="AQ75" s="343">
        <v>0</v>
      </c>
      <c r="AR75" s="343">
        <v>0</v>
      </c>
      <c r="AS75" s="343"/>
      <c r="AT75" s="344">
        <v>0</v>
      </c>
      <c r="AU75" s="343">
        <v>0</v>
      </c>
      <c r="AV75" s="343">
        <v>0</v>
      </c>
      <c r="AW75" s="343">
        <v>0</v>
      </c>
      <c r="AX75" s="343">
        <v>0</v>
      </c>
      <c r="AY75" s="343">
        <v>0</v>
      </c>
      <c r="AZ75" s="343"/>
      <c r="BA75" s="343"/>
      <c r="BB75" s="343">
        <v>0</v>
      </c>
      <c r="BC75" s="343"/>
      <c r="BD75" s="343"/>
      <c r="BE75" s="343"/>
      <c r="BF75" s="222">
        <f t="shared" si="5"/>
        <v>56780</v>
      </c>
      <c r="BG75" s="896">
        <f t="shared" si="6"/>
        <v>4</v>
      </c>
      <c r="BH75" s="896">
        <f t="shared" si="7"/>
        <v>14195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96">
        <f>IF(T76=0,0,P76/T76)</f>
        <v>0</v>
      </c>
      <c r="V76" s="997"/>
      <c r="W76" s="363"/>
      <c r="X76" s="224"/>
      <c r="Y76" s="976" t="str">
        <f>B76&amp;D76</f>
        <v>548FP31SILO</v>
      </c>
      <c r="Z76" s="938">
        <v>20150831</v>
      </c>
      <c r="AA76" s="449">
        <v>0</v>
      </c>
      <c r="AB76" s="449">
        <v>0</v>
      </c>
      <c r="AC76" s="343">
        <v>0</v>
      </c>
      <c r="AD76" s="343">
        <v>0</v>
      </c>
      <c r="AE76" s="343"/>
      <c r="AF76" s="343">
        <v>0</v>
      </c>
      <c r="AG76" s="343">
        <v>0</v>
      </c>
      <c r="AH76" s="343">
        <v>0</v>
      </c>
      <c r="AI76" s="343">
        <v>0</v>
      </c>
      <c r="AJ76" s="343">
        <v>0</v>
      </c>
      <c r="AK76" s="343">
        <v>0</v>
      </c>
      <c r="AL76" s="343"/>
      <c r="AM76" s="343">
        <v>0</v>
      </c>
      <c r="AN76" s="343">
        <v>0</v>
      </c>
      <c r="AO76" s="343">
        <v>0</v>
      </c>
      <c r="AP76" s="343">
        <v>0</v>
      </c>
      <c r="AQ76" s="343">
        <v>0</v>
      </c>
      <c r="AR76" s="343">
        <v>0</v>
      </c>
      <c r="AS76" s="343"/>
      <c r="AT76" s="344">
        <v>0</v>
      </c>
      <c r="AU76" s="343">
        <v>0</v>
      </c>
      <c r="AV76" s="343">
        <v>0</v>
      </c>
      <c r="AW76" s="343">
        <v>0</v>
      </c>
      <c r="AX76" s="343">
        <v>0</v>
      </c>
      <c r="AY76" s="343">
        <v>0</v>
      </c>
      <c r="AZ76" s="343"/>
      <c r="BA76" s="343"/>
      <c r="BB76" s="343">
        <v>0</v>
      </c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96">
        <f t="shared" si="26"/>
        <v>0</v>
      </c>
      <c r="V77" s="997"/>
      <c r="W77" s="363"/>
      <c r="X77" s="224"/>
      <c r="Y77" s="976" t="str">
        <f>B77&amp;D77</f>
        <v>548FP33SILO</v>
      </c>
      <c r="Z77" s="938">
        <v>20150833</v>
      </c>
      <c r="AA77" s="449">
        <v>0</v>
      </c>
      <c r="AB77" s="449">
        <v>0</v>
      </c>
      <c r="AC77" s="343">
        <v>0</v>
      </c>
      <c r="AD77" s="343">
        <v>0</v>
      </c>
      <c r="AE77" s="343"/>
      <c r="AF77" s="343">
        <v>0</v>
      </c>
      <c r="AG77" s="343">
        <v>0</v>
      </c>
      <c r="AH77" s="343">
        <v>0</v>
      </c>
      <c r="AI77" s="343">
        <v>0</v>
      </c>
      <c r="AJ77" s="343">
        <v>0</v>
      </c>
      <c r="AK77" s="343">
        <v>0</v>
      </c>
      <c r="AL77" s="343"/>
      <c r="AM77" s="343">
        <v>0</v>
      </c>
      <c r="AN77" s="343">
        <v>0</v>
      </c>
      <c r="AO77" s="343">
        <v>0</v>
      </c>
      <c r="AP77" s="343">
        <v>0</v>
      </c>
      <c r="AQ77" s="343">
        <v>0</v>
      </c>
      <c r="AR77" s="343">
        <v>0</v>
      </c>
      <c r="AS77" s="343"/>
      <c r="AT77" s="344">
        <v>0</v>
      </c>
      <c r="AU77" s="343">
        <v>0</v>
      </c>
      <c r="AV77" s="343">
        <v>0</v>
      </c>
      <c r="AW77" s="343">
        <v>0</v>
      </c>
      <c r="AX77" s="343">
        <v>0</v>
      </c>
      <c r="AY77" s="343">
        <v>0</v>
      </c>
      <c r="AZ77" s="343"/>
      <c r="BA77" s="343"/>
      <c r="BB77" s="343">
        <v>0</v>
      </c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96">
        <f t="shared" si="26"/>
        <v>0</v>
      </c>
      <c r="V78" s="997"/>
      <c r="W78" s="363"/>
      <c r="X78" s="224"/>
      <c r="Y78" s="976" t="str">
        <f>B78&amp;D78</f>
        <v>548FP35SILO</v>
      </c>
      <c r="Z78" s="938">
        <v>20150835</v>
      </c>
      <c r="AA78" s="449">
        <v>0</v>
      </c>
      <c r="AB78" s="449">
        <v>0</v>
      </c>
      <c r="AC78" s="343">
        <v>0</v>
      </c>
      <c r="AD78" s="343">
        <v>0</v>
      </c>
      <c r="AE78" s="343"/>
      <c r="AF78" s="343">
        <v>0</v>
      </c>
      <c r="AG78" s="343">
        <v>0</v>
      </c>
      <c r="AH78" s="343">
        <v>0</v>
      </c>
      <c r="AI78" s="343">
        <v>0</v>
      </c>
      <c r="AJ78" s="343">
        <v>0</v>
      </c>
      <c r="AK78" s="343">
        <v>0</v>
      </c>
      <c r="AL78" s="343"/>
      <c r="AM78" s="343">
        <v>0</v>
      </c>
      <c r="AN78" s="343">
        <v>0</v>
      </c>
      <c r="AO78" s="343">
        <v>0</v>
      </c>
      <c r="AP78" s="343">
        <v>0</v>
      </c>
      <c r="AQ78" s="343">
        <v>0</v>
      </c>
      <c r="AR78" s="343">
        <v>0</v>
      </c>
      <c r="AS78" s="343"/>
      <c r="AT78" s="344">
        <v>0</v>
      </c>
      <c r="AU78" s="343">
        <v>0</v>
      </c>
      <c r="AV78" s="343">
        <v>0</v>
      </c>
      <c r="AW78" s="343">
        <v>0</v>
      </c>
      <c r="AX78" s="343">
        <v>0</v>
      </c>
      <c r="AY78" s="343">
        <v>0</v>
      </c>
      <c r="AZ78" s="343"/>
      <c r="BA78" s="343"/>
      <c r="BB78" s="343">
        <v>0</v>
      </c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29990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29990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187000</v>
      </c>
      <c r="R79" s="344"/>
      <c r="S79" s="344"/>
      <c r="T79" s="389">
        <f t="shared" si="29"/>
        <v>8130.434782608696</v>
      </c>
      <c r="U79" s="996">
        <f t="shared" si="26"/>
        <v>0</v>
      </c>
      <c r="V79" s="997"/>
      <c r="W79" s="363"/>
      <c r="X79" s="224"/>
      <c r="Y79" s="976" t="str">
        <f t="shared" si="20"/>
        <v>549FSILO</v>
      </c>
      <c r="Z79" s="938">
        <v>203501</v>
      </c>
      <c r="AA79" s="449">
        <v>14950</v>
      </c>
      <c r="AB79" s="449">
        <v>14930</v>
      </c>
      <c r="AC79" s="343">
        <v>0</v>
      </c>
      <c r="AD79" s="343">
        <v>0</v>
      </c>
      <c r="AE79" s="343"/>
      <c r="AF79" s="343">
        <v>0</v>
      </c>
      <c r="AG79" s="343">
        <v>0</v>
      </c>
      <c r="AH79" s="343">
        <v>0</v>
      </c>
      <c r="AI79" s="343">
        <v>0</v>
      </c>
      <c r="AJ79" s="343">
        <v>0</v>
      </c>
      <c r="AK79" s="343">
        <v>0</v>
      </c>
      <c r="AL79" s="343"/>
      <c r="AM79" s="343">
        <v>0</v>
      </c>
      <c r="AN79" s="343">
        <v>14000</v>
      </c>
      <c r="AO79" s="343">
        <v>0</v>
      </c>
      <c r="AP79" s="343">
        <v>0</v>
      </c>
      <c r="AQ79" s="343">
        <v>14020</v>
      </c>
      <c r="AR79" s="343">
        <v>0</v>
      </c>
      <c r="AS79" s="343"/>
      <c r="AT79" s="344">
        <v>14130</v>
      </c>
      <c r="AU79" s="343">
        <v>14320</v>
      </c>
      <c r="AV79" s="343">
        <v>28250</v>
      </c>
      <c r="AW79" s="343">
        <v>0</v>
      </c>
      <c r="AX79" s="343">
        <v>28220</v>
      </c>
      <c r="AY79" s="343">
        <v>14190</v>
      </c>
      <c r="AZ79" s="343"/>
      <c r="BA79" s="343"/>
      <c r="BB79" s="343">
        <v>29990</v>
      </c>
      <c r="BC79" s="343"/>
      <c r="BD79" s="343"/>
      <c r="BE79" s="343"/>
      <c r="BF79" s="222">
        <f t="shared" si="5"/>
        <v>187000</v>
      </c>
      <c r="BG79" s="896">
        <f t="shared" si="32"/>
        <v>10</v>
      </c>
      <c r="BH79" s="896">
        <f t="shared" si="33"/>
        <v>18700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96">
        <f t="shared" si="26"/>
        <v>0</v>
      </c>
      <c r="V80" s="997"/>
      <c r="W80" s="363"/>
      <c r="X80" s="224"/>
      <c r="Y80" s="976" t="str">
        <f t="shared" si="20"/>
        <v>510(S)SILO</v>
      </c>
      <c r="Z80" s="938" t="s">
        <v>772</v>
      </c>
      <c r="AA80" s="450">
        <v>0</v>
      </c>
      <c r="AB80" s="450">
        <v>0</v>
      </c>
      <c r="AC80" s="343">
        <v>0</v>
      </c>
      <c r="AD80" s="343">
        <v>0</v>
      </c>
      <c r="AE80" s="343"/>
      <c r="AF80" s="343">
        <v>0</v>
      </c>
      <c r="AG80" s="343">
        <v>0</v>
      </c>
      <c r="AH80" s="343">
        <v>0</v>
      </c>
      <c r="AI80" s="343">
        <v>0</v>
      </c>
      <c r="AJ80" s="343">
        <v>0</v>
      </c>
      <c r="AK80" s="343">
        <v>0</v>
      </c>
      <c r="AL80" s="343"/>
      <c r="AM80" s="343">
        <v>0</v>
      </c>
      <c r="AN80" s="343">
        <v>0</v>
      </c>
      <c r="AO80" s="343">
        <v>0</v>
      </c>
      <c r="AP80" s="343">
        <v>0</v>
      </c>
      <c r="AQ80" s="343">
        <v>0</v>
      </c>
      <c r="AR80" s="343">
        <v>0</v>
      </c>
      <c r="AS80" s="343"/>
      <c r="AT80" s="344">
        <v>0</v>
      </c>
      <c r="AU80" s="343">
        <v>0</v>
      </c>
      <c r="AV80" s="343">
        <v>0</v>
      </c>
      <c r="AW80" s="343">
        <v>0</v>
      </c>
      <c r="AX80" s="343">
        <v>0</v>
      </c>
      <c r="AY80" s="343">
        <v>0</v>
      </c>
      <c r="AZ80" s="343"/>
      <c r="BA80" s="343"/>
      <c r="BB80" s="343">
        <v>0</v>
      </c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96">
        <f t="shared" ref="U81:U86" si="35">IF(T81=0,0,P81/T81)</f>
        <v>0</v>
      </c>
      <c r="V81" s="997"/>
      <c r="W81" s="363"/>
      <c r="X81" s="224"/>
      <c r="Y81" s="976" t="str">
        <f t="shared" si="20"/>
        <v>510F(S)SILO</v>
      </c>
      <c r="Z81" s="938" t="s">
        <v>761</v>
      </c>
      <c r="AA81" s="450">
        <v>0</v>
      </c>
      <c r="AB81" s="450">
        <v>0</v>
      </c>
      <c r="AC81" s="343">
        <v>0</v>
      </c>
      <c r="AD81" s="343">
        <v>0</v>
      </c>
      <c r="AE81" s="343"/>
      <c r="AF81" s="343">
        <v>0</v>
      </c>
      <c r="AG81" s="343">
        <v>0</v>
      </c>
      <c r="AH81" s="343">
        <v>0</v>
      </c>
      <c r="AI81" s="343">
        <v>0</v>
      </c>
      <c r="AJ81" s="343">
        <v>0</v>
      </c>
      <c r="AK81" s="343">
        <v>0</v>
      </c>
      <c r="AL81" s="343"/>
      <c r="AM81" s="343">
        <v>0</v>
      </c>
      <c r="AN81" s="343">
        <v>0</v>
      </c>
      <c r="AO81" s="343">
        <v>0</v>
      </c>
      <c r="AP81" s="343">
        <v>0</v>
      </c>
      <c r="AQ81" s="343">
        <v>0</v>
      </c>
      <c r="AR81" s="343">
        <v>0</v>
      </c>
      <c r="AS81" s="343"/>
      <c r="AT81" s="344">
        <v>0</v>
      </c>
      <c r="AU81" s="343">
        <v>0</v>
      </c>
      <c r="AV81" s="343">
        <v>0</v>
      </c>
      <c r="AW81" s="343">
        <v>0</v>
      </c>
      <c r="AX81" s="343">
        <v>0</v>
      </c>
      <c r="AY81" s="343">
        <v>0</v>
      </c>
      <c r="AZ81" s="343"/>
      <c r="BA81" s="343"/>
      <c r="BB81" s="343">
        <v>0</v>
      </c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96">
        <f t="shared" si="35"/>
        <v>0</v>
      </c>
      <c r="V82" s="997"/>
      <c r="W82" s="363"/>
      <c r="X82" s="224"/>
      <c r="Y82" s="976" t="str">
        <f t="shared" si="20"/>
        <v>510NFP87SILO</v>
      </c>
      <c r="Z82" s="938">
        <v>11252887</v>
      </c>
      <c r="AA82" s="450">
        <v>0</v>
      </c>
      <c r="AB82" s="450">
        <v>0</v>
      </c>
      <c r="AC82" s="343">
        <v>0</v>
      </c>
      <c r="AD82" s="343">
        <v>0</v>
      </c>
      <c r="AE82" s="343"/>
      <c r="AF82" s="343">
        <v>0</v>
      </c>
      <c r="AG82" s="343">
        <v>0</v>
      </c>
      <c r="AH82" s="343">
        <v>0</v>
      </c>
      <c r="AI82" s="343">
        <v>0</v>
      </c>
      <c r="AJ82" s="343">
        <v>0</v>
      </c>
      <c r="AK82" s="343">
        <v>0</v>
      </c>
      <c r="AL82" s="343"/>
      <c r="AM82" s="343">
        <v>0</v>
      </c>
      <c r="AN82" s="343">
        <v>0</v>
      </c>
      <c r="AO82" s="343">
        <v>0</v>
      </c>
      <c r="AP82" s="343">
        <v>0</v>
      </c>
      <c r="AQ82" s="343">
        <v>0</v>
      </c>
      <c r="AR82" s="343">
        <v>0</v>
      </c>
      <c r="AS82" s="343"/>
      <c r="AT82" s="344">
        <v>0</v>
      </c>
      <c r="AU82" s="343">
        <v>0</v>
      </c>
      <c r="AV82" s="343">
        <v>0</v>
      </c>
      <c r="AW82" s="343">
        <v>0</v>
      </c>
      <c r="AX82" s="343">
        <v>0</v>
      </c>
      <c r="AY82" s="343">
        <v>0</v>
      </c>
      <c r="AZ82" s="343"/>
      <c r="BA82" s="343"/>
      <c r="BB82" s="343">
        <v>0</v>
      </c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96">
        <f t="shared" si="35"/>
        <v>0</v>
      </c>
      <c r="V83" s="997"/>
      <c r="W83" s="363"/>
      <c r="X83" s="224"/>
      <c r="Y83" s="976" t="str">
        <f>B83&amp;D83</f>
        <v>510NFP88SILO</v>
      </c>
      <c r="Z83" s="938">
        <v>11252888</v>
      </c>
      <c r="AA83" s="450">
        <v>0</v>
      </c>
      <c r="AB83" s="450">
        <v>0</v>
      </c>
      <c r="AC83" s="343">
        <v>0</v>
      </c>
      <c r="AD83" s="343">
        <v>0</v>
      </c>
      <c r="AE83" s="343"/>
      <c r="AF83" s="343">
        <v>0</v>
      </c>
      <c r="AG83" s="343">
        <v>0</v>
      </c>
      <c r="AH83" s="343">
        <v>0</v>
      </c>
      <c r="AI83" s="343">
        <v>0</v>
      </c>
      <c r="AJ83" s="343">
        <v>0</v>
      </c>
      <c r="AK83" s="343">
        <v>0</v>
      </c>
      <c r="AL83" s="343"/>
      <c r="AM83" s="343">
        <v>0</v>
      </c>
      <c r="AN83" s="343">
        <v>0</v>
      </c>
      <c r="AO83" s="343">
        <v>0</v>
      </c>
      <c r="AP83" s="343">
        <v>0</v>
      </c>
      <c r="AQ83" s="343">
        <v>0</v>
      </c>
      <c r="AR83" s="343">
        <v>0</v>
      </c>
      <c r="AS83" s="343"/>
      <c r="AT83" s="344">
        <v>0</v>
      </c>
      <c r="AU83" s="343">
        <v>0</v>
      </c>
      <c r="AV83" s="343">
        <v>0</v>
      </c>
      <c r="AW83" s="343">
        <v>0</v>
      </c>
      <c r="AX83" s="343">
        <v>0</v>
      </c>
      <c r="AY83" s="343">
        <v>0</v>
      </c>
      <c r="AZ83" s="343"/>
      <c r="BA83" s="343"/>
      <c r="BB83" s="343">
        <v>0</v>
      </c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96">
        <f t="shared" si="35"/>
        <v>0</v>
      </c>
      <c r="V84" s="997"/>
      <c r="W84" s="363"/>
      <c r="X84" s="224"/>
      <c r="Y84" s="976" t="str">
        <f>B84&amp;D84</f>
        <v>510NFP89SILO</v>
      </c>
      <c r="Z84" s="938">
        <v>11252888</v>
      </c>
      <c r="AA84" s="450">
        <v>0</v>
      </c>
      <c r="AB84" s="450">
        <v>0</v>
      </c>
      <c r="AC84" s="343">
        <v>0</v>
      </c>
      <c r="AD84" s="343">
        <v>0</v>
      </c>
      <c r="AE84" s="343"/>
      <c r="AF84" s="343">
        <v>0</v>
      </c>
      <c r="AG84" s="343">
        <v>0</v>
      </c>
      <c r="AH84" s="343">
        <v>0</v>
      </c>
      <c r="AI84" s="343">
        <v>0</v>
      </c>
      <c r="AJ84" s="343">
        <v>0</v>
      </c>
      <c r="AK84" s="343">
        <v>0</v>
      </c>
      <c r="AL84" s="343"/>
      <c r="AM84" s="343">
        <v>0</v>
      </c>
      <c r="AN84" s="343">
        <v>0</v>
      </c>
      <c r="AO84" s="343">
        <v>0</v>
      </c>
      <c r="AP84" s="343">
        <v>0</v>
      </c>
      <c r="AQ84" s="343">
        <v>0</v>
      </c>
      <c r="AR84" s="343">
        <v>0</v>
      </c>
      <c r="AS84" s="343"/>
      <c r="AT84" s="344">
        <v>0</v>
      </c>
      <c r="AU84" s="343">
        <v>0</v>
      </c>
      <c r="AV84" s="343">
        <v>0</v>
      </c>
      <c r="AW84" s="343">
        <v>0</v>
      </c>
      <c r="AX84" s="343">
        <v>0</v>
      </c>
      <c r="AY84" s="343">
        <v>0</v>
      </c>
      <c r="AZ84" s="343"/>
      <c r="BA84" s="343"/>
      <c r="BB84" s="343">
        <v>0</v>
      </c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96">
        <f t="shared" si="35"/>
        <v>0</v>
      </c>
      <c r="V85" s="997"/>
      <c r="W85" s="363"/>
      <c r="X85" s="224"/>
      <c r="Y85" s="976" t="str">
        <f>B85&amp;D85</f>
        <v>510NFP85SILO</v>
      </c>
      <c r="Z85" s="938">
        <v>11252885</v>
      </c>
      <c r="AA85" s="450">
        <v>0</v>
      </c>
      <c r="AB85" s="450">
        <v>0</v>
      </c>
      <c r="AC85" s="343">
        <v>0</v>
      </c>
      <c r="AD85" s="343">
        <v>0</v>
      </c>
      <c r="AE85" s="343"/>
      <c r="AF85" s="343">
        <v>0</v>
      </c>
      <c r="AG85" s="343">
        <v>0</v>
      </c>
      <c r="AH85" s="343">
        <v>0</v>
      </c>
      <c r="AI85" s="343">
        <v>0</v>
      </c>
      <c r="AJ85" s="343">
        <v>0</v>
      </c>
      <c r="AK85" s="343">
        <v>0</v>
      </c>
      <c r="AL85" s="343"/>
      <c r="AM85" s="343">
        <v>0</v>
      </c>
      <c r="AN85" s="343">
        <v>0</v>
      </c>
      <c r="AO85" s="343">
        <v>0</v>
      </c>
      <c r="AP85" s="343">
        <v>0</v>
      </c>
      <c r="AQ85" s="343">
        <v>0</v>
      </c>
      <c r="AR85" s="343">
        <v>0</v>
      </c>
      <c r="AS85" s="343"/>
      <c r="AT85" s="344">
        <v>0</v>
      </c>
      <c r="AU85" s="343">
        <v>0</v>
      </c>
      <c r="AV85" s="343">
        <v>0</v>
      </c>
      <c r="AW85" s="343">
        <v>0</v>
      </c>
      <c r="AX85" s="343">
        <v>0</v>
      </c>
      <c r="AY85" s="343">
        <v>0</v>
      </c>
      <c r="AZ85" s="343"/>
      <c r="BA85" s="343"/>
      <c r="BB85" s="343">
        <v>0</v>
      </c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96">
        <f t="shared" si="35"/>
        <v>0</v>
      </c>
      <c r="V86" s="997"/>
      <c r="W86" s="224"/>
      <c r="X86" s="224"/>
      <c r="Y86" s="976" t="str">
        <f t="shared" si="20"/>
        <v>510NFSILO</v>
      </c>
      <c r="Z86" s="938" t="s">
        <v>762</v>
      </c>
      <c r="AA86" s="450">
        <v>0</v>
      </c>
      <c r="AB86" s="450">
        <v>0</v>
      </c>
      <c r="AC86" s="343">
        <v>0</v>
      </c>
      <c r="AD86" s="343">
        <v>0</v>
      </c>
      <c r="AE86" s="343"/>
      <c r="AF86" s="343">
        <v>0</v>
      </c>
      <c r="AG86" s="343">
        <v>0</v>
      </c>
      <c r="AH86" s="343">
        <v>0</v>
      </c>
      <c r="AI86" s="343">
        <v>0</v>
      </c>
      <c r="AJ86" s="343">
        <v>0</v>
      </c>
      <c r="AK86" s="343">
        <v>0</v>
      </c>
      <c r="AL86" s="343"/>
      <c r="AM86" s="343">
        <v>0</v>
      </c>
      <c r="AN86" s="343">
        <v>0</v>
      </c>
      <c r="AO86" s="343">
        <v>0</v>
      </c>
      <c r="AP86" s="343">
        <v>0</v>
      </c>
      <c r="AQ86" s="343">
        <v>0</v>
      </c>
      <c r="AR86" s="343">
        <v>0</v>
      </c>
      <c r="AS86" s="343"/>
      <c r="AT86" s="344">
        <v>0</v>
      </c>
      <c r="AU86" s="343">
        <v>0</v>
      </c>
      <c r="AV86" s="343">
        <v>0</v>
      </c>
      <c r="AW86" s="343">
        <v>0</v>
      </c>
      <c r="AX86" s="343">
        <v>0</v>
      </c>
      <c r="AY86" s="343">
        <v>0</v>
      </c>
      <c r="AZ86" s="343"/>
      <c r="BA86" s="343"/>
      <c r="BB86" s="343">
        <v>0</v>
      </c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96">
        <f>IF(T87=0,0,P87/T87)</f>
        <v>0</v>
      </c>
      <c r="V87" s="997"/>
      <c r="W87" s="224"/>
      <c r="X87" s="224"/>
      <c r="Y87" s="976" t="str">
        <f>B87&amp;D87</f>
        <v>510NFP92SILO</v>
      </c>
      <c r="Z87" s="938">
        <v>11252892</v>
      </c>
      <c r="AA87" s="450">
        <v>0</v>
      </c>
      <c r="AB87" s="450">
        <v>0</v>
      </c>
      <c r="AC87" s="343">
        <v>0</v>
      </c>
      <c r="AD87" s="343">
        <v>0</v>
      </c>
      <c r="AE87" s="343"/>
      <c r="AF87" s="343">
        <v>0</v>
      </c>
      <c r="AG87" s="343">
        <v>0</v>
      </c>
      <c r="AH87" s="343">
        <v>0</v>
      </c>
      <c r="AI87" s="343">
        <v>0</v>
      </c>
      <c r="AJ87" s="343">
        <v>0</v>
      </c>
      <c r="AK87" s="343">
        <v>0</v>
      </c>
      <c r="AL87" s="343"/>
      <c r="AM87" s="343">
        <v>0</v>
      </c>
      <c r="AN87" s="343">
        <v>0</v>
      </c>
      <c r="AO87" s="343">
        <v>0</v>
      </c>
      <c r="AP87" s="343">
        <v>0</v>
      </c>
      <c r="AQ87" s="343">
        <v>0</v>
      </c>
      <c r="AR87" s="343">
        <v>0</v>
      </c>
      <c r="AS87" s="343"/>
      <c r="AT87" s="344">
        <v>0</v>
      </c>
      <c r="AU87" s="343">
        <v>0</v>
      </c>
      <c r="AV87" s="343">
        <v>0</v>
      </c>
      <c r="AW87" s="343">
        <v>0</v>
      </c>
      <c r="AX87" s="343">
        <v>0</v>
      </c>
      <c r="AY87" s="343">
        <v>0</v>
      </c>
      <c r="AZ87" s="343"/>
      <c r="BA87" s="343"/>
      <c r="BB87" s="343">
        <v>0</v>
      </c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96">
        <f t="shared" ref="U88:U102" si="36">IF(T88=0,0,P88/T88)</f>
        <v>0</v>
      </c>
      <c r="V88" s="997"/>
      <c r="W88" s="224"/>
      <c r="X88" s="224"/>
      <c r="Y88" s="976" t="str">
        <f t="shared" si="20"/>
        <v>511AFSILO</v>
      </c>
      <c r="Z88" s="938" t="s">
        <v>763</v>
      </c>
      <c r="AA88" s="450">
        <v>0</v>
      </c>
      <c r="AB88" s="450">
        <v>0</v>
      </c>
      <c r="AC88" s="343">
        <v>0</v>
      </c>
      <c r="AD88" s="343">
        <v>0</v>
      </c>
      <c r="AE88" s="343"/>
      <c r="AF88" s="343">
        <v>0</v>
      </c>
      <c r="AG88" s="343">
        <v>0</v>
      </c>
      <c r="AH88" s="343">
        <v>0</v>
      </c>
      <c r="AI88" s="343">
        <v>0</v>
      </c>
      <c r="AJ88" s="343">
        <v>0</v>
      </c>
      <c r="AK88" s="343">
        <v>0</v>
      </c>
      <c r="AL88" s="343"/>
      <c r="AM88" s="343">
        <v>0</v>
      </c>
      <c r="AN88" s="343">
        <v>0</v>
      </c>
      <c r="AO88" s="343">
        <v>0</v>
      </c>
      <c r="AP88" s="343">
        <v>0</v>
      </c>
      <c r="AQ88" s="343">
        <v>0</v>
      </c>
      <c r="AR88" s="343">
        <v>0</v>
      </c>
      <c r="AS88" s="343"/>
      <c r="AT88" s="344">
        <v>0</v>
      </c>
      <c r="AU88" s="343">
        <v>0</v>
      </c>
      <c r="AV88" s="343">
        <v>0</v>
      </c>
      <c r="AW88" s="343">
        <v>0</v>
      </c>
      <c r="AX88" s="343">
        <v>0</v>
      </c>
      <c r="AY88" s="343">
        <v>0</v>
      </c>
      <c r="AZ88" s="343"/>
      <c r="BA88" s="343"/>
      <c r="BB88" s="343">
        <v>0</v>
      </c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96">
        <f t="shared" si="36"/>
        <v>0</v>
      </c>
      <c r="V89" s="997"/>
      <c r="W89" s="224"/>
      <c r="X89" s="224"/>
      <c r="Y89" s="976" t="str">
        <f t="shared" si="20"/>
        <v>511ANFSILO</v>
      </c>
      <c r="Z89" s="938" t="s">
        <v>764</v>
      </c>
      <c r="AA89" s="450">
        <v>0</v>
      </c>
      <c r="AB89" s="450">
        <v>0</v>
      </c>
      <c r="AC89" s="343">
        <v>0</v>
      </c>
      <c r="AD89" s="343">
        <v>0</v>
      </c>
      <c r="AE89" s="343"/>
      <c r="AF89" s="343">
        <v>0</v>
      </c>
      <c r="AG89" s="343">
        <v>0</v>
      </c>
      <c r="AH89" s="343">
        <v>0</v>
      </c>
      <c r="AI89" s="343">
        <v>0</v>
      </c>
      <c r="AJ89" s="343">
        <v>0</v>
      </c>
      <c r="AK89" s="343">
        <v>0</v>
      </c>
      <c r="AL89" s="343"/>
      <c r="AM89" s="343">
        <v>0</v>
      </c>
      <c r="AN89" s="343">
        <v>0</v>
      </c>
      <c r="AO89" s="343">
        <v>0</v>
      </c>
      <c r="AP89" s="343">
        <v>0</v>
      </c>
      <c r="AQ89" s="343">
        <v>0</v>
      </c>
      <c r="AR89" s="343">
        <v>0</v>
      </c>
      <c r="AS89" s="343"/>
      <c r="AT89" s="344">
        <v>0</v>
      </c>
      <c r="AU89" s="343">
        <v>0</v>
      </c>
      <c r="AV89" s="343">
        <v>0</v>
      </c>
      <c r="AW89" s="343">
        <v>0</v>
      </c>
      <c r="AX89" s="343">
        <v>0</v>
      </c>
      <c r="AY89" s="343">
        <v>0</v>
      </c>
      <c r="AZ89" s="343"/>
      <c r="BA89" s="343"/>
      <c r="BB89" s="343">
        <v>0</v>
      </c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96">
        <f>IF(T90=0,0,P90/T90)</f>
        <v>0</v>
      </c>
      <c r="V90" s="997"/>
      <c r="W90" s="224"/>
      <c r="X90" s="224"/>
      <c r="Y90" s="976" t="str">
        <f t="shared" ref="Y90:Y95" si="37">B90&amp;D90</f>
        <v>511ANFP33SILO</v>
      </c>
      <c r="Z90" s="938">
        <v>11352833</v>
      </c>
      <c r="AA90" s="450">
        <v>0</v>
      </c>
      <c r="AB90" s="450">
        <v>0</v>
      </c>
      <c r="AC90" s="343">
        <v>0</v>
      </c>
      <c r="AD90" s="343">
        <v>0</v>
      </c>
      <c r="AE90" s="343"/>
      <c r="AF90" s="343">
        <v>0</v>
      </c>
      <c r="AG90" s="343">
        <v>0</v>
      </c>
      <c r="AH90" s="343">
        <v>0</v>
      </c>
      <c r="AI90" s="343">
        <v>0</v>
      </c>
      <c r="AJ90" s="343">
        <v>0</v>
      </c>
      <c r="AK90" s="343">
        <v>0</v>
      </c>
      <c r="AL90" s="343"/>
      <c r="AM90" s="343">
        <v>0</v>
      </c>
      <c r="AN90" s="343">
        <v>0</v>
      </c>
      <c r="AO90" s="343">
        <v>0</v>
      </c>
      <c r="AP90" s="343">
        <v>0</v>
      </c>
      <c r="AQ90" s="343">
        <v>0</v>
      </c>
      <c r="AR90" s="343">
        <v>0</v>
      </c>
      <c r="AS90" s="343"/>
      <c r="AT90" s="344">
        <v>0</v>
      </c>
      <c r="AU90" s="343">
        <v>0</v>
      </c>
      <c r="AV90" s="343">
        <v>0</v>
      </c>
      <c r="AW90" s="343">
        <v>0</v>
      </c>
      <c r="AX90" s="343">
        <v>0</v>
      </c>
      <c r="AY90" s="343">
        <v>0</v>
      </c>
      <c r="AZ90" s="343"/>
      <c r="BA90" s="343"/>
      <c r="BB90" s="343">
        <v>0</v>
      </c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96">
        <f>IF(T91=0,0,P91/T91)</f>
        <v>0</v>
      </c>
      <c r="V91" s="997"/>
      <c r="W91" s="224"/>
      <c r="X91" s="224"/>
      <c r="Y91" s="976" t="str">
        <f t="shared" si="37"/>
        <v>511ANFP35SILO</v>
      </c>
      <c r="Z91" s="938">
        <v>11352835</v>
      </c>
      <c r="AA91" s="450">
        <v>0</v>
      </c>
      <c r="AB91" s="450">
        <v>0</v>
      </c>
      <c r="AC91" s="343">
        <v>0</v>
      </c>
      <c r="AD91" s="343">
        <v>0</v>
      </c>
      <c r="AE91" s="343"/>
      <c r="AF91" s="343">
        <v>0</v>
      </c>
      <c r="AG91" s="343">
        <v>0</v>
      </c>
      <c r="AH91" s="343">
        <v>0</v>
      </c>
      <c r="AI91" s="343">
        <v>0</v>
      </c>
      <c r="AJ91" s="343">
        <v>0</v>
      </c>
      <c r="AK91" s="343">
        <v>0</v>
      </c>
      <c r="AL91" s="343"/>
      <c r="AM91" s="343">
        <v>0</v>
      </c>
      <c r="AN91" s="343">
        <v>0</v>
      </c>
      <c r="AO91" s="343">
        <v>0</v>
      </c>
      <c r="AP91" s="343">
        <v>0</v>
      </c>
      <c r="AQ91" s="343">
        <v>0</v>
      </c>
      <c r="AR91" s="343">
        <v>0</v>
      </c>
      <c r="AS91" s="343"/>
      <c r="AT91" s="344">
        <v>0</v>
      </c>
      <c r="AU91" s="343">
        <v>0</v>
      </c>
      <c r="AV91" s="343">
        <v>0</v>
      </c>
      <c r="AW91" s="343">
        <v>0</v>
      </c>
      <c r="AX91" s="343">
        <v>0</v>
      </c>
      <c r="AY91" s="343">
        <v>0</v>
      </c>
      <c r="AZ91" s="343"/>
      <c r="BA91" s="343"/>
      <c r="BB91" s="343">
        <v>0</v>
      </c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96">
        <f t="shared" si="36"/>
        <v>0</v>
      </c>
      <c r="V92" s="997"/>
      <c r="W92" s="224"/>
      <c r="X92" s="224"/>
      <c r="Y92" s="976" t="str">
        <f t="shared" si="37"/>
        <v>511ANFP85SILO</v>
      </c>
      <c r="Z92" s="938">
        <v>11352885</v>
      </c>
      <c r="AA92" s="450">
        <v>0</v>
      </c>
      <c r="AB92" s="450">
        <v>0</v>
      </c>
      <c r="AC92" s="343">
        <v>0</v>
      </c>
      <c r="AD92" s="343">
        <v>0</v>
      </c>
      <c r="AE92" s="343"/>
      <c r="AF92" s="343">
        <v>0</v>
      </c>
      <c r="AG92" s="343">
        <v>0</v>
      </c>
      <c r="AH92" s="343">
        <v>0</v>
      </c>
      <c r="AI92" s="343">
        <v>0</v>
      </c>
      <c r="AJ92" s="343">
        <v>0</v>
      </c>
      <c r="AK92" s="343">
        <v>0</v>
      </c>
      <c r="AL92" s="343"/>
      <c r="AM92" s="343">
        <v>0</v>
      </c>
      <c r="AN92" s="343">
        <v>0</v>
      </c>
      <c r="AO92" s="343">
        <v>0</v>
      </c>
      <c r="AP92" s="343">
        <v>0</v>
      </c>
      <c r="AQ92" s="343">
        <v>0</v>
      </c>
      <c r="AR92" s="343">
        <v>0</v>
      </c>
      <c r="AS92" s="343"/>
      <c r="AT92" s="344">
        <v>0</v>
      </c>
      <c r="AU92" s="343">
        <v>0</v>
      </c>
      <c r="AV92" s="343">
        <v>0</v>
      </c>
      <c r="AW92" s="343">
        <v>0</v>
      </c>
      <c r="AX92" s="343">
        <v>0</v>
      </c>
      <c r="AY92" s="343">
        <v>0</v>
      </c>
      <c r="AZ92" s="343"/>
      <c r="BA92" s="343"/>
      <c r="BB92" s="343">
        <v>0</v>
      </c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96">
        <f>IF(T93=0,0,P93/T93)</f>
        <v>0</v>
      </c>
      <c r="V93" s="997"/>
      <c r="W93" s="224"/>
      <c r="X93" s="224"/>
      <c r="Y93" s="976" t="str">
        <f t="shared" si="37"/>
        <v>511ANFP88SILO</v>
      </c>
      <c r="Z93" s="938">
        <v>11352888</v>
      </c>
      <c r="AA93" s="450">
        <v>0</v>
      </c>
      <c r="AB93" s="450">
        <v>0</v>
      </c>
      <c r="AC93" s="343">
        <v>0</v>
      </c>
      <c r="AD93" s="343">
        <v>0</v>
      </c>
      <c r="AE93" s="343"/>
      <c r="AF93" s="343">
        <v>0</v>
      </c>
      <c r="AG93" s="343">
        <v>0</v>
      </c>
      <c r="AH93" s="343">
        <v>0</v>
      </c>
      <c r="AI93" s="343">
        <v>0</v>
      </c>
      <c r="AJ93" s="343">
        <v>0</v>
      </c>
      <c r="AK93" s="343">
        <v>0</v>
      </c>
      <c r="AL93" s="343"/>
      <c r="AM93" s="343">
        <v>0</v>
      </c>
      <c r="AN93" s="343">
        <v>0</v>
      </c>
      <c r="AO93" s="343">
        <v>0</v>
      </c>
      <c r="AP93" s="343">
        <v>0</v>
      </c>
      <c r="AQ93" s="343">
        <v>0</v>
      </c>
      <c r="AR93" s="343">
        <v>0</v>
      </c>
      <c r="AS93" s="343"/>
      <c r="AT93" s="344">
        <v>0</v>
      </c>
      <c r="AU93" s="343">
        <v>0</v>
      </c>
      <c r="AV93" s="343">
        <v>0</v>
      </c>
      <c r="AW93" s="343">
        <v>0</v>
      </c>
      <c r="AX93" s="343">
        <v>0</v>
      </c>
      <c r="AY93" s="343">
        <v>0</v>
      </c>
      <c r="AZ93" s="343"/>
      <c r="BA93" s="343"/>
      <c r="BB93" s="343">
        <v>0</v>
      </c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96">
        <f>IF(T94=0,0,P94/T94)</f>
        <v>0</v>
      </c>
      <c r="V94" s="997"/>
      <c r="W94" s="224"/>
      <c r="X94" s="224"/>
      <c r="Y94" s="976" t="str">
        <f t="shared" si="37"/>
        <v>511ANFP89SILO</v>
      </c>
      <c r="Z94" s="938">
        <v>11352889</v>
      </c>
      <c r="AA94" s="450">
        <v>0</v>
      </c>
      <c r="AB94" s="450">
        <v>0</v>
      </c>
      <c r="AC94" s="343">
        <v>0</v>
      </c>
      <c r="AD94" s="343">
        <v>0</v>
      </c>
      <c r="AE94" s="343"/>
      <c r="AF94" s="343">
        <v>0</v>
      </c>
      <c r="AG94" s="343">
        <v>0</v>
      </c>
      <c r="AH94" s="343">
        <v>0</v>
      </c>
      <c r="AI94" s="343">
        <v>0</v>
      </c>
      <c r="AJ94" s="343">
        <v>0</v>
      </c>
      <c r="AK94" s="343">
        <v>0</v>
      </c>
      <c r="AL94" s="343"/>
      <c r="AM94" s="343">
        <v>0</v>
      </c>
      <c r="AN94" s="343">
        <v>0</v>
      </c>
      <c r="AO94" s="343">
        <v>0</v>
      </c>
      <c r="AP94" s="343">
        <v>0</v>
      </c>
      <c r="AQ94" s="343">
        <v>0</v>
      </c>
      <c r="AR94" s="343">
        <v>0</v>
      </c>
      <c r="AS94" s="343"/>
      <c r="AT94" s="344">
        <v>0</v>
      </c>
      <c r="AU94" s="343">
        <v>0</v>
      </c>
      <c r="AV94" s="343">
        <v>0</v>
      </c>
      <c r="AW94" s="343">
        <v>0</v>
      </c>
      <c r="AX94" s="343">
        <v>0</v>
      </c>
      <c r="AY94" s="343">
        <v>0</v>
      </c>
      <c r="AZ94" s="343"/>
      <c r="BA94" s="343"/>
      <c r="BB94" s="343">
        <v>0</v>
      </c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96">
        <f>IF(T95=0,0,P95/T95)</f>
        <v>0</v>
      </c>
      <c r="V95" s="997"/>
      <c r="W95" s="224"/>
      <c r="X95" s="224"/>
      <c r="Y95" s="976" t="str">
        <f t="shared" si="37"/>
        <v>511ANFP92SILO</v>
      </c>
      <c r="Z95" s="938">
        <v>11352892</v>
      </c>
      <c r="AA95" s="450">
        <v>0</v>
      </c>
      <c r="AB95" s="450">
        <v>0</v>
      </c>
      <c r="AC95" s="343">
        <v>0</v>
      </c>
      <c r="AD95" s="343">
        <v>0</v>
      </c>
      <c r="AE95" s="343"/>
      <c r="AF95" s="343">
        <v>0</v>
      </c>
      <c r="AG95" s="343">
        <v>0</v>
      </c>
      <c r="AH95" s="343">
        <v>0</v>
      </c>
      <c r="AI95" s="343">
        <v>0</v>
      </c>
      <c r="AJ95" s="343">
        <v>0</v>
      </c>
      <c r="AK95" s="343">
        <v>0</v>
      </c>
      <c r="AL95" s="343"/>
      <c r="AM95" s="343">
        <v>0</v>
      </c>
      <c r="AN95" s="343">
        <v>0</v>
      </c>
      <c r="AO95" s="343">
        <v>0</v>
      </c>
      <c r="AP95" s="343">
        <v>0</v>
      </c>
      <c r="AQ95" s="343">
        <v>0</v>
      </c>
      <c r="AR95" s="343">
        <v>0</v>
      </c>
      <c r="AS95" s="343"/>
      <c r="AT95" s="344">
        <v>0</v>
      </c>
      <c r="AU95" s="343">
        <v>0</v>
      </c>
      <c r="AV95" s="343">
        <v>0</v>
      </c>
      <c r="AW95" s="343">
        <v>0</v>
      </c>
      <c r="AX95" s="343">
        <v>0</v>
      </c>
      <c r="AY95" s="343">
        <v>0</v>
      </c>
      <c r="AZ95" s="343"/>
      <c r="BA95" s="343"/>
      <c r="BB95" s="343">
        <v>0</v>
      </c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96">
        <f t="shared" si="36"/>
        <v>0</v>
      </c>
      <c r="V96" s="997"/>
      <c r="W96" s="224"/>
      <c r="X96" s="224"/>
      <c r="Y96" s="976" t="str">
        <f t="shared" si="20"/>
        <v>511FSILO</v>
      </c>
      <c r="Z96" s="938" t="s">
        <v>765</v>
      </c>
      <c r="AA96" s="449">
        <v>0</v>
      </c>
      <c r="AB96" s="449">
        <v>0</v>
      </c>
      <c r="AC96" s="343">
        <v>0</v>
      </c>
      <c r="AD96" s="343">
        <v>0</v>
      </c>
      <c r="AE96" s="343"/>
      <c r="AF96" s="343">
        <v>0</v>
      </c>
      <c r="AG96" s="343">
        <v>0</v>
      </c>
      <c r="AH96" s="343">
        <v>0</v>
      </c>
      <c r="AI96" s="343">
        <v>0</v>
      </c>
      <c r="AJ96" s="343">
        <v>0</v>
      </c>
      <c r="AK96" s="343">
        <v>0</v>
      </c>
      <c r="AL96" s="343"/>
      <c r="AM96" s="343">
        <v>0</v>
      </c>
      <c r="AN96" s="343">
        <v>0</v>
      </c>
      <c r="AO96" s="343">
        <v>0</v>
      </c>
      <c r="AP96" s="343">
        <v>0</v>
      </c>
      <c r="AQ96" s="343">
        <v>0</v>
      </c>
      <c r="AR96" s="343">
        <v>0</v>
      </c>
      <c r="AS96" s="343"/>
      <c r="AT96" s="344">
        <v>0</v>
      </c>
      <c r="AU96" s="343">
        <v>0</v>
      </c>
      <c r="AV96" s="343">
        <v>0</v>
      </c>
      <c r="AW96" s="343">
        <v>0</v>
      </c>
      <c r="AX96" s="343">
        <v>0</v>
      </c>
      <c r="AY96" s="343">
        <v>0</v>
      </c>
      <c r="AZ96" s="343"/>
      <c r="BA96" s="343"/>
      <c r="BB96" s="343">
        <v>0</v>
      </c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96">
        <f t="shared" si="36"/>
        <v>0</v>
      </c>
      <c r="V97" s="997"/>
      <c r="W97" s="224"/>
      <c r="X97" s="224"/>
      <c r="Y97" s="976" t="str">
        <f t="shared" si="20"/>
        <v>511NFSILO</v>
      </c>
      <c r="Z97" s="938" t="s">
        <v>766</v>
      </c>
      <c r="AA97" s="450">
        <v>0</v>
      </c>
      <c r="AB97" s="450">
        <v>0</v>
      </c>
      <c r="AC97" s="343">
        <v>0</v>
      </c>
      <c r="AD97" s="343">
        <v>0</v>
      </c>
      <c r="AE97" s="343"/>
      <c r="AF97" s="343">
        <v>0</v>
      </c>
      <c r="AG97" s="343">
        <v>0</v>
      </c>
      <c r="AH97" s="343">
        <v>0</v>
      </c>
      <c r="AI97" s="343">
        <v>0</v>
      </c>
      <c r="AJ97" s="343">
        <v>0</v>
      </c>
      <c r="AK97" s="343">
        <v>0</v>
      </c>
      <c r="AL97" s="343"/>
      <c r="AM97" s="343">
        <v>0</v>
      </c>
      <c r="AN97" s="343">
        <v>0</v>
      </c>
      <c r="AO97" s="343">
        <v>0</v>
      </c>
      <c r="AP97" s="343">
        <v>0</v>
      </c>
      <c r="AQ97" s="343">
        <v>0</v>
      </c>
      <c r="AR97" s="343">
        <v>0</v>
      </c>
      <c r="AS97" s="343"/>
      <c r="AT97" s="344">
        <v>0</v>
      </c>
      <c r="AU97" s="343">
        <v>0</v>
      </c>
      <c r="AV97" s="343">
        <v>0</v>
      </c>
      <c r="AW97" s="343">
        <v>0</v>
      </c>
      <c r="AX97" s="343">
        <v>0</v>
      </c>
      <c r="AY97" s="343">
        <v>0</v>
      </c>
      <c r="AZ97" s="343"/>
      <c r="BA97" s="343"/>
      <c r="BB97" s="343">
        <v>0</v>
      </c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96">
        <f>IF(T98=0,0,P98/T98)</f>
        <v>0</v>
      </c>
      <c r="V98" s="997"/>
      <c r="W98" s="224"/>
      <c r="X98" s="224"/>
      <c r="Y98" s="976" t="str">
        <f>B98&amp;D98</f>
        <v>511NFP33SILO</v>
      </c>
      <c r="Z98" s="938">
        <v>11452833</v>
      </c>
      <c r="AA98" s="450">
        <v>0</v>
      </c>
      <c r="AB98" s="450">
        <v>0</v>
      </c>
      <c r="AC98" s="343">
        <v>0</v>
      </c>
      <c r="AD98" s="343">
        <v>0</v>
      </c>
      <c r="AE98" s="343"/>
      <c r="AF98" s="343">
        <v>0</v>
      </c>
      <c r="AG98" s="343">
        <v>0</v>
      </c>
      <c r="AH98" s="343">
        <v>0</v>
      </c>
      <c r="AI98" s="343">
        <v>0</v>
      </c>
      <c r="AJ98" s="343">
        <v>0</v>
      </c>
      <c r="AK98" s="343">
        <v>0</v>
      </c>
      <c r="AL98" s="343"/>
      <c r="AM98" s="343">
        <v>0</v>
      </c>
      <c r="AN98" s="343">
        <v>0</v>
      </c>
      <c r="AO98" s="343">
        <v>0</v>
      </c>
      <c r="AP98" s="343">
        <v>0</v>
      </c>
      <c r="AQ98" s="343">
        <v>0</v>
      </c>
      <c r="AR98" s="343">
        <v>0</v>
      </c>
      <c r="AS98" s="343"/>
      <c r="AT98" s="344">
        <v>0</v>
      </c>
      <c r="AU98" s="343">
        <v>0</v>
      </c>
      <c r="AV98" s="343">
        <v>0</v>
      </c>
      <c r="AW98" s="343">
        <v>0</v>
      </c>
      <c r="AX98" s="343">
        <v>0</v>
      </c>
      <c r="AY98" s="343">
        <v>0</v>
      </c>
      <c r="AZ98" s="343"/>
      <c r="BA98" s="343"/>
      <c r="BB98" s="343">
        <v>0</v>
      </c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96">
        <f t="shared" si="36"/>
        <v>0</v>
      </c>
      <c r="V99" s="997"/>
      <c r="W99" s="224"/>
      <c r="X99" s="224"/>
      <c r="Y99" s="976" t="str">
        <f>B99&amp;D99</f>
        <v>511NFP35SILO</v>
      </c>
      <c r="Z99" s="938">
        <v>11452835</v>
      </c>
      <c r="AA99" s="450">
        <v>0</v>
      </c>
      <c r="AB99" s="450">
        <v>0</v>
      </c>
      <c r="AC99" s="343">
        <v>0</v>
      </c>
      <c r="AD99" s="343">
        <v>0</v>
      </c>
      <c r="AE99" s="343"/>
      <c r="AF99" s="343">
        <v>0</v>
      </c>
      <c r="AG99" s="343">
        <v>0</v>
      </c>
      <c r="AH99" s="343">
        <v>0</v>
      </c>
      <c r="AI99" s="343">
        <v>0</v>
      </c>
      <c r="AJ99" s="343">
        <v>0</v>
      </c>
      <c r="AK99" s="343">
        <v>0</v>
      </c>
      <c r="AL99" s="343"/>
      <c r="AM99" s="343">
        <v>0</v>
      </c>
      <c r="AN99" s="343">
        <v>0</v>
      </c>
      <c r="AO99" s="343">
        <v>0</v>
      </c>
      <c r="AP99" s="343">
        <v>0</v>
      </c>
      <c r="AQ99" s="343">
        <v>0</v>
      </c>
      <c r="AR99" s="343">
        <v>0</v>
      </c>
      <c r="AS99" s="343"/>
      <c r="AT99" s="344">
        <v>0</v>
      </c>
      <c r="AU99" s="343">
        <v>0</v>
      </c>
      <c r="AV99" s="343">
        <v>0</v>
      </c>
      <c r="AW99" s="343">
        <v>0</v>
      </c>
      <c r="AX99" s="343">
        <v>0</v>
      </c>
      <c r="AY99" s="343">
        <v>0</v>
      </c>
      <c r="AZ99" s="343"/>
      <c r="BA99" s="343"/>
      <c r="BB99" s="343">
        <v>0</v>
      </c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96">
        <f>IF(T100=0,0,P100/T100)</f>
        <v>0</v>
      </c>
      <c r="V100" s="997"/>
      <c r="W100" s="224"/>
      <c r="X100" s="224"/>
      <c r="Y100" s="976" t="str">
        <f>B100&amp;D100</f>
        <v>511NFP85SILO</v>
      </c>
      <c r="Z100" s="938">
        <v>11452885</v>
      </c>
      <c r="AA100" s="450">
        <v>0</v>
      </c>
      <c r="AB100" s="450">
        <v>0</v>
      </c>
      <c r="AC100" s="343">
        <v>0</v>
      </c>
      <c r="AD100" s="343">
        <v>0</v>
      </c>
      <c r="AE100" s="343"/>
      <c r="AF100" s="343">
        <v>0</v>
      </c>
      <c r="AG100" s="343">
        <v>0</v>
      </c>
      <c r="AH100" s="343">
        <v>0</v>
      </c>
      <c r="AI100" s="343">
        <v>0</v>
      </c>
      <c r="AJ100" s="343">
        <v>0</v>
      </c>
      <c r="AK100" s="343">
        <v>0</v>
      </c>
      <c r="AL100" s="343"/>
      <c r="AM100" s="343">
        <v>0</v>
      </c>
      <c r="AN100" s="343">
        <v>0</v>
      </c>
      <c r="AO100" s="343">
        <v>0</v>
      </c>
      <c r="AP100" s="343">
        <v>0</v>
      </c>
      <c r="AQ100" s="343">
        <v>0</v>
      </c>
      <c r="AR100" s="343">
        <v>0</v>
      </c>
      <c r="AS100" s="343"/>
      <c r="AT100" s="344">
        <v>0</v>
      </c>
      <c r="AU100" s="343">
        <v>0</v>
      </c>
      <c r="AV100" s="343">
        <v>0</v>
      </c>
      <c r="AW100" s="343">
        <v>0</v>
      </c>
      <c r="AX100" s="343">
        <v>0</v>
      </c>
      <c r="AY100" s="343">
        <v>0</v>
      </c>
      <c r="AZ100" s="343"/>
      <c r="BA100" s="343"/>
      <c r="BB100" s="343">
        <v>0</v>
      </c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96">
        <f>IF(T101=0,0,P101/T101)</f>
        <v>0</v>
      </c>
      <c r="V101" s="997"/>
      <c r="W101" s="373"/>
      <c r="X101" s="373"/>
      <c r="Y101" s="976" t="str">
        <f>B101&amp;D101</f>
        <v>511NFP87SILO</v>
      </c>
      <c r="Z101" s="938">
        <v>11452887</v>
      </c>
      <c r="AA101" s="450">
        <v>0</v>
      </c>
      <c r="AB101" s="450">
        <v>0</v>
      </c>
      <c r="AC101" s="343">
        <v>0</v>
      </c>
      <c r="AD101" s="343">
        <v>0</v>
      </c>
      <c r="AE101" s="343"/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/>
      <c r="AM101" s="343">
        <v>0</v>
      </c>
      <c r="AN101" s="343">
        <v>0</v>
      </c>
      <c r="AO101" s="343">
        <v>0</v>
      </c>
      <c r="AP101" s="343">
        <v>0</v>
      </c>
      <c r="AQ101" s="343">
        <v>0</v>
      </c>
      <c r="AR101" s="343">
        <v>0</v>
      </c>
      <c r="AS101" s="343"/>
      <c r="AT101" s="344">
        <v>0</v>
      </c>
      <c r="AU101" s="343">
        <v>0</v>
      </c>
      <c r="AV101" s="343">
        <v>0</v>
      </c>
      <c r="AW101" s="343">
        <v>0</v>
      </c>
      <c r="AX101" s="343">
        <v>0</v>
      </c>
      <c r="AY101" s="343"/>
      <c r="AZ101" s="343"/>
      <c r="BA101" s="343"/>
      <c r="BB101" s="343">
        <v>0</v>
      </c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96">
        <f t="shared" si="36"/>
        <v>0</v>
      </c>
      <c r="V102" s="997"/>
      <c r="W102" s="373"/>
      <c r="X102" s="373"/>
      <c r="Y102" s="976" t="str">
        <f>B102&amp;D102</f>
        <v>513F(S)SILO</v>
      </c>
      <c r="Z102" s="938" t="s">
        <v>767</v>
      </c>
      <c r="AA102" s="450">
        <v>0</v>
      </c>
      <c r="AB102" s="450">
        <v>0</v>
      </c>
      <c r="AC102" s="343">
        <v>0</v>
      </c>
      <c r="AD102" s="343"/>
      <c r="AE102" s="343"/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/>
      <c r="AM102" s="343">
        <v>0</v>
      </c>
      <c r="AN102" s="343">
        <v>0</v>
      </c>
      <c r="AO102" s="343">
        <v>0</v>
      </c>
      <c r="AP102" s="343">
        <v>0</v>
      </c>
      <c r="AQ102" s="343">
        <v>0</v>
      </c>
      <c r="AR102" s="343">
        <v>0</v>
      </c>
      <c r="AS102" s="343"/>
      <c r="AT102" s="344">
        <v>0</v>
      </c>
      <c r="AU102" s="343">
        <v>0</v>
      </c>
      <c r="AV102" s="343">
        <v>0</v>
      </c>
      <c r="AW102" s="343">
        <v>0</v>
      </c>
      <c r="AX102" s="343">
        <v>0</v>
      </c>
      <c r="AY102" s="343"/>
      <c r="AZ102" s="343"/>
      <c r="BA102" s="343"/>
      <c r="BB102" s="343">
        <v>0</v>
      </c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993" t="s">
        <v>1740</v>
      </c>
      <c r="B103" s="994"/>
      <c r="C103" s="994"/>
      <c r="D103" s="995"/>
      <c r="E103" s="498">
        <f>SUM(E62:E71,E53,E52)</f>
        <v>3494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3494</v>
      </c>
      <c r="P103" s="498">
        <f>SUM(P62:P71,P53,P52)</f>
        <v>87350</v>
      </c>
      <c r="Q103" s="498">
        <f t="shared" si="39"/>
        <v>0</v>
      </c>
      <c r="R103" s="238">
        <f>SUM(R13,R16,R19)</f>
        <v>601000</v>
      </c>
      <c r="S103" s="238">
        <f>SUM(S13,S16,S19)</f>
        <v>2762270</v>
      </c>
      <c r="T103" s="238">
        <f>SUM(T53,T62:T69,T48)</f>
        <v>0</v>
      </c>
      <c r="U103" s="1179">
        <f>IF(T103=0,0,P103/T103)</f>
        <v>0</v>
      </c>
      <c r="V103" s="1180"/>
      <c r="W103" s="1198">
        <f>P108/T107</f>
        <v>5.0042175457142131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100950</v>
      </c>
      <c r="AB103" s="234">
        <f t="shared" si="41"/>
        <v>106780</v>
      </c>
      <c r="AC103" s="234">
        <f t="shared" si="41"/>
        <v>92650</v>
      </c>
      <c r="AD103" s="234">
        <f t="shared" si="41"/>
        <v>87750</v>
      </c>
      <c r="AE103" s="234">
        <f t="shared" si="41"/>
        <v>0</v>
      </c>
      <c r="AF103" s="234">
        <f t="shared" si="41"/>
        <v>170060</v>
      </c>
      <c r="AG103" s="234">
        <f t="shared" si="41"/>
        <v>170100</v>
      </c>
      <c r="AH103" s="234">
        <f t="shared" si="41"/>
        <v>107260</v>
      </c>
      <c r="AI103" s="234">
        <f t="shared" si="41"/>
        <v>80940</v>
      </c>
      <c r="AJ103" s="234">
        <f t="shared" si="41"/>
        <v>109150</v>
      </c>
      <c r="AK103" s="234">
        <f t="shared" si="41"/>
        <v>102350</v>
      </c>
      <c r="AL103" s="234">
        <f t="shared" si="41"/>
        <v>0</v>
      </c>
      <c r="AM103" s="234">
        <f t="shared" si="41"/>
        <v>138140</v>
      </c>
      <c r="AN103" s="234">
        <f t="shared" si="41"/>
        <v>150950</v>
      </c>
      <c r="AO103" s="234">
        <f t="shared" si="41"/>
        <v>107750</v>
      </c>
      <c r="AP103" s="234">
        <f t="shared" si="41"/>
        <v>129550</v>
      </c>
      <c r="AQ103" s="234">
        <f t="shared" si="41"/>
        <v>99520</v>
      </c>
      <c r="AR103" s="234">
        <f t="shared" si="41"/>
        <v>103800</v>
      </c>
      <c r="AS103" s="234">
        <f t="shared" si="41"/>
        <v>0</v>
      </c>
      <c r="AT103" s="234">
        <f t="shared" si="41"/>
        <v>166440</v>
      </c>
      <c r="AU103" s="234">
        <f t="shared" si="41"/>
        <v>104130</v>
      </c>
      <c r="AV103" s="234">
        <f t="shared" si="41"/>
        <v>102650</v>
      </c>
      <c r="AW103" s="234">
        <f t="shared" si="41"/>
        <v>71350</v>
      </c>
      <c r="AX103" s="234">
        <f t="shared" si="41"/>
        <v>118620</v>
      </c>
      <c r="AY103" s="234">
        <f t="shared" si="41"/>
        <v>193440</v>
      </c>
      <c r="AZ103" s="234">
        <f t="shared" si="41"/>
        <v>0</v>
      </c>
      <c r="BA103" s="234">
        <f t="shared" si="41"/>
        <v>0</v>
      </c>
      <c r="BB103" s="234">
        <f t="shared" si="41"/>
        <v>147940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2762270</v>
      </c>
      <c r="BG103" s="219"/>
      <c r="BH103" s="219"/>
      <c r="BJ103" s="209"/>
    </row>
    <row r="104" spans="1:62" s="235" customFormat="1" ht="15" customHeight="1">
      <c r="A104" s="993" t="s">
        <v>1765</v>
      </c>
      <c r="B104" s="994"/>
      <c r="C104" s="994"/>
      <c r="D104" s="995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199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993" t="s">
        <v>1741</v>
      </c>
      <c r="B105" s="994"/>
      <c r="C105" s="994"/>
      <c r="D105" s="995"/>
      <c r="E105" s="498">
        <f t="shared" ref="E105:N105" si="43">SUM(E10:E47,E49:E51,E54:E61)</f>
        <v>9741</v>
      </c>
      <c r="F105" s="498">
        <f>SUM(F10:F47,F49:F51,F54:F61)</f>
        <v>2891</v>
      </c>
      <c r="G105" s="498">
        <f t="shared" si="43"/>
        <v>0</v>
      </c>
      <c r="H105" s="498">
        <f t="shared" si="43"/>
        <v>0</v>
      </c>
      <c r="I105" s="498">
        <f t="shared" si="43"/>
        <v>2359</v>
      </c>
      <c r="J105" s="498">
        <f t="shared" si="43"/>
        <v>0</v>
      </c>
      <c r="K105" s="498">
        <f t="shared" si="43"/>
        <v>0</v>
      </c>
      <c r="L105" s="498">
        <f t="shared" si="43"/>
        <v>117950</v>
      </c>
      <c r="M105" s="498">
        <f t="shared" si="43"/>
        <v>0</v>
      </c>
      <c r="N105" s="498">
        <f t="shared" si="43"/>
        <v>0</v>
      </c>
      <c r="O105" s="498">
        <f>SUM(O10:O47,O49:O51,O54:O61)</f>
        <v>10273</v>
      </c>
      <c r="P105" s="498">
        <f>SUM(P10:P47,P49:P51,P54:P61)</f>
        <v>513650</v>
      </c>
      <c r="Q105" s="498">
        <f>SUM(Q10:Q71)-Q103</f>
        <v>2384650</v>
      </c>
      <c r="R105" s="498">
        <f>SUM(R11:R47,R49:R51,R54:R61)</f>
        <v>601000</v>
      </c>
      <c r="S105" s="498">
        <f>SUM(S11:S47,S49:S51,S54:S61)</f>
        <v>2908900</v>
      </c>
      <c r="T105" s="498">
        <f>SUM(T10:T47,T49:T51,T54:T61)</f>
        <v>103680.43478260869</v>
      </c>
      <c r="U105" s="1013">
        <f>IF(T105=0,0,P105/T105)</f>
        <v>4.9541651814731722</v>
      </c>
      <c r="V105" s="1014"/>
      <c r="W105" s="1199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29990</v>
      </c>
      <c r="G106" s="232">
        <f>SUM(G74:G102)</f>
        <v>0</v>
      </c>
      <c r="H106" s="232">
        <f>SUM(H74:H102)</f>
        <v>0</v>
      </c>
      <c r="I106" s="232">
        <f>SUM(L74:L102)</f>
        <v>29990</v>
      </c>
      <c r="J106" s="232"/>
      <c r="K106" s="232"/>
      <c r="L106" s="232">
        <f t="shared" ref="L106:Q106" si="44">SUM(L74:L102)</f>
        <v>29990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377620</v>
      </c>
      <c r="R106" s="236"/>
      <c r="S106" s="236"/>
      <c r="T106" s="237">
        <f>Q106/$N$293</f>
        <v>16418.260869565216</v>
      </c>
      <c r="U106" s="1013"/>
      <c r="V106" s="1014"/>
      <c r="W106" s="1199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990" t="s">
        <v>1742</v>
      </c>
      <c r="B107" s="991"/>
      <c r="C107" s="991"/>
      <c r="D107" s="992"/>
      <c r="E107" s="238">
        <f>SUM(E103:E105)</f>
        <v>13235</v>
      </c>
      <c r="F107" s="238">
        <f>SUM(F103:F105)</f>
        <v>2891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2359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13767</v>
      </c>
      <c r="P107" s="238">
        <f t="shared" si="45"/>
        <v>601000</v>
      </c>
      <c r="Q107" s="894">
        <f>+Q108</f>
        <v>2762270</v>
      </c>
      <c r="R107" s="236">
        <f>SUM(R11:R102)</f>
        <v>601000</v>
      </c>
      <c r="S107" s="236"/>
      <c r="T107" s="1055">
        <f>Q107/$N$293</f>
        <v>120098.69565217392</v>
      </c>
      <c r="U107" s="1011" t="s">
        <v>1761</v>
      </c>
      <c r="V107" s="1012"/>
      <c r="W107" s="1199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993" t="s">
        <v>1743</v>
      </c>
      <c r="B108" s="994"/>
      <c r="C108" s="994"/>
      <c r="D108" s="995"/>
      <c r="E108" s="232">
        <f>E103*25+E105*50+E106+E104*40</f>
        <v>574400</v>
      </c>
      <c r="F108" s="232">
        <f>F103*25+F105*50+F106+F104*40</f>
        <v>174540</v>
      </c>
      <c r="G108" s="232">
        <f>G103*25+G105*50+G106</f>
        <v>0</v>
      </c>
      <c r="H108" s="232">
        <f>H103*25+H105*50+H106</f>
        <v>0</v>
      </c>
      <c r="I108" s="232">
        <f>I103*25+I105*50+I106</f>
        <v>147940</v>
      </c>
      <c r="J108" s="232"/>
      <c r="K108" s="232"/>
      <c r="L108" s="232">
        <f>L103+L105+L106+L104</f>
        <v>147940</v>
      </c>
      <c r="M108" s="232">
        <f>+M105*50+M103*25</f>
        <v>0</v>
      </c>
      <c r="N108" s="232">
        <f>+N103*25+N104*40+N105*50</f>
        <v>0</v>
      </c>
      <c r="O108" s="558">
        <f>O103*25+O105*50+O106</f>
        <v>601000</v>
      </c>
      <c r="P108" s="232">
        <f>P103+P105+P106</f>
        <v>601000</v>
      </c>
      <c r="Q108" s="427">
        <f>+SUM(Q10:Q102)</f>
        <v>2762270</v>
      </c>
      <c r="R108" s="242"/>
      <c r="S108" s="242"/>
      <c r="T108" s="1056"/>
      <c r="U108" s="1011"/>
      <c r="V108" s="1012"/>
      <c r="W108" s="1200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54" t="s">
        <v>1735</v>
      </c>
      <c r="D112" s="1054"/>
      <c r="E112" s="1054"/>
      <c r="F112" s="1054"/>
      <c r="G112" s="1054"/>
      <c r="H112" s="1054"/>
      <c r="I112" s="1054"/>
      <c r="J112" s="1054"/>
      <c r="K112" s="1054"/>
      <c r="L112" s="1054"/>
      <c r="M112" s="1054"/>
      <c r="N112" s="1054"/>
      <c r="O112" s="1054"/>
      <c r="P112" s="1054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62" t="s">
        <v>86</v>
      </c>
      <c r="D113" s="1162"/>
      <c r="E113" s="1162"/>
      <c r="F113" s="1162"/>
      <c r="G113" s="1162"/>
      <c r="H113" s="1162"/>
      <c r="I113" s="1162"/>
      <c r="J113" s="1162"/>
      <c r="K113" s="1162"/>
      <c r="L113" s="1162"/>
      <c r="M113" s="1162"/>
      <c r="N113" s="1162"/>
      <c r="O113" s="1162"/>
      <c r="P113" s="1162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63" t="s">
        <v>1738</v>
      </c>
      <c r="D114" s="1163"/>
      <c r="E114" s="1163"/>
      <c r="F114" s="1163"/>
      <c r="G114" s="1163"/>
      <c r="H114" s="1163"/>
      <c r="I114" s="1163"/>
      <c r="J114" s="1163"/>
      <c r="K114" s="1163"/>
      <c r="L114" s="1163"/>
      <c r="M114" s="1163"/>
      <c r="N114" s="1163"/>
      <c r="O114" s="1163"/>
      <c r="P114" s="1163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46" t="s">
        <v>1675</v>
      </c>
      <c r="B115" s="1037" t="s">
        <v>1676</v>
      </c>
      <c r="C115" s="1037" t="s">
        <v>1677</v>
      </c>
      <c r="D115" s="1049" t="s">
        <v>1678</v>
      </c>
      <c r="E115" s="61" t="s">
        <v>0</v>
      </c>
      <c r="F115" s="1052" t="s">
        <v>1680</v>
      </c>
      <c r="G115" s="1057"/>
      <c r="H115" s="1053"/>
      <c r="I115" s="1052" t="s">
        <v>1681</v>
      </c>
      <c r="J115" s="1057"/>
      <c r="K115" s="1057"/>
      <c r="L115" s="1057"/>
      <c r="M115" s="1057"/>
      <c r="N115" s="1053"/>
      <c r="O115" s="1052" t="s">
        <v>1687</v>
      </c>
      <c r="P115" s="1053"/>
      <c r="Q115" s="194" t="s">
        <v>1727</v>
      </c>
      <c r="R115" s="334"/>
      <c r="S115" s="334"/>
      <c r="T115" s="194" t="s">
        <v>1728</v>
      </c>
      <c r="U115" s="1040" t="s">
        <v>1690</v>
      </c>
      <c r="V115" s="1041"/>
      <c r="W115" s="1176" t="s">
        <v>1692</v>
      </c>
      <c r="X115" s="1002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47"/>
      <c r="B116" s="1038"/>
      <c r="C116" s="1038"/>
      <c r="D116" s="1050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52" t="s">
        <v>1684</v>
      </c>
      <c r="J116" s="1057"/>
      <c r="K116" s="1057"/>
      <c r="L116" s="1053"/>
      <c r="M116" s="585" t="s">
        <v>1688</v>
      </c>
      <c r="N116" s="784" t="s">
        <v>1686</v>
      </c>
      <c r="O116" s="1052" t="s">
        <v>1732</v>
      </c>
      <c r="P116" s="1053"/>
      <c r="Q116" s="787" t="s">
        <v>1730</v>
      </c>
      <c r="R116" s="786"/>
      <c r="S116" s="786"/>
      <c r="T116" s="787" t="s">
        <v>1731</v>
      </c>
      <c r="U116" s="1042"/>
      <c r="V116" s="1043"/>
      <c r="W116" s="1177"/>
      <c r="X116" s="1003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48"/>
      <c r="B117" s="1039"/>
      <c r="C117" s="1039"/>
      <c r="D117" s="1051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44"/>
      <c r="V117" s="1045"/>
      <c r="W117" s="1178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2495</v>
      </c>
      <c r="C118" s="407" t="s">
        <v>40</v>
      </c>
      <c r="D118" s="876">
        <v>10</v>
      </c>
      <c r="E118" s="305">
        <v>11950</v>
      </c>
      <c r="F118" s="821">
        <v>0</v>
      </c>
      <c r="G118" s="305"/>
      <c r="H118" s="344">
        <v>3300</v>
      </c>
      <c r="I118" s="305">
        <f>SUMIF(data!$D:$D,INTGRATE!$B118&amp;INTGRATE!$D118,data!$J:$J)</f>
        <v>2240</v>
      </c>
      <c r="J118" s="305"/>
      <c r="K118" s="305"/>
      <c r="L118" s="248">
        <f>SUMIF(data!$D:$D,INTGRATE!$B118&amp;INTGRATE!$D118,data!$K:$K)</f>
        <v>22400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13010</v>
      </c>
      <c r="P118" s="305">
        <f t="shared" ref="P118:P161" si="46">O118*D118</f>
        <v>130100</v>
      </c>
      <c r="Q118" s="248">
        <f t="shared" ref="Q118:Q149" si="47">SUM(AA118:BE118)</f>
        <v>363400</v>
      </c>
      <c r="R118" s="222"/>
      <c r="S118" s="222"/>
      <c r="T118" s="248">
        <f t="shared" ref="T118:T149" si="48">Q118/$N$293</f>
        <v>15800</v>
      </c>
      <c r="U118" s="996">
        <f t="shared" ref="U118:U148" si="49">IF(T118=0,0,P118/T118)</f>
        <v>8.2341772151898738</v>
      </c>
      <c r="V118" s="997"/>
      <c r="W118" s="472"/>
      <c r="Y118" s="981" t="str">
        <f t="shared" ref="Y118:Y161" si="50">B118&amp;D118</f>
        <v>550PF10</v>
      </c>
      <c r="Z118" s="941">
        <v>0</v>
      </c>
      <c r="AA118" s="248">
        <v>7300</v>
      </c>
      <c r="AB118" s="343">
        <v>3600</v>
      </c>
      <c r="AC118" s="343">
        <v>10000</v>
      </c>
      <c r="AD118" s="343">
        <v>11500</v>
      </c>
      <c r="AE118" s="343"/>
      <c r="AF118" s="343">
        <v>31200</v>
      </c>
      <c r="AG118" s="343">
        <v>28000</v>
      </c>
      <c r="AH118" s="343">
        <v>7400</v>
      </c>
      <c r="AI118" s="343">
        <v>12200</v>
      </c>
      <c r="AJ118" s="343">
        <v>8200</v>
      </c>
      <c r="AK118" s="343">
        <v>12000</v>
      </c>
      <c r="AL118" s="343"/>
      <c r="AM118" s="343">
        <v>25200</v>
      </c>
      <c r="AN118" s="305">
        <v>22200</v>
      </c>
      <c r="AO118" s="343">
        <v>14300</v>
      </c>
      <c r="AP118" s="343">
        <v>16600</v>
      </c>
      <c r="AQ118" s="248">
        <v>9800</v>
      </c>
      <c r="AR118" s="343">
        <v>18750</v>
      </c>
      <c r="AS118" s="343"/>
      <c r="AT118" s="343">
        <v>17200</v>
      </c>
      <c r="AU118" s="343">
        <v>12600</v>
      </c>
      <c r="AV118" s="343">
        <v>25500</v>
      </c>
      <c r="AW118" s="343">
        <v>14950</v>
      </c>
      <c r="AX118" s="343">
        <v>7000</v>
      </c>
      <c r="AY118" s="343">
        <v>25500</v>
      </c>
      <c r="AZ118" s="343"/>
      <c r="BA118" s="343"/>
      <c r="BB118" s="343">
        <v>22400</v>
      </c>
      <c r="BC118" s="343"/>
      <c r="BD118" s="343"/>
      <c r="BE118" s="343"/>
      <c r="BF118" s="222">
        <f t="shared" ref="BF118:BF211" si="51">SUM(AA118:BE118)</f>
        <v>363400</v>
      </c>
      <c r="BG118" s="896">
        <f>COUNTIF(AA118:BE118,"&gt;0")</f>
        <v>23</v>
      </c>
      <c r="BH118" s="896">
        <f>IFERROR(BF118/BG118,0)</f>
        <v>15800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6973</v>
      </c>
      <c r="F119" s="100">
        <f>SUMIF(pro!$A:$A,INTGRATE!$Y:$Y,pro!$N:$N)</f>
        <v>0</v>
      </c>
      <c r="G119" s="248"/>
      <c r="H119" s="344">
        <f>SUMIF(CBIN!$A:$A,INTGRATE!$Y:$Y,CBIN!$G:$G)</f>
        <v>0</v>
      </c>
      <c r="I119" s="248">
        <f>SUMIF(data!$D:$D,INTGRATE!$B119&amp;INTGRATE!$D119,data!$J:$J)</f>
        <v>602</v>
      </c>
      <c r="J119" s="248"/>
      <c r="K119" s="248"/>
      <c r="L119" s="248">
        <f>SUMIF(data!$D:$D,INTGRATE!$B119&amp;INTGRATE!$D119,data!$K:$K)</f>
        <v>30100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6371</v>
      </c>
      <c r="P119" s="248">
        <f t="shared" si="46"/>
        <v>318550</v>
      </c>
      <c r="Q119" s="248">
        <f t="shared" si="47"/>
        <v>804000</v>
      </c>
      <c r="R119" s="408"/>
      <c r="S119" s="222"/>
      <c r="T119" s="248">
        <f t="shared" si="48"/>
        <v>34956.521739130432</v>
      </c>
      <c r="U119" s="996">
        <f t="shared" si="49"/>
        <v>9.112748756218906</v>
      </c>
      <c r="V119" s="997"/>
      <c r="W119" s="363"/>
      <c r="X119" s="251"/>
      <c r="Y119" s="981" t="str">
        <f t="shared" si="50"/>
        <v>550SF50</v>
      </c>
      <c r="Z119" s="942" t="s">
        <v>773</v>
      </c>
      <c r="AA119" s="248">
        <v>4500</v>
      </c>
      <c r="AB119" s="343">
        <v>31650</v>
      </c>
      <c r="AC119" s="343">
        <v>66800</v>
      </c>
      <c r="AD119" s="343">
        <v>56500</v>
      </c>
      <c r="AE119" s="343"/>
      <c r="AF119" s="343">
        <v>69750</v>
      </c>
      <c r="AG119" s="343">
        <v>15650</v>
      </c>
      <c r="AH119" s="343">
        <v>72750</v>
      </c>
      <c r="AI119" s="343">
        <v>0</v>
      </c>
      <c r="AJ119" s="343">
        <v>34800</v>
      </c>
      <c r="AK119" s="343">
        <v>47500</v>
      </c>
      <c r="AL119" s="343"/>
      <c r="AM119" s="343">
        <v>115450</v>
      </c>
      <c r="AN119" s="248">
        <v>10000</v>
      </c>
      <c r="AO119" s="343">
        <v>14050</v>
      </c>
      <c r="AP119" s="343">
        <v>8000</v>
      </c>
      <c r="AQ119" s="248">
        <v>20600</v>
      </c>
      <c r="AR119" s="343">
        <v>0</v>
      </c>
      <c r="AS119" s="343"/>
      <c r="AT119" s="343">
        <v>56500</v>
      </c>
      <c r="AU119" s="343">
        <v>34250</v>
      </c>
      <c r="AV119" s="343">
        <v>41950</v>
      </c>
      <c r="AW119" s="343">
        <v>8550</v>
      </c>
      <c r="AX119" s="343">
        <v>47400</v>
      </c>
      <c r="AY119" s="343">
        <v>17250</v>
      </c>
      <c r="AZ119" s="343"/>
      <c r="BA119" s="343"/>
      <c r="BB119" s="343">
        <v>30100</v>
      </c>
      <c r="BC119" s="343"/>
      <c r="BD119" s="343"/>
      <c r="BE119" s="343"/>
      <c r="BF119" s="222">
        <f t="shared" si="51"/>
        <v>804000</v>
      </c>
      <c r="BG119" s="896">
        <f t="shared" ref="BG119:BG184" si="53">COUNTIF(AA119:BE119,"&gt;0")</f>
        <v>21</v>
      </c>
      <c r="BH119" s="896">
        <f t="shared" ref="BH119:BH184" si="54">IFERROR(BF119/BG119,0)</f>
        <v>38285.714285714283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96">
        <f t="shared" si="49"/>
        <v>0</v>
      </c>
      <c r="V120" s="997"/>
      <c r="W120" s="600"/>
      <c r="X120" s="251"/>
      <c r="Y120" s="981" t="str">
        <f t="shared" si="50"/>
        <v>550S FS2025</v>
      </c>
      <c r="Z120" s="942">
        <v>31210820</v>
      </c>
      <c r="AA120" s="248">
        <v>0</v>
      </c>
      <c r="AB120" s="343">
        <v>0</v>
      </c>
      <c r="AC120" s="343">
        <v>0</v>
      </c>
      <c r="AD120" s="343">
        <v>0</v>
      </c>
      <c r="AE120" s="343"/>
      <c r="AF120" s="343">
        <v>0</v>
      </c>
      <c r="AG120" s="343">
        <v>0</v>
      </c>
      <c r="AH120" s="343">
        <v>0</v>
      </c>
      <c r="AI120" s="343">
        <v>0</v>
      </c>
      <c r="AJ120" s="343">
        <v>0</v>
      </c>
      <c r="AK120" s="343">
        <v>0</v>
      </c>
      <c r="AL120" s="343"/>
      <c r="AM120" s="343">
        <v>0</v>
      </c>
      <c r="AN120" s="248">
        <v>0</v>
      </c>
      <c r="AO120" s="343">
        <v>0</v>
      </c>
      <c r="AP120" s="343">
        <v>0</v>
      </c>
      <c r="AQ120" s="248">
        <v>0</v>
      </c>
      <c r="AR120" s="343">
        <v>0</v>
      </c>
      <c r="AS120" s="343"/>
      <c r="AT120" s="343">
        <v>0</v>
      </c>
      <c r="AU120" s="343">
        <v>0</v>
      </c>
      <c r="AV120" s="343">
        <v>0</v>
      </c>
      <c r="AW120" s="343">
        <v>0</v>
      </c>
      <c r="AX120" s="343">
        <v>0</v>
      </c>
      <c r="AY120" s="343">
        <v>0</v>
      </c>
      <c r="AZ120" s="343"/>
      <c r="BA120" s="343"/>
      <c r="BB120" s="343">
        <v>0</v>
      </c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2610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96">
        <f t="shared" si="49"/>
        <v>0</v>
      </c>
      <c r="V121" s="997"/>
      <c r="W121" s="600"/>
      <c r="X121" s="251"/>
      <c r="Y121" s="981" t="str">
        <f t="shared" si="50"/>
        <v>550SFS1350</v>
      </c>
      <c r="Z121" s="942">
        <v>31210813</v>
      </c>
      <c r="AA121" s="248">
        <v>0</v>
      </c>
      <c r="AB121" s="343">
        <v>0</v>
      </c>
      <c r="AC121" s="343">
        <v>0</v>
      </c>
      <c r="AD121" s="343">
        <v>0</v>
      </c>
      <c r="AE121" s="343"/>
      <c r="AF121" s="343">
        <v>0</v>
      </c>
      <c r="AG121" s="343">
        <v>0</v>
      </c>
      <c r="AH121" s="343">
        <v>0</v>
      </c>
      <c r="AI121" s="343">
        <v>0</v>
      </c>
      <c r="AJ121" s="343">
        <v>0</v>
      </c>
      <c r="AK121" s="343">
        <v>0</v>
      </c>
      <c r="AL121" s="343"/>
      <c r="AM121" s="343">
        <v>0</v>
      </c>
      <c r="AN121" s="248">
        <v>0</v>
      </c>
      <c r="AO121" s="343">
        <v>0</v>
      </c>
      <c r="AP121" s="343">
        <v>0</v>
      </c>
      <c r="AQ121" s="248">
        <v>0</v>
      </c>
      <c r="AR121" s="343">
        <v>0</v>
      </c>
      <c r="AS121" s="343"/>
      <c r="AT121" s="343">
        <v>0</v>
      </c>
      <c r="AU121" s="343">
        <v>0</v>
      </c>
      <c r="AV121" s="343">
        <v>0</v>
      </c>
      <c r="AW121" s="343">
        <v>0</v>
      </c>
      <c r="AX121" s="343">
        <v>0</v>
      </c>
      <c r="AY121" s="343">
        <v>0</v>
      </c>
      <c r="AZ121" s="343"/>
      <c r="BA121" s="343"/>
      <c r="BB121" s="343">
        <v>0</v>
      </c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11402</v>
      </c>
      <c r="F122" s="100">
        <f>SUMIF(pro!$A:$A,INTGRATE!$Y:$Y,pro!$N:$N)</f>
        <v>0</v>
      </c>
      <c r="G122" s="248"/>
      <c r="H122" s="344">
        <f>SUMIF(CBIN!$A:$A,INTGRATE!$Y:$Y,CBIN!$G:$G)</f>
        <v>0</v>
      </c>
      <c r="I122" s="248">
        <f>SUMIF(data!$D:$D,INTGRATE!$B122&amp;INTGRATE!$D122,data!$J:$J)</f>
        <v>2666</v>
      </c>
      <c r="J122" s="248"/>
      <c r="K122" s="248"/>
      <c r="L122" s="248">
        <f>SUMIF(data!$D:$D,INTGRATE!$B122&amp;INTGRATE!$D122,data!$K:$K)</f>
        <v>133300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8736</v>
      </c>
      <c r="P122" s="248">
        <f>O122*D122</f>
        <v>436800</v>
      </c>
      <c r="Q122" s="248">
        <f>SUM(AA122:BE122)</f>
        <v>2049750</v>
      </c>
      <c r="R122" s="408"/>
      <c r="S122" s="222"/>
      <c r="T122" s="248">
        <f t="shared" si="48"/>
        <v>89119.565217391311</v>
      </c>
      <c r="U122" s="996">
        <f>IF(T122=0,0,P122/T122)</f>
        <v>4.9012806439809733</v>
      </c>
      <c r="V122" s="997"/>
      <c r="W122" s="600"/>
      <c r="X122" s="251"/>
      <c r="Y122" s="981" t="str">
        <f t="shared" si="50"/>
        <v>550SFS3150</v>
      </c>
      <c r="Z122" s="942">
        <v>31210831</v>
      </c>
      <c r="AA122" s="248">
        <v>83200</v>
      </c>
      <c r="AB122" s="343">
        <v>33300</v>
      </c>
      <c r="AC122" s="343">
        <v>39150</v>
      </c>
      <c r="AD122" s="343">
        <v>60150</v>
      </c>
      <c r="AE122" s="343"/>
      <c r="AF122" s="343">
        <v>158650</v>
      </c>
      <c r="AG122" s="343">
        <v>177400</v>
      </c>
      <c r="AH122" s="343">
        <v>20000</v>
      </c>
      <c r="AI122" s="343">
        <v>69900</v>
      </c>
      <c r="AJ122" s="343">
        <v>84250</v>
      </c>
      <c r="AK122" s="343">
        <v>105500</v>
      </c>
      <c r="AL122" s="343"/>
      <c r="AM122" s="343">
        <v>156850</v>
      </c>
      <c r="AN122" s="248">
        <v>97950</v>
      </c>
      <c r="AO122" s="343">
        <v>76750</v>
      </c>
      <c r="AP122" s="343">
        <v>26850</v>
      </c>
      <c r="AQ122" s="248">
        <v>106150</v>
      </c>
      <c r="AR122" s="343">
        <v>38750</v>
      </c>
      <c r="AS122" s="343"/>
      <c r="AT122" s="343">
        <v>114300</v>
      </c>
      <c r="AU122" s="343">
        <v>81300</v>
      </c>
      <c r="AV122" s="343">
        <v>115800</v>
      </c>
      <c r="AW122" s="343">
        <v>62550</v>
      </c>
      <c r="AX122" s="343">
        <v>88550</v>
      </c>
      <c r="AY122" s="343">
        <v>119150</v>
      </c>
      <c r="AZ122" s="343"/>
      <c r="BA122" s="343"/>
      <c r="BB122" s="343">
        <v>133300</v>
      </c>
      <c r="BC122" s="343"/>
      <c r="BD122" s="343"/>
      <c r="BE122" s="343"/>
      <c r="BF122" s="222">
        <f t="shared" si="51"/>
        <v>2049750</v>
      </c>
      <c r="BG122" s="896">
        <f t="shared" si="53"/>
        <v>23</v>
      </c>
      <c r="BH122" s="896">
        <f t="shared" si="54"/>
        <v>89119.565217391311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1492</v>
      </c>
      <c r="F123" s="100">
        <f>SUMIF(pro!$A:$A,INTGRATE!$Y:$Y,pro!$N:$N)</f>
        <v>1836</v>
      </c>
      <c r="G123" s="248"/>
      <c r="H123" s="344">
        <f>SUMIF(CBIN!$A:$A,INTGRATE!$Y:$Y,CBIN!$G:$G)</f>
        <v>0</v>
      </c>
      <c r="I123" s="248">
        <f>SUMIF(data!$D:$D,INTGRATE!$B123&amp;INTGRATE!$D123,data!$J:$J)</f>
        <v>910</v>
      </c>
      <c r="J123" s="248"/>
      <c r="K123" s="248"/>
      <c r="L123" s="248">
        <f>SUMIF(data!$D:$D,INTGRATE!$B123&amp;INTGRATE!$D123,data!$K:$K)</f>
        <v>45500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2418</v>
      </c>
      <c r="P123" s="248">
        <f>O123*D123</f>
        <v>120900</v>
      </c>
      <c r="Q123" s="248">
        <f>SUM(AA123:BE123)</f>
        <v>447900</v>
      </c>
      <c r="R123" s="408"/>
      <c r="S123" s="222"/>
      <c r="T123" s="248">
        <f t="shared" si="48"/>
        <v>19473.91304347826</v>
      </c>
      <c r="U123" s="996">
        <f>IF(T123=0,0,P123/T123)</f>
        <v>6.2083054253181515</v>
      </c>
      <c r="V123" s="997"/>
      <c r="W123" s="600"/>
      <c r="X123" s="251"/>
      <c r="Y123" s="981" t="str">
        <f t="shared" si="50"/>
        <v>550SFS2550</v>
      </c>
      <c r="Z123" s="942">
        <v>31210825</v>
      </c>
      <c r="AA123" s="248">
        <v>9000</v>
      </c>
      <c r="AB123" s="343">
        <v>0</v>
      </c>
      <c r="AC123" s="343">
        <v>17000</v>
      </c>
      <c r="AD123" s="343">
        <v>15000</v>
      </c>
      <c r="AE123" s="343"/>
      <c r="AF123" s="343">
        <v>16500</v>
      </c>
      <c r="AG123" s="343">
        <v>20000</v>
      </c>
      <c r="AH123" s="343">
        <v>16000</v>
      </c>
      <c r="AI123" s="343">
        <v>20000</v>
      </c>
      <c r="AJ123" s="343">
        <v>9500</v>
      </c>
      <c r="AK123" s="343">
        <v>0</v>
      </c>
      <c r="AL123" s="343"/>
      <c r="AM123" s="343">
        <v>14500</v>
      </c>
      <c r="AN123" s="248">
        <v>26000</v>
      </c>
      <c r="AO123" s="343">
        <v>14100</v>
      </c>
      <c r="AP123" s="343">
        <v>49650</v>
      </c>
      <c r="AQ123" s="248">
        <v>15000</v>
      </c>
      <c r="AR123" s="343">
        <v>15650</v>
      </c>
      <c r="AS123" s="343"/>
      <c r="AT123" s="343">
        <v>9000</v>
      </c>
      <c r="AU123" s="343">
        <v>16500</v>
      </c>
      <c r="AV123" s="343">
        <v>27500</v>
      </c>
      <c r="AW123" s="343">
        <v>50000</v>
      </c>
      <c r="AX123" s="343">
        <v>16500</v>
      </c>
      <c r="AY123" s="343">
        <v>25000</v>
      </c>
      <c r="AZ123" s="343"/>
      <c r="BA123" s="343"/>
      <c r="BB123" s="343">
        <v>45500</v>
      </c>
      <c r="BC123" s="343"/>
      <c r="BD123" s="343"/>
      <c r="BE123" s="343"/>
      <c r="BF123" s="222">
        <f t="shared" si="51"/>
        <v>447900</v>
      </c>
      <c r="BG123" s="896">
        <f t="shared" si="53"/>
        <v>21</v>
      </c>
      <c r="BH123" s="896">
        <f t="shared" si="54"/>
        <v>21328.571428571428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96">
        <f t="shared" si="49"/>
        <v>0</v>
      </c>
      <c r="V124" s="997"/>
      <c r="W124" s="363"/>
      <c r="X124" s="251"/>
      <c r="Y124" s="981" t="str">
        <f t="shared" si="50"/>
        <v>550S FS8725</v>
      </c>
      <c r="Z124" s="942">
        <v>31210887</v>
      </c>
      <c r="AA124" s="248">
        <v>0</v>
      </c>
      <c r="AB124" s="343">
        <v>0</v>
      </c>
      <c r="AC124" s="343">
        <v>0</v>
      </c>
      <c r="AD124" s="343">
        <v>0</v>
      </c>
      <c r="AE124" s="343"/>
      <c r="AF124" s="343">
        <v>0</v>
      </c>
      <c r="AG124" s="343">
        <v>0</v>
      </c>
      <c r="AH124" s="343">
        <v>0</v>
      </c>
      <c r="AI124" s="343">
        <v>0</v>
      </c>
      <c r="AJ124" s="343">
        <v>0</v>
      </c>
      <c r="AK124" s="343">
        <v>0</v>
      </c>
      <c r="AL124" s="343"/>
      <c r="AM124" s="343">
        <v>0</v>
      </c>
      <c r="AN124" s="248">
        <v>0</v>
      </c>
      <c r="AO124" s="343">
        <v>0</v>
      </c>
      <c r="AP124" s="343">
        <v>0</v>
      </c>
      <c r="AQ124" s="248">
        <v>0</v>
      </c>
      <c r="AR124" s="343">
        <v>0</v>
      </c>
      <c r="AS124" s="343"/>
      <c r="AT124" s="343">
        <v>0</v>
      </c>
      <c r="AU124" s="343">
        <v>0</v>
      </c>
      <c r="AV124" s="343">
        <v>0</v>
      </c>
      <c r="AW124" s="343">
        <v>0</v>
      </c>
      <c r="AX124" s="343">
        <v>0</v>
      </c>
      <c r="AY124" s="343">
        <v>0</v>
      </c>
      <c r="AZ124" s="343"/>
      <c r="BA124" s="343"/>
      <c r="BB124" s="343">
        <v>0</v>
      </c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96">
        <f t="shared" si="49"/>
        <v>0</v>
      </c>
      <c r="V125" s="997"/>
      <c r="W125" s="409"/>
      <c r="X125" s="251"/>
      <c r="Y125" s="981" t="str">
        <f t="shared" si="50"/>
        <v>550PFS4610</v>
      </c>
      <c r="Z125" s="942">
        <v>0</v>
      </c>
      <c r="AA125" s="248">
        <v>0</v>
      </c>
      <c r="AB125" s="343">
        <v>0</v>
      </c>
      <c r="AC125" s="343">
        <v>0</v>
      </c>
      <c r="AD125" s="343">
        <v>0</v>
      </c>
      <c r="AE125" s="343"/>
      <c r="AF125" s="343">
        <v>0</v>
      </c>
      <c r="AG125" s="343">
        <v>0</v>
      </c>
      <c r="AH125" s="343">
        <v>0</v>
      </c>
      <c r="AI125" s="343">
        <v>0</v>
      </c>
      <c r="AJ125" s="343">
        <v>0</v>
      </c>
      <c r="AK125" s="343">
        <v>0</v>
      </c>
      <c r="AL125" s="343"/>
      <c r="AM125" s="343">
        <v>0</v>
      </c>
      <c r="AN125" s="248">
        <v>0</v>
      </c>
      <c r="AO125" s="343">
        <v>0</v>
      </c>
      <c r="AP125" s="343">
        <v>0</v>
      </c>
      <c r="AQ125" s="248">
        <v>0</v>
      </c>
      <c r="AR125" s="343">
        <v>0</v>
      </c>
      <c r="AS125" s="343"/>
      <c r="AT125" s="343">
        <v>0</v>
      </c>
      <c r="AU125" s="343">
        <v>0</v>
      </c>
      <c r="AV125" s="343">
        <v>0</v>
      </c>
      <c r="AW125" s="343">
        <v>0</v>
      </c>
      <c r="AX125" s="343">
        <v>0</v>
      </c>
      <c r="AY125" s="343">
        <v>0</v>
      </c>
      <c r="AZ125" s="343"/>
      <c r="BA125" s="343"/>
      <c r="BB125" s="343">
        <v>0</v>
      </c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96">
        <f>IF(T126=0,0,P126/T126)</f>
        <v>0</v>
      </c>
      <c r="V126" s="997"/>
      <c r="W126" s="409"/>
      <c r="X126" s="251"/>
      <c r="Y126" s="981" t="str">
        <f t="shared" si="50"/>
        <v>550PFS8810</v>
      </c>
      <c r="Z126" s="942"/>
      <c r="AA126" s="248">
        <v>0</v>
      </c>
      <c r="AB126" s="343">
        <v>0</v>
      </c>
      <c r="AC126" s="343">
        <v>0</v>
      </c>
      <c r="AD126" s="343">
        <v>0</v>
      </c>
      <c r="AE126" s="343"/>
      <c r="AF126" s="343">
        <v>0</v>
      </c>
      <c r="AG126" s="343">
        <v>0</v>
      </c>
      <c r="AH126" s="343">
        <v>0</v>
      </c>
      <c r="AI126" s="343">
        <v>0</v>
      </c>
      <c r="AJ126" s="343">
        <v>0</v>
      </c>
      <c r="AK126" s="343">
        <v>0</v>
      </c>
      <c r="AL126" s="343"/>
      <c r="AM126" s="343">
        <v>0</v>
      </c>
      <c r="AN126" s="248">
        <v>0</v>
      </c>
      <c r="AO126" s="343">
        <v>0</v>
      </c>
      <c r="AP126" s="343">
        <v>0</v>
      </c>
      <c r="AQ126" s="248">
        <v>0</v>
      </c>
      <c r="AR126" s="343">
        <v>0</v>
      </c>
      <c r="AS126" s="343"/>
      <c r="AT126" s="343">
        <v>0</v>
      </c>
      <c r="AU126" s="343">
        <v>0</v>
      </c>
      <c r="AV126" s="343">
        <v>0</v>
      </c>
      <c r="AW126" s="343">
        <v>0</v>
      </c>
      <c r="AX126" s="343">
        <v>0</v>
      </c>
      <c r="AY126" s="343">
        <v>0</v>
      </c>
      <c r="AZ126" s="343"/>
      <c r="BA126" s="343"/>
      <c r="BB126" s="343">
        <v>0</v>
      </c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96">
        <f t="shared" si="49"/>
        <v>0</v>
      </c>
      <c r="V127" s="997"/>
      <c r="W127" s="409"/>
      <c r="X127" s="251"/>
      <c r="Y127" s="981" t="str">
        <f t="shared" si="50"/>
        <v>550PFS8710</v>
      </c>
      <c r="Z127" s="942"/>
      <c r="AA127" s="248">
        <v>0</v>
      </c>
      <c r="AB127" s="343">
        <v>0</v>
      </c>
      <c r="AC127" s="343">
        <v>0</v>
      </c>
      <c r="AD127" s="343">
        <v>0</v>
      </c>
      <c r="AE127" s="343"/>
      <c r="AF127" s="343">
        <v>0</v>
      </c>
      <c r="AG127" s="343">
        <v>0</v>
      </c>
      <c r="AH127" s="343">
        <v>0</v>
      </c>
      <c r="AI127" s="343">
        <v>0</v>
      </c>
      <c r="AJ127" s="343">
        <v>0</v>
      </c>
      <c r="AK127" s="343">
        <v>0</v>
      </c>
      <c r="AL127" s="343"/>
      <c r="AM127" s="343">
        <v>0</v>
      </c>
      <c r="AN127" s="248">
        <v>0</v>
      </c>
      <c r="AO127" s="343">
        <v>0</v>
      </c>
      <c r="AP127" s="343">
        <v>0</v>
      </c>
      <c r="AQ127" s="248">
        <v>0</v>
      </c>
      <c r="AR127" s="343">
        <v>0</v>
      </c>
      <c r="AS127" s="343"/>
      <c r="AT127" s="343">
        <v>0</v>
      </c>
      <c r="AU127" s="343">
        <v>0</v>
      </c>
      <c r="AV127" s="343">
        <v>0</v>
      </c>
      <c r="AW127" s="343">
        <v>0</v>
      </c>
      <c r="AX127" s="343">
        <v>0</v>
      </c>
      <c r="AY127" s="343">
        <v>0</v>
      </c>
      <c r="AZ127" s="343"/>
      <c r="BA127" s="343"/>
      <c r="BB127" s="343">
        <v>0</v>
      </c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130100</v>
      </c>
      <c r="S128" s="408">
        <f>SUM(Q118,Q125:Q127)</f>
        <v>363400</v>
      </c>
      <c r="T128" s="248">
        <f t="shared" si="48"/>
        <v>0</v>
      </c>
      <c r="U128" s="996">
        <f t="shared" si="49"/>
        <v>0</v>
      </c>
      <c r="V128" s="997"/>
      <c r="W128" s="363"/>
      <c r="X128" s="251"/>
      <c r="Y128" s="982" t="str">
        <f t="shared" si="50"/>
        <v>551F50</v>
      </c>
      <c r="Z128" s="942" t="s">
        <v>774</v>
      </c>
      <c r="AA128" s="248">
        <v>0</v>
      </c>
      <c r="AB128" s="343">
        <v>0</v>
      </c>
      <c r="AC128" s="343">
        <v>0</v>
      </c>
      <c r="AD128" s="343">
        <v>0</v>
      </c>
      <c r="AE128" s="343"/>
      <c r="AF128" s="343">
        <v>0</v>
      </c>
      <c r="AG128" s="343">
        <v>0</v>
      </c>
      <c r="AH128" s="343">
        <v>0</v>
      </c>
      <c r="AI128" s="343">
        <v>0</v>
      </c>
      <c r="AJ128" s="343">
        <v>0</v>
      </c>
      <c r="AK128" s="343">
        <v>0</v>
      </c>
      <c r="AL128" s="343"/>
      <c r="AM128" s="343">
        <v>0</v>
      </c>
      <c r="AN128" s="248">
        <v>0</v>
      </c>
      <c r="AO128" s="343">
        <v>0</v>
      </c>
      <c r="AP128" s="343">
        <v>0</v>
      </c>
      <c r="AQ128" s="248">
        <v>0</v>
      </c>
      <c r="AR128" s="343">
        <v>0</v>
      </c>
      <c r="AS128" s="343"/>
      <c r="AT128" s="343">
        <v>0</v>
      </c>
      <c r="AU128" s="343">
        <v>0</v>
      </c>
      <c r="AV128" s="343">
        <v>0</v>
      </c>
      <c r="AW128" s="343">
        <v>0</v>
      </c>
      <c r="AX128" s="343">
        <v>0</v>
      </c>
      <c r="AY128" s="343">
        <v>0</v>
      </c>
      <c r="AZ128" s="343"/>
      <c r="BA128" s="343"/>
      <c r="BB128" s="343">
        <v>0</v>
      </c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2615</v>
      </c>
      <c r="C129" s="877" t="s">
        <v>61</v>
      </c>
      <c r="D129" s="627">
        <v>50</v>
      </c>
      <c r="E129" s="248">
        <v>2949</v>
      </c>
      <c r="F129" s="100">
        <f>SUMIF(pro!$A:$A,INTGRATE!$Y:$Y,pro!$N:$N)</f>
        <v>0</v>
      </c>
      <c r="G129" s="248"/>
      <c r="H129" s="344">
        <f>SUMIF(CBIN!$A:$A,INTGRATE!$Y:$Y,CBIN!$G:$G)</f>
        <v>0</v>
      </c>
      <c r="I129" s="248">
        <f>SUMIF(data!$D:$D,INTGRATE!$B129&amp;INTGRATE!$D129,data!$J:$J)</f>
        <v>982</v>
      </c>
      <c r="J129" s="248"/>
      <c r="K129" s="248"/>
      <c r="L129" s="248">
        <f>SUMIF(data!$D:$D,INTGRATE!$B129&amp;INTGRATE!$D129,data!$K:$K)</f>
        <v>49100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1967</v>
      </c>
      <c r="P129" s="248">
        <f t="shared" si="46"/>
        <v>98350</v>
      </c>
      <c r="Q129" s="248">
        <f t="shared" si="47"/>
        <v>777000</v>
      </c>
      <c r="R129" s="343"/>
      <c r="S129" s="408"/>
      <c r="T129" s="248">
        <f t="shared" si="48"/>
        <v>33782.608695652176</v>
      </c>
      <c r="U129" s="996">
        <f t="shared" si="49"/>
        <v>2.9112612612612612</v>
      </c>
      <c r="V129" s="997"/>
      <c r="W129" s="363"/>
      <c r="X129" s="251"/>
      <c r="Y129" s="982" t="str">
        <f t="shared" si="50"/>
        <v>551FS3150</v>
      </c>
      <c r="Z129" s="942">
        <v>31410831</v>
      </c>
      <c r="AA129" s="248">
        <v>13150</v>
      </c>
      <c r="AB129" s="343">
        <v>37500</v>
      </c>
      <c r="AC129" s="343">
        <v>22100</v>
      </c>
      <c r="AD129" s="343">
        <v>23850</v>
      </c>
      <c r="AE129" s="343"/>
      <c r="AF129" s="343">
        <v>59450</v>
      </c>
      <c r="AG129" s="343">
        <v>10500</v>
      </c>
      <c r="AH129" s="343">
        <v>31150</v>
      </c>
      <c r="AI129" s="343">
        <v>20900</v>
      </c>
      <c r="AJ129" s="343">
        <v>16500</v>
      </c>
      <c r="AK129" s="343">
        <v>15500</v>
      </c>
      <c r="AL129" s="343"/>
      <c r="AM129" s="343">
        <v>56850</v>
      </c>
      <c r="AN129" s="248">
        <v>48600</v>
      </c>
      <c r="AO129" s="343">
        <v>38800</v>
      </c>
      <c r="AP129" s="343">
        <v>23000</v>
      </c>
      <c r="AQ129" s="248">
        <v>7000</v>
      </c>
      <c r="AR129" s="343">
        <v>61400</v>
      </c>
      <c r="AS129" s="343"/>
      <c r="AT129" s="343">
        <v>67550</v>
      </c>
      <c r="AU129" s="343">
        <v>43500</v>
      </c>
      <c r="AV129" s="343">
        <v>5000</v>
      </c>
      <c r="AW129" s="343">
        <v>60100</v>
      </c>
      <c r="AX129" s="343">
        <v>30000</v>
      </c>
      <c r="AY129" s="343">
        <v>35500</v>
      </c>
      <c r="AZ129" s="343"/>
      <c r="BA129" s="343"/>
      <c r="BB129" s="343">
        <v>49100</v>
      </c>
      <c r="BC129" s="343"/>
      <c r="BD129" s="343"/>
      <c r="BE129" s="343"/>
      <c r="BF129" s="222">
        <f t="shared" si="51"/>
        <v>777000</v>
      </c>
      <c r="BG129" s="896">
        <f t="shared" si="53"/>
        <v>23</v>
      </c>
      <c r="BH129" s="896">
        <f t="shared" si="54"/>
        <v>33782.608695652176</v>
      </c>
      <c r="BI129" s="214"/>
    </row>
    <row r="130" spans="1:62">
      <c r="A130" s="311">
        <v>13</v>
      </c>
      <c r="B130" s="249" t="s">
        <v>2470</v>
      </c>
      <c r="C130" s="877" t="s">
        <v>61</v>
      </c>
      <c r="D130" s="625">
        <v>50</v>
      </c>
      <c r="E130" s="248">
        <v>752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100</v>
      </c>
      <c r="J130" s="248"/>
      <c r="K130" s="248"/>
      <c r="L130" s="248">
        <f>SUMIF(data!$D:$D,INTGRATE!$B130&amp;INTGRATE!$D130,data!$K:$K)</f>
        <v>5000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652</v>
      </c>
      <c r="P130" s="248">
        <f t="shared" si="46"/>
        <v>32600</v>
      </c>
      <c r="Q130" s="248">
        <f t="shared" si="47"/>
        <v>99550</v>
      </c>
      <c r="R130" s="622" t="s">
        <v>1400</v>
      </c>
      <c r="S130" s="622" t="s">
        <v>1401</v>
      </c>
      <c r="T130" s="248">
        <f t="shared" si="48"/>
        <v>4328.260869565217</v>
      </c>
      <c r="U130" s="996">
        <f t="shared" si="49"/>
        <v>7.5318935208437976</v>
      </c>
      <c r="V130" s="997"/>
      <c r="W130" s="93"/>
      <c r="X130" s="251"/>
      <c r="Y130" s="982" t="str">
        <f t="shared" si="50"/>
        <v>551FS2550</v>
      </c>
      <c r="Z130" s="942">
        <v>31410825</v>
      </c>
      <c r="AA130" s="248">
        <v>0</v>
      </c>
      <c r="AB130" s="343">
        <v>0</v>
      </c>
      <c r="AC130" s="343">
        <v>0</v>
      </c>
      <c r="AD130" s="343">
        <v>0</v>
      </c>
      <c r="AE130" s="343"/>
      <c r="AF130" s="343">
        <v>0</v>
      </c>
      <c r="AG130" s="343">
        <v>0</v>
      </c>
      <c r="AH130" s="343">
        <v>25150</v>
      </c>
      <c r="AI130" s="343">
        <v>0</v>
      </c>
      <c r="AJ130" s="343">
        <v>0</v>
      </c>
      <c r="AK130" s="343">
        <v>0</v>
      </c>
      <c r="AL130" s="343"/>
      <c r="AM130" s="343">
        <v>7150</v>
      </c>
      <c r="AN130" s="248">
        <v>0</v>
      </c>
      <c r="AO130" s="343">
        <v>11650</v>
      </c>
      <c r="AP130" s="343">
        <v>0</v>
      </c>
      <c r="AQ130" s="248">
        <v>7000</v>
      </c>
      <c r="AR130" s="343">
        <v>0</v>
      </c>
      <c r="AS130" s="343"/>
      <c r="AT130" s="343">
        <v>13050</v>
      </c>
      <c r="AU130" s="343">
        <v>5000</v>
      </c>
      <c r="AV130" s="343">
        <v>4400</v>
      </c>
      <c r="AW130" s="343">
        <v>21150</v>
      </c>
      <c r="AX130" s="343">
        <v>0</v>
      </c>
      <c r="AY130" s="343">
        <v>0</v>
      </c>
      <c r="AZ130" s="343"/>
      <c r="BA130" s="343"/>
      <c r="BB130" s="343">
        <v>5000</v>
      </c>
      <c r="BC130" s="343"/>
      <c r="BD130" s="343"/>
      <c r="BE130" s="343"/>
      <c r="BF130" s="222">
        <f t="shared" si="51"/>
        <v>99550</v>
      </c>
      <c r="BG130" s="896">
        <f t="shared" si="53"/>
        <v>9</v>
      </c>
      <c r="BH130" s="896">
        <f t="shared" si="54"/>
        <v>11061.111111111111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876250</v>
      </c>
      <c r="S131" s="408">
        <f>SUM(Q119:Q124,Q159,Q196:Q206)</f>
        <v>3395150</v>
      </c>
      <c r="T131" s="248">
        <f t="shared" si="48"/>
        <v>0</v>
      </c>
      <c r="U131" s="996">
        <f t="shared" si="49"/>
        <v>0</v>
      </c>
      <c r="V131" s="997"/>
      <c r="W131" s="93"/>
      <c r="X131" s="251"/>
      <c r="Y131" s="982" t="str">
        <f t="shared" si="50"/>
        <v>551FS4450</v>
      </c>
      <c r="Z131" s="942">
        <v>31410844</v>
      </c>
      <c r="AA131" s="248">
        <v>0</v>
      </c>
      <c r="AB131" s="343">
        <v>0</v>
      </c>
      <c r="AC131" s="343">
        <v>0</v>
      </c>
      <c r="AD131" s="343">
        <v>0</v>
      </c>
      <c r="AE131" s="343"/>
      <c r="AF131" s="343">
        <v>0</v>
      </c>
      <c r="AG131" s="343">
        <v>0</v>
      </c>
      <c r="AH131" s="343">
        <v>0</v>
      </c>
      <c r="AI131" s="343">
        <v>0</v>
      </c>
      <c r="AJ131" s="343">
        <v>0</v>
      </c>
      <c r="AK131" s="343">
        <v>0</v>
      </c>
      <c r="AL131" s="343"/>
      <c r="AM131" s="343">
        <v>0</v>
      </c>
      <c r="AN131" s="248">
        <v>0</v>
      </c>
      <c r="AO131" s="343">
        <v>0</v>
      </c>
      <c r="AP131" s="343">
        <v>0</v>
      </c>
      <c r="AQ131" s="248">
        <v>0</v>
      </c>
      <c r="AR131" s="343">
        <v>0</v>
      </c>
      <c r="AS131" s="343"/>
      <c r="AT131" s="343">
        <v>0</v>
      </c>
      <c r="AU131" s="343">
        <v>0</v>
      </c>
      <c r="AV131" s="343">
        <v>0</v>
      </c>
      <c r="AW131" s="343">
        <v>0</v>
      </c>
      <c r="AX131" s="343">
        <v>0</v>
      </c>
      <c r="AY131" s="343">
        <v>0</v>
      </c>
      <c r="AZ131" s="343"/>
      <c r="BA131" s="343"/>
      <c r="BB131" s="343">
        <v>0</v>
      </c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96">
        <f t="shared" si="49"/>
        <v>0</v>
      </c>
      <c r="V132" s="997"/>
      <c r="W132" s="93"/>
      <c r="X132" s="251"/>
      <c r="Y132" s="982" t="str">
        <f t="shared" si="50"/>
        <v>551FS4750</v>
      </c>
      <c r="Z132" s="942">
        <v>31410847</v>
      </c>
      <c r="AA132" s="248">
        <v>0</v>
      </c>
      <c r="AB132" s="343">
        <v>0</v>
      </c>
      <c r="AC132" s="343">
        <v>0</v>
      </c>
      <c r="AD132" s="343">
        <v>0</v>
      </c>
      <c r="AE132" s="343"/>
      <c r="AF132" s="343">
        <v>0</v>
      </c>
      <c r="AG132" s="343">
        <v>0</v>
      </c>
      <c r="AH132" s="343">
        <v>0</v>
      </c>
      <c r="AI132" s="343">
        <v>0</v>
      </c>
      <c r="AJ132" s="343">
        <v>0</v>
      </c>
      <c r="AK132" s="343">
        <v>0</v>
      </c>
      <c r="AL132" s="343"/>
      <c r="AM132" s="343">
        <v>0</v>
      </c>
      <c r="AN132" s="248">
        <v>0</v>
      </c>
      <c r="AO132" s="343">
        <v>0</v>
      </c>
      <c r="AP132" s="343">
        <v>0</v>
      </c>
      <c r="AQ132" s="248">
        <v>0</v>
      </c>
      <c r="AR132" s="343">
        <v>0</v>
      </c>
      <c r="AS132" s="343"/>
      <c r="AT132" s="343">
        <v>0</v>
      </c>
      <c r="AU132" s="343">
        <v>0</v>
      </c>
      <c r="AV132" s="343">
        <v>0</v>
      </c>
      <c r="AW132" s="343">
        <v>0</v>
      </c>
      <c r="AX132" s="343">
        <v>0</v>
      </c>
      <c r="AY132" s="343">
        <v>0</v>
      </c>
      <c r="AZ132" s="343"/>
      <c r="BA132" s="343"/>
      <c r="BB132" s="343">
        <v>0</v>
      </c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5227</v>
      </c>
      <c r="F133" s="100">
        <f>SUMIF(pro!$A:$A,INTGRATE!$Y:$Y,pro!$N:$N)</f>
        <v>543</v>
      </c>
      <c r="G133" s="248"/>
      <c r="H133" s="344">
        <f>SUMIF(CBIN!$A:$A,INTGRATE!$Y:$Y,CBIN!$G:$G)</f>
        <v>0</v>
      </c>
      <c r="I133" s="248">
        <f>SUMIF(data!$D:$D,INTGRATE!$B133&amp;INTGRATE!$D133,data!$J:$J)</f>
        <v>1183</v>
      </c>
      <c r="J133" s="248"/>
      <c r="K133" s="248"/>
      <c r="L133" s="248">
        <f>SUMIF(data!$D:$D,INTGRATE!$B133&amp;INTGRATE!$D133,data!$K:$K)</f>
        <v>59150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4587</v>
      </c>
      <c r="P133" s="248">
        <f t="shared" si="46"/>
        <v>229350</v>
      </c>
      <c r="Q133" s="248">
        <f t="shared" si="47"/>
        <v>1069000</v>
      </c>
      <c r="R133" s="408"/>
      <c r="S133" s="408"/>
      <c r="T133" s="248">
        <f t="shared" si="48"/>
        <v>46478.260869565216</v>
      </c>
      <c r="U133" s="996">
        <f t="shared" si="49"/>
        <v>4.9345650140318051</v>
      </c>
      <c r="V133" s="997"/>
      <c r="W133" s="93"/>
      <c r="X133" s="251"/>
      <c r="Y133" s="982" t="str">
        <f t="shared" si="50"/>
        <v>551FS5450</v>
      </c>
      <c r="Z133" s="942">
        <v>31410854</v>
      </c>
      <c r="AA133" s="248">
        <v>20950</v>
      </c>
      <c r="AB133" s="343">
        <v>54600</v>
      </c>
      <c r="AC133" s="343">
        <v>42100</v>
      </c>
      <c r="AD133" s="343">
        <v>44350</v>
      </c>
      <c r="AE133" s="343"/>
      <c r="AF133" s="343">
        <v>39900</v>
      </c>
      <c r="AG133" s="343">
        <v>63200</v>
      </c>
      <c r="AH133" s="343">
        <v>70000</v>
      </c>
      <c r="AI133" s="343">
        <v>19900</v>
      </c>
      <c r="AJ133" s="343">
        <v>44450</v>
      </c>
      <c r="AK133" s="343">
        <v>52900</v>
      </c>
      <c r="AL133" s="343"/>
      <c r="AM133" s="343">
        <v>52800</v>
      </c>
      <c r="AN133" s="248">
        <v>20350</v>
      </c>
      <c r="AO133" s="343">
        <v>57300</v>
      </c>
      <c r="AP133" s="343">
        <v>33400</v>
      </c>
      <c r="AQ133" s="248">
        <v>78400</v>
      </c>
      <c r="AR133" s="343">
        <v>23300</v>
      </c>
      <c r="AS133" s="343"/>
      <c r="AT133" s="343">
        <v>87000</v>
      </c>
      <c r="AU133" s="343">
        <v>38250</v>
      </c>
      <c r="AV133" s="343">
        <v>25350</v>
      </c>
      <c r="AW133" s="343">
        <v>43600</v>
      </c>
      <c r="AX133" s="343">
        <v>54750</v>
      </c>
      <c r="AY133" s="343">
        <v>43000</v>
      </c>
      <c r="AZ133" s="343"/>
      <c r="BA133" s="343"/>
      <c r="BB133" s="343">
        <v>59150</v>
      </c>
      <c r="BC133" s="343"/>
      <c r="BD133" s="343"/>
      <c r="BE133" s="343"/>
      <c r="BF133" s="222">
        <f t="shared" si="51"/>
        <v>1069000</v>
      </c>
      <c r="BG133" s="896">
        <f t="shared" si="53"/>
        <v>23</v>
      </c>
      <c r="BH133" s="896">
        <f t="shared" si="54"/>
        <v>46478.260869565216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96">
        <f t="shared" si="49"/>
        <v>0</v>
      </c>
      <c r="V134" s="997"/>
      <c r="W134" s="93"/>
      <c r="X134" s="251"/>
      <c r="Y134" s="982" t="str">
        <f>B134&amp;D134</f>
        <v>551FS5250</v>
      </c>
      <c r="Z134" s="942">
        <v>31410852</v>
      </c>
      <c r="AA134" s="248">
        <v>0</v>
      </c>
      <c r="AB134" s="343">
        <v>0</v>
      </c>
      <c r="AC134" s="343">
        <v>0</v>
      </c>
      <c r="AD134" s="343">
        <v>0</v>
      </c>
      <c r="AE134" s="343"/>
      <c r="AF134" s="343">
        <v>0</v>
      </c>
      <c r="AG134" s="343">
        <v>0</v>
      </c>
      <c r="AH134" s="343">
        <v>0</v>
      </c>
      <c r="AI134" s="343">
        <v>0</v>
      </c>
      <c r="AJ134" s="343">
        <v>0</v>
      </c>
      <c r="AK134" s="343">
        <v>0</v>
      </c>
      <c r="AL134" s="343"/>
      <c r="AM134" s="343">
        <v>0</v>
      </c>
      <c r="AN134" s="248">
        <v>0</v>
      </c>
      <c r="AO134" s="343">
        <v>0</v>
      </c>
      <c r="AP134" s="343">
        <v>0</v>
      </c>
      <c r="AQ134" s="248">
        <v>0</v>
      </c>
      <c r="AR134" s="343">
        <v>0</v>
      </c>
      <c r="AS134" s="343"/>
      <c r="AT134" s="343">
        <v>0</v>
      </c>
      <c r="AU134" s="343">
        <v>0</v>
      </c>
      <c r="AV134" s="343">
        <v>0</v>
      </c>
      <c r="AW134" s="343">
        <v>0</v>
      </c>
      <c r="AX134" s="343">
        <v>0</v>
      </c>
      <c r="AY134" s="343">
        <v>0</v>
      </c>
      <c r="AZ134" s="343"/>
      <c r="BA134" s="343"/>
      <c r="BB134" s="343">
        <v>0</v>
      </c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96">
        <f t="shared" si="49"/>
        <v>0</v>
      </c>
      <c r="V135" s="997"/>
      <c r="W135" s="363"/>
      <c r="X135" s="251"/>
      <c r="Y135" s="983" t="str">
        <f t="shared" si="50"/>
        <v>551GP F25</v>
      </c>
      <c r="Z135" s="938" t="s">
        <v>775</v>
      </c>
      <c r="AA135" s="248">
        <v>0</v>
      </c>
      <c r="AB135" s="343">
        <v>0</v>
      </c>
      <c r="AC135" s="343">
        <v>0</v>
      </c>
      <c r="AD135" s="343">
        <v>0</v>
      </c>
      <c r="AE135" s="343"/>
      <c r="AF135" s="343">
        <v>0</v>
      </c>
      <c r="AG135" s="343">
        <v>0</v>
      </c>
      <c r="AH135" s="343">
        <v>0</v>
      </c>
      <c r="AI135" s="343">
        <v>0</v>
      </c>
      <c r="AJ135" s="343">
        <v>0</v>
      </c>
      <c r="AK135" s="343">
        <v>0</v>
      </c>
      <c r="AL135" s="343"/>
      <c r="AM135" s="343">
        <v>0</v>
      </c>
      <c r="AN135" s="248">
        <v>0</v>
      </c>
      <c r="AO135" s="343">
        <v>0</v>
      </c>
      <c r="AP135" s="343">
        <v>0</v>
      </c>
      <c r="AQ135" s="248">
        <v>0</v>
      </c>
      <c r="AR135" s="343">
        <v>0</v>
      </c>
      <c r="AS135" s="343"/>
      <c r="AT135" s="343">
        <v>0</v>
      </c>
      <c r="AU135" s="343">
        <v>0</v>
      </c>
      <c r="AV135" s="343">
        <v>0</v>
      </c>
      <c r="AW135" s="343">
        <v>0</v>
      </c>
      <c r="AX135" s="343">
        <v>0</v>
      </c>
      <c r="AY135" s="343">
        <v>0</v>
      </c>
      <c r="AZ135" s="343"/>
      <c r="BA135" s="343"/>
      <c r="BB135" s="343">
        <v>0</v>
      </c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8120340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96">
        <f t="shared" si="49"/>
        <v>0</v>
      </c>
      <c r="V136" s="997"/>
      <c r="W136" s="364"/>
      <c r="X136" s="251"/>
      <c r="Y136" s="983" t="str">
        <f t="shared" si="50"/>
        <v>551GPF50</v>
      </c>
      <c r="Z136" s="938" t="s">
        <v>775</v>
      </c>
      <c r="AA136" s="248">
        <v>0</v>
      </c>
      <c r="AB136" s="343">
        <v>0</v>
      </c>
      <c r="AC136" s="343">
        <v>0</v>
      </c>
      <c r="AD136" s="343">
        <v>0</v>
      </c>
      <c r="AE136" s="343"/>
      <c r="AF136" s="343">
        <v>0</v>
      </c>
      <c r="AG136" s="343">
        <v>0</v>
      </c>
      <c r="AH136" s="343">
        <v>0</v>
      </c>
      <c r="AI136" s="343">
        <v>0</v>
      </c>
      <c r="AJ136" s="343">
        <v>0</v>
      </c>
      <c r="AK136" s="343">
        <v>0</v>
      </c>
      <c r="AL136" s="343"/>
      <c r="AM136" s="343">
        <v>0</v>
      </c>
      <c r="AN136" s="248">
        <v>0</v>
      </c>
      <c r="AO136" s="343">
        <v>0</v>
      </c>
      <c r="AP136" s="343">
        <v>0</v>
      </c>
      <c r="AQ136" s="248">
        <v>0</v>
      </c>
      <c r="AR136" s="343">
        <v>0</v>
      </c>
      <c r="AS136" s="343"/>
      <c r="AT136" s="343">
        <v>0</v>
      </c>
      <c r="AU136" s="343">
        <v>0</v>
      </c>
      <c r="AV136" s="343">
        <v>0</v>
      </c>
      <c r="AW136" s="343">
        <v>0</v>
      </c>
      <c r="AX136" s="343">
        <v>0</v>
      </c>
      <c r="AY136" s="343">
        <v>0</v>
      </c>
      <c r="AZ136" s="343"/>
      <c r="BA136" s="343"/>
      <c r="BB136" s="343">
        <v>0</v>
      </c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23442890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96">
        <f t="shared" si="49"/>
        <v>0</v>
      </c>
      <c r="V137" s="997"/>
      <c r="W137" s="600"/>
      <c r="X137" s="251"/>
      <c r="Y137" s="983" t="str">
        <f t="shared" si="50"/>
        <v>551GPFS4450</v>
      </c>
      <c r="Z137" s="938">
        <v>31411844</v>
      </c>
      <c r="AA137" s="248">
        <v>0</v>
      </c>
      <c r="AB137" s="343">
        <v>0</v>
      </c>
      <c r="AC137" s="343">
        <v>0</v>
      </c>
      <c r="AD137" s="343">
        <v>0</v>
      </c>
      <c r="AE137" s="343"/>
      <c r="AF137" s="343">
        <v>0</v>
      </c>
      <c r="AG137" s="343">
        <v>0</v>
      </c>
      <c r="AH137" s="343">
        <v>0</v>
      </c>
      <c r="AI137" s="343">
        <v>0</v>
      </c>
      <c r="AJ137" s="343">
        <v>0</v>
      </c>
      <c r="AK137" s="343">
        <v>0</v>
      </c>
      <c r="AL137" s="343"/>
      <c r="AM137" s="343">
        <v>0</v>
      </c>
      <c r="AN137" s="248">
        <v>0</v>
      </c>
      <c r="AO137" s="343">
        <v>0</v>
      </c>
      <c r="AP137" s="343">
        <v>0</v>
      </c>
      <c r="AQ137" s="248">
        <v>0</v>
      </c>
      <c r="AR137" s="343">
        <v>0</v>
      </c>
      <c r="AS137" s="343"/>
      <c r="AT137" s="343">
        <v>0</v>
      </c>
      <c r="AU137" s="343">
        <v>0</v>
      </c>
      <c r="AV137" s="343">
        <v>0</v>
      </c>
      <c r="AW137" s="343">
        <v>0</v>
      </c>
      <c r="AX137" s="343">
        <v>0</v>
      </c>
      <c r="AY137" s="343">
        <v>0</v>
      </c>
      <c r="AZ137" s="343"/>
      <c r="BA137" s="343"/>
      <c r="BB137" s="343">
        <v>0</v>
      </c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96">
        <f t="shared" si="49"/>
        <v>0</v>
      </c>
      <c r="V138" s="997"/>
      <c r="W138" s="600"/>
      <c r="X138" s="251"/>
      <c r="Y138" s="983" t="str">
        <f t="shared" si="50"/>
        <v>551GPFS4750</v>
      </c>
      <c r="Z138" s="938">
        <v>31411847</v>
      </c>
      <c r="AA138" s="248">
        <v>0</v>
      </c>
      <c r="AB138" s="343">
        <v>0</v>
      </c>
      <c r="AC138" s="343">
        <v>0</v>
      </c>
      <c r="AD138" s="343">
        <v>0</v>
      </c>
      <c r="AE138" s="343"/>
      <c r="AF138" s="343">
        <v>0</v>
      </c>
      <c r="AG138" s="343">
        <v>0</v>
      </c>
      <c r="AH138" s="343">
        <v>0</v>
      </c>
      <c r="AI138" s="343">
        <v>0</v>
      </c>
      <c r="AJ138" s="343">
        <v>0</v>
      </c>
      <c r="AK138" s="343">
        <v>0</v>
      </c>
      <c r="AL138" s="343"/>
      <c r="AM138" s="343">
        <v>0</v>
      </c>
      <c r="AN138" s="248">
        <v>0</v>
      </c>
      <c r="AO138" s="343">
        <v>0</v>
      </c>
      <c r="AP138" s="343">
        <v>0</v>
      </c>
      <c r="AQ138" s="248">
        <v>0</v>
      </c>
      <c r="AR138" s="343">
        <v>0</v>
      </c>
      <c r="AS138" s="343"/>
      <c r="AT138" s="343">
        <v>0</v>
      </c>
      <c r="AU138" s="343">
        <v>0</v>
      </c>
      <c r="AV138" s="343">
        <v>0</v>
      </c>
      <c r="AW138" s="343">
        <v>0</v>
      </c>
      <c r="AX138" s="343">
        <v>0</v>
      </c>
      <c r="AY138" s="343">
        <v>0</v>
      </c>
      <c r="AZ138" s="343"/>
      <c r="BA138" s="343"/>
      <c r="BB138" s="343">
        <v>0</v>
      </c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96">
        <f t="shared" si="49"/>
        <v>0</v>
      </c>
      <c r="V139" s="997"/>
      <c r="W139" s="600"/>
      <c r="X139" s="251"/>
      <c r="Y139" s="983" t="str">
        <f t="shared" si="50"/>
        <v>551GPFS4850</v>
      </c>
      <c r="Z139" s="938">
        <v>31411848</v>
      </c>
      <c r="AA139" s="248">
        <v>0</v>
      </c>
      <c r="AB139" s="343">
        <v>0</v>
      </c>
      <c r="AC139" s="343">
        <v>0</v>
      </c>
      <c r="AD139" s="343">
        <v>0</v>
      </c>
      <c r="AE139" s="343"/>
      <c r="AF139" s="343">
        <v>0</v>
      </c>
      <c r="AG139" s="343">
        <v>0</v>
      </c>
      <c r="AH139" s="343">
        <v>0</v>
      </c>
      <c r="AI139" s="343">
        <v>0</v>
      </c>
      <c r="AJ139" s="343">
        <v>0</v>
      </c>
      <c r="AK139" s="343">
        <v>0</v>
      </c>
      <c r="AL139" s="343"/>
      <c r="AM139" s="343">
        <v>0</v>
      </c>
      <c r="AN139" s="248">
        <v>0</v>
      </c>
      <c r="AO139" s="343">
        <v>0</v>
      </c>
      <c r="AP139" s="343">
        <v>0</v>
      </c>
      <c r="AQ139" s="248">
        <v>0</v>
      </c>
      <c r="AR139" s="343">
        <v>0</v>
      </c>
      <c r="AS139" s="343"/>
      <c r="AT139" s="343">
        <v>0</v>
      </c>
      <c r="AU139" s="343">
        <v>0</v>
      </c>
      <c r="AV139" s="343">
        <v>0</v>
      </c>
      <c r="AW139" s="343">
        <v>0</v>
      </c>
      <c r="AX139" s="343">
        <v>0</v>
      </c>
      <c r="AY139" s="343">
        <v>0</v>
      </c>
      <c r="AZ139" s="343"/>
      <c r="BA139" s="343"/>
      <c r="BB139" s="343">
        <v>0</v>
      </c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96">
        <f t="shared" si="49"/>
        <v>0</v>
      </c>
      <c r="V140" s="997"/>
      <c r="W140" s="600"/>
      <c r="X140" s="251"/>
      <c r="Y140" s="983" t="str">
        <f t="shared" si="50"/>
        <v>551GPFS5250</v>
      </c>
      <c r="Z140" s="938">
        <v>31411852</v>
      </c>
      <c r="AA140" s="248">
        <v>0</v>
      </c>
      <c r="AB140" s="343">
        <v>0</v>
      </c>
      <c r="AC140" s="343">
        <v>0</v>
      </c>
      <c r="AD140" s="343">
        <v>0</v>
      </c>
      <c r="AE140" s="343"/>
      <c r="AF140" s="343">
        <v>0</v>
      </c>
      <c r="AG140" s="343">
        <v>0</v>
      </c>
      <c r="AH140" s="343">
        <v>0</v>
      </c>
      <c r="AI140" s="343">
        <v>0</v>
      </c>
      <c r="AJ140" s="343">
        <v>0</v>
      </c>
      <c r="AK140" s="343">
        <v>0</v>
      </c>
      <c r="AL140" s="343"/>
      <c r="AM140" s="343">
        <v>0</v>
      </c>
      <c r="AN140" s="248">
        <v>0</v>
      </c>
      <c r="AO140" s="343">
        <v>0</v>
      </c>
      <c r="AP140" s="343">
        <v>0</v>
      </c>
      <c r="AQ140" s="248">
        <v>0</v>
      </c>
      <c r="AR140" s="343">
        <v>0</v>
      </c>
      <c r="AS140" s="343"/>
      <c r="AT140" s="343">
        <v>0</v>
      </c>
      <c r="AU140" s="343">
        <v>0</v>
      </c>
      <c r="AV140" s="343">
        <v>0</v>
      </c>
      <c r="AW140" s="343">
        <v>0</v>
      </c>
      <c r="AX140" s="343">
        <v>0</v>
      </c>
      <c r="AY140" s="343">
        <v>0</v>
      </c>
      <c r="AZ140" s="343"/>
      <c r="BA140" s="343"/>
      <c r="BB140" s="343">
        <v>0</v>
      </c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2612</v>
      </c>
      <c r="C141" s="250" t="s">
        <v>61</v>
      </c>
      <c r="D141" s="625">
        <v>50</v>
      </c>
      <c r="E141" s="248">
        <v>1469</v>
      </c>
      <c r="F141" s="100">
        <f>SUMIF(pro!$A:$A,INTGRATE!$Y:$Y,pro!$N:$N)</f>
        <v>0</v>
      </c>
      <c r="G141" s="344"/>
      <c r="H141" s="344">
        <f>SUMIF(CBIN!$A:$A,INTGRATE!$Y:$Y,CBIN!$G:$G)</f>
        <v>0</v>
      </c>
      <c r="I141" s="248">
        <f>SUMIF(data!$D:$D,INTGRATE!$B141&amp;INTGRATE!$D141,data!$J:$J)</f>
        <v>482</v>
      </c>
      <c r="J141" s="248"/>
      <c r="K141" s="248"/>
      <c r="L141" s="248">
        <f>SUMIF(data!$D:$D,INTGRATE!$B141&amp;INTGRATE!$D141,data!$K:$K)</f>
        <v>24100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987</v>
      </c>
      <c r="P141" s="248">
        <f t="shared" si="46"/>
        <v>49350</v>
      </c>
      <c r="Q141" s="248">
        <f t="shared" si="47"/>
        <v>430550</v>
      </c>
      <c r="R141" s="622"/>
      <c r="S141" s="622"/>
      <c r="T141" s="248">
        <f t="shared" si="48"/>
        <v>18719.565217391304</v>
      </c>
      <c r="U141" s="996">
        <f t="shared" si="49"/>
        <v>2.6362791777958425</v>
      </c>
      <c r="V141" s="997"/>
      <c r="W141" s="364"/>
      <c r="X141" s="251"/>
      <c r="Y141" s="983" t="str">
        <f t="shared" si="50"/>
        <v>551GPFS3150</v>
      </c>
      <c r="Z141" s="938">
        <v>31411831</v>
      </c>
      <c r="AA141" s="248">
        <v>18300</v>
      </c>
      <c r="AB141" s="343">
        <v>10000</v>
      </c>
      <c r="AC141" s="343">
        <v>0</v>
      </c>
      <c r="AD141" s="343">
        <v>19400</v>
      </c>
      <c r="AE141" s="343"/>
      <c r="AF141" s="343">
        <v>23500</v>
      </c>
      <c r="AG141" s="343">
        <v>20000</v>
      </c>
      <c r="AH141" s="343">
        <v>56750</v>
      </c>
      <c r="AI141" s="343">
        <v>19400</v>
      </c>
      <c r="AJ141" s="343">
        <v>19000</v>
      </c>
      <c r="AK141" s="343">
        <v>0</v>
      </c>
      <c r="AL141" s="343"/>
      <c r="AM141" s="343">
        <v>43300</v>
      </c>
      <c r="AN141" s="248">
        <v>20000</v>
      </c>
      <c r="AO141" s="343">
        <v>15250</v>
      </c>
      <c r="AP141" s="343">
        <v>7500</v>
      </c>
      <c r="AQ141" s="248">
        <v>0</v>
      </c>
      <c r="AR141" s="343">
        <v>27100</v>
      </c>
      <c r="AS141" s="343"/>
      <c r="AT141" s="343">
        <v>28400</v>
      </c>
      <c r="AU141" s="343">
        <v>10250</v>
      </c>
      <c r="AV141" s="343">
        <v>23100</v>
      </c>
      <c r="AW141" s="343">
        <v>16850</v>
      </c>
      <c r="AX141" s="343">
        <v>10000</v>
      </c>
      <c r="AY141" s="343">
        <v>18350</v>
      </c>
      <c r="AZ141" s="343"/>
      <c r="BA141" s="343"/>
      <c r="BB141" s="343">
        <v>24100</v>
      </c>
      <c r="BC141" s="343"/>
      <c r="BD141" s="343"/>
      <c r="BE141" s="343"/>
      <c r="BF141" s="222">
        <f t="shared" si="51"/>
        <v>430550</v>
      </c>
      <c r="BG141" s="896">
        <f t="shared" si="53"/>
        <v>20</v>
      </c>
      <c r="BH141" s="896">
        <f t="shared" si="54"/>
        <v>21527.5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96">
        <f t="shared" si="49"/>
        <v>0</v>
      </c>
      <c r="V142" s="997"/>
      <c r="W142" s="364"/>
      <c r="X142" s="251"/>
      <c r="Y142" s="983" t="str">
        <f t="shared" si="50"/>
        <v>551GPFS1150</v>
      </c>
      <c r="Z142" s="938">
        <v>31411811</v>
      </c>
      <c r="AA142" s="248">
        <v>0</v>
      </c>
      <c r="AB142" s="343">
        <v>0</v>
      </c>
      <c r="AC142" s="343">
        <v>0</v>
      </c>
      <c r="AD142" s="343">
        <v>0</v>
      </c>
      <c r="AE142" s="343"/>
      <c r="AF142" s="343">
        <v>0</v>
      </c>
      <c r="AG142" s="343">
        <v>0</v>
      </c>
      <c r="AH142" s="343">
        <v>0</v>
      </c>
      <c r="AI142" s="343">
        <v>0</v>
      </c>
      <c r="AJ142" s="343">
        <v>0</v>
      </c>
      <c r="AK142" s="343">
        <v>0</v>
      </c>
      <c r="AL142" s="343"/>
      <c r="AM142" s="343">
        <v>0</v>
      </c>
      <c r="AN142" s="248">
        <v>0</v>
      </c>
      <c r="AO142" s="343">
        <v>0</v>
      </c>
      <c r="AP142" s="343">
        <v>0</v>
      </c>
      <c r="AQ142" s="248">
        <v>0</v>
      </c>
      <c r="AR142" s="343">
        <v>0</v>
      </c>
      <c r="AS142" s="343"/>
      <c r="AT142" s="343">
        <v>0</v>
      </c>
      <c r="AU142" s="343">
        <v>0</v>
      </c>
      <c r="AV142" s="343">
        <v>0</v>
      </c>
      <c r="AW142" s="343">
        <v>0</v>
      </c>
      <c r="AX142" s="343">
        <v>0</v>
      </c>
      <c r="AY142" s="343">
        <v>0</v>
      </c>
      <c r="AZ142" s="343"/>
      <c r="BA142" s="343"/>
      <c r="BB142" s="343">
        <v>0</v>
      </c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4711</v>
      </c>
      <c r="F143" s="100">
        <f>SUMIF(pro!$A:$A,INTGRATE!$Y:$Y,pro!$N:$N)</f>
        <v>0</v>
      </c>
      <c r="G143" s="344"/>
      <c r="H143" s="344">
        <f>SUMIF(CBIN!$A:$A,INTGRATE!$Y:$Y,CBIN!$G:$G)</f>
        <v>0</v>
      </c>
      <c r="I143" s="248">
        <f>SUMIF(data!$D:$D,INTGRATE!$B143&amp;INTGRATE!$D143,data!$J:$J)</f>
        <v>962</v>
      </c>
      <c r="J143" s="248"/>
      <c r="K143" s="248"/>
      <c r="L143" s="248">
        <f>SUMIF(data!$D:$D,INTGRATE!$B143&amp;INTGRATE!$D143,data!$K:$K)</f>
        <v>48100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3749</v>
      </c>
      <c r="P143" s="248">
        <f>O143*D143</f>
        <v>187450</v>
      </c>
      <c r="Q143" s="248">
        <f>SUM(AA143:BE143)</f>
        <v>1460000</v>
      </c>
      <c r="R143" s="622" t="s">
        <v>1404</v>
      </c>
      <c r="S143" s="622" t="s">
        <v>1405</v>
      </c>
      <c r="T143" s="248">
        <f t="shared" si="48"/>
        <v>63478.260869565216</v>
      </c>
      <c r="U143" s="996">
        <f>IF(T143=0,0,P143/T143)</f>
        <v>2.9529794520547945</v>
      </c>
      <c r="V143" s="997"/>
      <c r="W143" s="364"/>
      <c r="X143" s="251"/>
      <c r="Y143" s="983" t="str">
        <f>B143&amp;D143</f>
        <v>551GPFS1350</v>
      </c>
      <c r="Z143" s="938">
        <v>31411813</v>
      </c>
      <c r="AA143" s="248">
        <v>21500</v>
      </c>
      <c r="AB143" s="343">
        <v>80800</v>
      </c>
      <c r="AC143" s="343">
        <v>67000</v>
      </c>
      <c r="AD143" s="343">
        <v>91400</v>
      </c>
      <c r="AE143" s="343"/>
      <c r="AF143" s="343">
        <v>23450</v>
      </c>
      <c r="AG143" s="343">
        <v>97000</v>
      </c>
      <c r="AH143" s="343">
        <v>52150</v>
      </c>
      <c r="AI143" s="343">
        <v>56400</v>
      </c>
      <c r="AJ143" s="343">
        <v>11900</v>
      </c>
      <c r="AK143" s="343">
        <v>145100</v>
      </c>
      <c r="AL143" s="343"/>
      <c r="AM143" s="343">
        <v>16600</v>
      </c>
      <c r="AN143" s="248">
        <v>42000</v>
      </c>
      <c r="AO143" s="343">
        <v>77950</v>
      </c>
      <c r="AP143" s="343">
        <v>101900</v>
      </c>
      <c r="AQ143" s="248">
        <v>43750</v>
      </c>
      <c r="AR143" s="343">
        <v>67150</v>
      </c>
      <c r="AS143" s="343"/>
      <c r="AT143" s="343">
        <v>52000</v>
      </c>
      <c r="AU143" s="343">
        <v>57400</v>
      </c>
      <c r="AV143" s="343">
        <v>22300</v>
      </c>
      <c r="AW143" s="343">
        <v>69050</v>
      </c>
      <c r="AX143" s="343">
        <v>101000</v>
      </c>
      <c r="AY143" s="343">
        <v>114100</v>
      </c>
      <c r="AZ143" s="343"/>
      <c r="BA143" s="343"/>
      <c r="BB143" s="343">
        <v>48100</v>
      </c>
      <c r="BC143" s="343"/>
      <c r="BD143" s="343"/>
      <c r="BE143" s="343"/>
      <c r="BF143" s="222">
        <f t="shared" si="51"/>
        <v>1460000</v>
      </c>
      <c r="BG143" s="896">
        <f t="shared" si="53"/>
        <v>23</v>
      </c>
      <c r="BH143" s="896">
        <f t="shared" si="54"/>
        <v>63478.260869565216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660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0</v>
      </c>
      <c r="J144" s="248"/>
      <c r="K144" s="248"/>
      <c r="L144" s="248">
        <f>SUMIF(data!$D:$D,INTGRATE!$B144&amp;INTGRATE!$D144,data!$K:$K)</f>
        <v>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660</v>
      </c>
      <c r="P144" s="248">
        <f t="shared" si="46"/>
        <v>33000</v>
      </c>
      <c r="Q144" s="248">
        <f t="shared" si="47"/>
        <v>299450</v>
      </c>
      <c r="R144" s="687">
        <f>SUM(P118:P260)-R137-R131-R128</f>
        <v>1820650</v>
      </c>
      <c r="S144" s="687">
        <f>SUM(Q118:Q260)-S137-S131-S128</f>
        <v>32491790</v>
      </c>
      <c r="T144" s="248">
        <f t="shared" si="48"/>
        <v>13019.565217391304</v>
      </c>
      <c r="U144" s="996">
        <f t="shared" si="49"/>
        <v>2.5346468525630321</v>
      </c>
      <c r="V144" s="997"/>
      <c r="W144" s="364"/>
      <c r="X144" s="251"/>
      <c r="Y144" s="983" t="str">
        <f t="shared" si="50"/>
        <v>551GPFS5450</v>
      </c>
      <c r="Z144" s="938">
        <v>31411854</v>
      </c>
      <c r="AA144" s="248">
        <v>10000</v>
      </c>
      <c r="AB144" s="343">
        <v>16500</v>
      </c>
      <c r="AC144" s="343">
        <v>3500</v>
      </c>
      <c r="AD144" s="343">
        <v>35100</v>
      </c>
      <c r="AE144" s="343"/>
      <c r="AF144" s="343">
        <v>41300</v>
      </c>
      <c r="AG144" s="343">
        <v>4500</v>
      </c>
      <c r="AH144" s="343">
        <v>3300</v>
      </c>
      <c r="AI144" s="343">
        <v>22450</v>
      </c>
      <c r="AJ144" s="343">
        <v>27500</v>
      </c>
      <c r="AK144" s="343">
        <v>9750</v>
      </c>
      <c r="AL144" s="343"/>
      <c r="AM144" s="343">
        <v>47900</v>
      </c>
      <c r="AN144" s="248">
        <v>0</v>
      </c>
      <c r="AO144" s="343">
        <v>25500</v>
      </c>
      <c r="AP144" s="343">
        <v>0</v>
      </c>
      <c r="AQ144" s="248">
        <v>0</v>
      </c>
      <c r="AR144" s="343">
        <v>9150</v>
      </c>
      <c r="AS144" s="343"/>
      <c r="AT144" s="343">
        <v>16750</v>
      </c>
      <c r="AU144" s="343">
        <v>0</v>
      </c>
      <c r="AV144" s="343">
        <v>0</v>
      </c>
      <c r="AW144" s="343">
        <v>0</v>
      </c>
      <c r="AX144" s="343">
        <v>26250</v>
      </c>
      <c r="AY144" s="343">
        <v>0</v>
      </c>
      <c r="AZ144" s="343"/>
      <c r="BA144" s="343"/>
      <c r="BB144" s="343">
        <v>0</v>
      </c>
      <c r="BC144" s="343"/>
      <c r="BD144" s="343"/>
      <c r="BE144" s="343"/>
      <c r="BF144" s="222">
        <f t="shared" si="51"/>
        <v>299450</v>
      </c>
      <c r="BG144" s="896">
        <f t="shared" si="53"/>
        <v>15</v>
      </c>
      <c r="BH144" s="896">
        <f t="shared" si="54"/>
        <v>19963.333333333332</v>
      </c>
      <c r="BI144" s="214"/>
    </row>
    <row r="145" spans="1:62">
      <c r="A145" s="311">
        <v>28</v>
      </c>
      <c r="B145" s="249" t="s">
        <v>2472</v>
      </c>
      <c r="C145" s="407" t="s">
        <v>61</v>
      </c>
      <c r="D145" s="625">
        <v>50</v>
      </c>
      <c r="E145" s="248">
        <v>429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429</v>
      </c>
      <c r="P145" s="248">
        <f t="shared" si="46"/>
        <v>21450</v>
      </c>
      <c r="Q145" s="248">
        <f t="shared" si="47"/>
        <v>73850</v>
      </c>
      <c r="R145" s="408"/>
      <c r="S145" s="222"/>
      <c r="T145" s="248">
        <f t="shared" si="48"/>
        <v>3210.8695652173915</v>
      </c>
      <c r="U145" s="996">
        <f t="shared" si="49"/>
        <v>6.6804333107650642</v>
      </c>
      <c r="V145" s="997"/>
      <c r="W145" s="364"/>
      <c r="X145" s="251"/>
      <c r="Y145" s="983" t="str">
        <f t="shared" si="50"/>
        <v>551GPFS2550</v>
      </c>
      <c r="Z145" s="938">
        <v>31411825</v>
      </c>
      <c r="AA145" s="248">
        <v>0</v>
      </c>
      <c r="AB145" s="343">
        <v>0</v>
      </c>
      <c r="AC145" s="343">
        <v>0</v>
      </c>
      <c r="AD145" s="343">
        <v>0</v>
      </c>
      <c r="AE145" s="343"/>
      <c r="AF145" s="343">
        <v>7500</v>
      </c>
      <c r="AG145" s="343">
        <v>0</v>
      </c>
      <c r="AH145" s="343">
        <v>0</v>
      </c>
      <c r="AI145" s="343">
        <v>0</v>
      </c>
      <c r="AJ145" s="343">
        <v>0</v>
      </c>
      <c r="AK145" s="343">
        <v>0</v>
      </c>
      <c r="AL145" s="343"/>
      <c r="AM145" s="343">
        <v>5350</v>
      </c>
      <c r="AN145" s="248">
        <v>16000</v>
      </c>
      <c r="AO145" s="343">
        <v>22000</v>
      </c>
      <c r="AP145" s="343">
        <v>0</v>
      </c>
      <c r="AQ145" s="248">
        <v>0</v>
      </c>
      <c r="AR145" s="343">
        <v>7500</v>
      </c>
      <c r="AS145" s="343"/>
      <c r="AT145" s="343">
        <v>7500</v>
      </c>
      <c r="AU145" s="343">
        <v>8000</v>
      </c>
      <c r="AV145" s="343">
        <v>0</v>
      </c>
      <c r="AW145" s="343">
        <v>0</v>
      </c>
      <c r="AX145" s="343">
        <v>0</v>
      </c>
      <c r="AY145" s="343">
        <v>0</v>
      </c>
      <c r="AZ145" s="343"/>
      <c r="BA145" s="343"/>
      <c r="BB145" s="343">
        <v>0</v>
      </c>
      <c r="BC145" s="343"/>
      <c r="BD145" s="343"/>
      <c r="BE145" s="343"/>
      <c r="BF145" s="222">
        <f t="shared" si="51"/>
        <v>73850</v>
      </c>
      <c r="BG145" s="896">
        <f t="shared" si="53"/>
        <v>7</v>
      </c>
      <c r="BH145" s="896">
        <f t="shared" si="54"/>
        <v>10550</v>
      </c>
      <c r="BI145" s="214">
        <f>+SUM(BF174:BF195)+SUM(BF241:BF260)</f>
        <v>4687110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6279</v>
      </c>
      <c r="F146" s="100">
        <f>SUMIF(pro!$A:$A,INTGRATE!$Y:$Y,pro!$N:$N)</f>
        <v>0</v>
      </c>
      <c r="G146" s="344"/>
      <c r="H146" s="344">
        <f>SUMIF(CBIN!$A:$A,INTGRATE!$Y:$Y,CBIN!$G:$G)</f>
        <v>0</v>
      </c>
      <c r="I146" s="248">
        <f>SUMIF(data!$D:$D,INTGRATE!$B146&amp;INTGRATE!$D146,data!$J:$J)</f>
        <v>2760</v>
      </c>
      <c r="J146" s="248"/>
      <c r="K146" s="248"/>
      <c r="L146" s="248">
        <f>SUMIF(data!$D:$D,INTGRATE!$B146&amp;INTGRATE!$D146,data!$K:$K)</f>
        <v>138000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3519</v>
      </c>
      <c r="P146" s="248">
        <f t="shared" si="46"/>
        <v>175950</v>
      </c>
      <c r="Q146" s="248">
        <f t="shared" si="47"/>
        <v>4100150</v>
      </c>
      <c r="R146" s="622"/>
      <c r="S146" s="622"/>
      <c r="T146" s="248">
        <f t="shared" si="48"/>
        <v>178267.39130434784</v>
      </c>
      <c r="U146" s="996">
        <f t="shared" si="49"/>
        <v>0.98700047559235626</v>
      </c>
      <c r="V146" s="997"/>
      <c r="W146" s="472"/>
      <c r="X146" s="251"/>
      <c r="Y146" s="983" t="str">
        <f t="shared" si="50"/>
        <v>552F50</v>
      </c>
      <c r="Z146" s="938">
        <v>321101</v>
      </c>
      <c r="AA146" s="248">
        <v>16850</v>
      </c>
      <c r="AB146" s="343">
        <v>16000</v>
      </c>
      <c r="AC146" s="343">
        <v>232500</v>
      </c>
      <c r="AD146" s="343">
        <v>77250</v>
      </c>
      <c r="AE146" s="343"/>
      <c r="AF146" s="343">
        <v>333200</v>
      </c>
      <c r="AG146" s="343">
        <v>301850</v>
      </c>
      <c r="AH146" s="343">
        <v>318450</v>
      </c>
      <c r="AI146" s="343">
        <v>277050</v>
      </c>
      <c r="AJ146" s="343">
        <v>268050</v>
      </c>
      <c r="AK146" s="343">
        <v>186700</v>
      </c>
      <c r="AL146" s="343"/>
      <c r="AM146" s="343">
        <v>35500</v>
      </c>
      <c r="AN146" s="248">
        <v>0</v>
      </c>
      <c r="AO146" s="343">
        <v>0</v>
      </c>
      <c r="AP146" s="343">
        <v>22000</v>
      </c>
      <c r="AQ146" s="248">
        <v>0</v>
      </c>
      <c r="AR146" s="343">
        <v>90000</v>
      </c>
      <c r="AS146" s="343"/>
      <c r="AT146" s="343">
        <v>222450</v>
      </c>
      <c r="AU146" s="343">
        <v>347650</v>
      </c>
      <c r="AV146" s="343">
        <v>347050</v>
      </c>
      <c r="AW146" s="343">
        <v>301050</v>
      </c>
      <c r="AX146" s="343">
        <v>289650</v>
      </c>
      <c r="AY146" s="343">
        <v>278900</v>
      </c>
      <c r="AZ146" s="343"/>
      <c r="BA146" s="343"/>
      <c r="BB146" s="343">
        <v>138000</v>
      </c>
      <c r="BC146" s="343"/>
      <c r="BD146" s="343"/>
      <c r="BE146" s="343"/>
      <c r="BF146" s="222">
        <f t="shared" si="51"/>
        <v>4100150</v>
      </c>
      <c r="BG146" s="896">
        <f t="shared" si="53"/>
        <v>20</v>
      </c>
      <c r="BH146" s="896">
        <f t="shared" si="54"/>
        <v>205007.5</v>
      </c>
      <c r="BI146" s="214">
        <f>SUM(BF196:BF261)</f>
        <v>10720190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96">
        <f t="shared" si="49"/>
        <v>0</v>
      </c>
      <c r="V147" s="997"/>
      <c r="W147" s="472"/>
      <c r="X147" s="251"/>
      <c r="Y147" s="983" t="str">
        <f t="shared" si="50"/>
        <v>552F25</v>
      </c>
      <c r="Z147" s="938">
        <v>321101</v>
      </c>
      <c r="AA147" s="248">
        <v>0</v>
      </c>
      <c r="AB147" s="343">
        <v>0</v>
      </c>
      <c r="AC147" s="343">
        <v>0</v>
      </c>
      <c r="AD147" s="343">
        <v>0</v>
      </c>
      <c r="AE147" s="343"/>
      <c r="AF147" s="343">
        <v>0</v>
      </c>
      <c r="AG147" s="343">
        <v>0</v>
      </c>
      <c r="AH147" s="343">
        <v>0</v>
      </c>
      <c r="AI147" s="343">
        <v>0</v>
      </c>
      <c r="AJ147" s="343">
        <v>0</v>
      </c>
      <c r="AK147" s="343">
        <v>0</v>
      </c>
      <c r="AL147" s="343"/>
      <c r="AM147" s="343">
        <v>0</v>
      </c>
      <c r="AN147" s="248">
        <v>0</v>
      </c>
      <c r="AO147" s="343">
        <v>0</v>
      </c>
      <c r="AP147" s="343">
        <v>0</v>
      </c>
      <c r="AQ147" s="248">
        <v>0</v>
      </c>
      <c r="AR147" s="343">
        <v>0</v>
      </c>
      <c r="AS147" s="343"/>
      <c r="AT147" s="343">
        <v>0</v>
      </c>
      <c r="AU147" s="343">
        <v>0</v>
      </c>
      <c r="AV147" s="343">
        <v>0</v>
      </c>
      <c r="AW147" s="343">
        <v>0</v>
      </c>
      <c r="AX147" s="343">
        <v>0</v>
      </c>
      <c r="AY147" s="343">
        <v>0</v>
      </c>
      <c r="AZ147" s="343"/>
      <c r="BA147" s="343"/>
      <c r="BB147" s="343">
        <v>0</v>
      </c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25542150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96">
        <f t="shared" si="49"/>
        <v>0</v>
      </c>
      <c r="V148" s="997"/>
      <c r="W148" s="472"/>
      <c r="X148" s="251"/>
      <c r="Y148" s="983" t="str">
        <f t="shared" si="50"/>
        <v>552FS1050</v>
      </c>
      <c r="Z148" s="938">
        <v>32110810</v>
      </c>
      <c r="AA148" s="248">
        <v>0</v>
      </c>
      <c r="AB148" s="343">
        <v>0</v>
      </c>
      <c r="AC148" s="343">
        <v>0</v>
      </c>
      <c r="AD148" s="343">
        <v>0</v>
      </c>
      <c r="AE148" s="343"/>
      <c r="AF148" s="343">
        <v>0</v>
      </c>
      <c r="AG148" s="343">
        <v>0</v>
      </c>
      <c r="AH148" s="343">
        <v>0</v>
      </c>
      <c r="AI148" s="343">
        <v>0</v>
      </c>
      <c r="AJ148" s="343">
        <v>0</v>
      </c>
      <c r="AK148" s="343">
        <v>0</v>
      </c>
      <c r="AL148" s="343"/>
      <c r="AM148" s="343">
        <v>0</v>
      </c>
      <c r="AN148" s="248">
        <v>0</v>
      </c>
      <c r="AO148" s="343">
        <v>0</v>
      </c>
      <c r="AP148" s="343">
        <v>0</v>
      </c>
      <c r="AQ148" s="248">
        <v>0</v>
      </c>
      <c r="AR148" s="343">
        <v>0</v>
      </c>
      <c r="AS148" s="343"/>
      <c r="AT148" s="343">
        <v>0</v>
      </c>
      <c r="AU148" s="343">
        <v>0</v>
      </c>
      <c r="AV148" s="343">
        <v>0</v>
      </c>
      <c r="AW148" s="343">
        <v>0</v>
      </c>
      <c r="AX148" s="343">
        <v>0</v>
      </c>
      <c r="AY148" s="343">
        <v>0</v>
      </c>
      <c r="AZ148" s="343"/>
      <c r="BA148" s="343"/>
      <c r="BB148" s="343">
        <v>0</v>
      </c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96">
        <f t="shared" ref="U149:U196" si="55">IF(T149=0,0,P149/T149)</f>
        <v>0</v>
      </c>
      <c r="V149" s="997"/>
      <c r="W149" s="472"/>
      <c r="X149" s="251"/>
      <c r="Y149" s="983" t="str">
        <f t="shared" si="50"/>
        <v>552FS1150</v>
      </c>
      <c r="Z149" s="938">
        <v>32110811</v>
      </c>
      <c r="AA149" s="248">
        <v>0</v>
      </c>
      <c r="AB149" s="343">
        <v>0</v>
      </c>
      <c r="AC149" s="343">
        <v>0</v>
      </c>
      <c r="AD149" s="343">
        <v>0</v>
      </c>
      <c r="AE149" s="343"/>
      <c r="AF149" s="343">
        <v>0</v>
      </c>
      <c r="AG149" s="343">
        <v>0</v>
      </c>
      <c r="AH149" s="343">
        <v>0</v>
      </c>
      <c r="AI149" s="343">
        <v>0</v>
      </c>
      <c r="AJ149" s="343">
        <v>0</v>
      </c>
      <c r="AK149" s="343">
        <v>0</v>
      </c>
      <c r="AL149" s="343"/>
      <c r="AM149" s="343">
        <v>0</v>
      </c>
      <c r="AN149" s="248">
        <v>0</v>
      </c>
      <c r="AO149" s="343">
        <v>0</v>
      </c>
      <c r="AP149" s="343">
        <v>0</v>
      </c>
      <c r="AQ149" s="248">
        <v>0</v>
      </c>
      <c r="AR149" s="343">
        <v>0</v>
      </c>
      <c r="AS149" s="343"/>
      <c r="AT149" s="343">
        <v>0</v>
      </c>
      <c r="AU149" s="343">
        <v>0</v>
      </c>
      <c r="AV149" s="343">
        <v>0</v>
      </c>
      <c r="AW149" s="343">
        <v>0</v>
      </c>
      <c r="AX149" s="343">
        <v>0</v>
      </c>
      <c r="AY149" s="343">
        <v>0</v>
      </c>
      <c r="AZ149" s="343"/>
      <c r="BA149" s="343"/>
      <c r="BB149" s="343">
        <v>0</v>
      </c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2064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0</v>
      </c>
      <c r="J150" s="248"/>
      <c r="K150" s="248"/>
      <c r="L150" s="248">
        <f>SUMIF(data!$D:$D,INTGRATE!$B150&amp;INTGRATE!$D150,data!$K:$K)</f>
        <v>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2064</v>
      </c>
      <c r="P150" s="248">
        <f>O150*D150</f>
        <v>103200</v>
      </c>
      <c r="Q150" s="248">
        <f>SUM(AA150:BE150)</f>
        <v>283750</v>
      </c>
      <c r="R150" s="408"/>
      <c r="S150" s="222"/>
      <c r="T150" s="248">
        <f t="shared" ref="T150:T183" si="56">Q150/$N$293</f>
        <v>12336.95652173913</v>
      </c>
      <c r="U150" s="996">
        <f>IF(T150=0,0,P150/T150)</f>
        <v>8.3651101321585912</v>
      </c>
      <c r="V150" s="997"/>
      <c r="W150" s="472"/>
      <c r="X150" s="251"/>
      <c r="Y150" s="983" t="str">
        <f>B150&amp;D150</f>
        <v>552FS1350</v>
      </c>
      <c r="Z150" s="938">
        <v>32110813</v>
      </c>
      <c r="AA150" s="248">
        <v>34000</v>
      </c>
      <c r="AB150" s="343">
        <v>17000</v>
      </c>
      <c r="AC150" s="343">
        <v>17000</v>
      </c>
      <c r="AD150" s="343">
        <v>17000</v>
      </c>
      <c r="AE150" s="343"/>
      <c r="AF150" s="343">
        <v>0</v>
      </c>
      <c r="AG150" s="343">
        <v>0</v>
      </c>
      <c r="AH150" s="343">
        <v>0</v>
      </c>
      <c r="AI150" s="343">
        <v>0</v>
      </c>
      <c r="AJ150" s="343">
        <v>0</v>
      </c>
      <c r="AK150" s="343">
        <v>0</v>
      </c>
      <c r="AL150" s="343"/>
      <c r="AM150" s="343">
        <v>49450</v>
      </c>
      <c r="AN150" s="248">
        <v>17000</v>
      </c>
      <c r="AO150" s="343">
        <v>25450</v>
      </c>
      <c r="AP150" s="343">
        <v>28450</v>
      </c>
      <c r="AQ150" s="248">
        <v>61400</v>
      </c>
      <c r="AR150" s="343">
        <v>17000</v>
      </c>
      <c r="AS150" s="343"/>
      <c r="AT150" s="343">
        <v>0</v>
      </c>
      <c r="AU150" s="343">
        <v>0</v>
      </c>
      <c r="AV150" s="343">
        <v>0</v>
      </c>
      <c r="AW150" s="343">
        <v>0</v>
      </c>
      <c r="AX150" s="343">
        <v>0</v>
      </c>
      <c r="AY150" s="343">
        <v>0</v>
      </c>
      <c r="AZ150" s="343"/>
      <c r="BA150" s="343"/>
      <c r="BB150" s="343">
        <v>0</v>
      </c>
      <c r="BC150" s="343"/>
      <c r="BD150" s="343"/>
      <c r="BE150" s="343"/>
      <c r="BF150" s="222">
        <f t="shared" si="51"/>
        <v>283750</v>
      </c>
      <c r="BG150" s="896">
        <f t="shared" si="53"/>
        <v>10</v>
      </c>
      <c r="BH150" s="896">
        <f t="shared" si="54"/>
        <v>28375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96">
        <f>IF(T151=0,0,P151/T151)</f>
        <v>0</v>
      </c>
      <c r="V151" s="997"/>
      <c r="W151" s="472"/>
      <c r="X151" s="251"/>
      <c r="Y151" s="983" t="str">
        <f>B151&amp;D151</f>
        <v>552FS3150</v>
      </c>
      <c r="Z151" s="938">
        <v>32110831</v>
      </c>
      <c r="AA151" s="248">
        <v>0</v>
      </c>
      <c r="AB151" s="343">
        <v>0</v>
      </c>
      <c r="AC151" s="343">
        <v>0</v>
      </c>
      <c r="AD151" s="343">
        <v>0</v>
      </c>
      <c r="AE151" s="343"/>
      <c r="AF151" s="343">
        <v>0</v>
      </c>
      <c r="AG151" s="343">
        <v>0</v>
      </c>
      <c r="AH151" s="343">
        <v>0</v>
      </c>
      <c r="AI151" s="343">
        <v>0</v>
      </c>
      <c r="AJ151" s="343">
        <v>0</v>
      </c>
      <c r="AK151" s="343">
        <v>0</v>
      </c>
      <c r="AL151" s="343"/>
      <c r="AM151" s="343">
        <v>0</v>
      </c>
      <c r="AN151" s="248">
        <v>0</v>
      </c>
      <c r="AO151" s="343">
        <v>0</v>
      </c>
      <c r="AP151" s="343">
        <v>0</v>
      </c>
      <c r="AQ151" s="248">
        <v>0</v>
      </c>
      <c r="AR151" s="343">
        <v>0</v>
      </c>
      <c r="AS151" s="343"/>
      <c r="AT151" s="343">
        <v>0</v>
      </c>
      <c r="AU151" s="343">
        <v>0</v>
      </c>
      <c r="AV151" s="343">
        <v>0</v>
      </c>
      <c r="AW151" s="343">
        <v>0</v>
      </c>
      <c r="AX151" s="343">
        <v>0</v>
      </c>
      <c r="AY151" s="343">
        <v>0</v>
      </c>
      <c r="AZ151" s="343"/>
      <c r="BA151" s="343"/>
      <c r="BB151" s="343">
        <v>0</v>
      </c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96">
        <f t="shared" si="55"/>
        <v>0</v>
      </c>
      <c r="V152" s="997"/>
      <c r="W152" s="523"/>
      <c r="X152" s="251"/>
      <c r="Y152" s="983" t="str">
        <f t="shared" si="50"/>
        <v>552FS3450</v>
      </c>
      <c r="Z152" s="938">
        <v>32110834</v>
      </c>
      <c r="AA152" s="248">
        <v>0</v>
      </c>
      <c r="AB152" s="343">
        <v>0</v>
      </c>
      <c r="AC152" s="343">
        <v>0</v>
      </c>
      <c r="AD152" s="343">
        <v>0</v>
      </c>
      <c r="AE152" s="343"/>
      <c r="AF152" s="343">
        <v>0</v>
      </c>
      <c r="AG152" s="343">
        <v>0</v>
      </c>
      <c r="AH152" s="343">
        <v>0</v>
      </c>
      <c r="AI152" s="343">
        <v>0</v>
      </c>
      <c r="AJ152" s="343">
        <v>0</v>
      </c>
      <c r="AK152" s="343">
        <v>0</v>
      </c>
      <c r="AL152" s="343"/>
      <c r="AM152" s="343">
        <v>0</v>
      </c>
      <c r="AN152" s="248">
        <v>0</v>
      </c>
      <c r="AO152" s="343">
        <v>0</v>
      </c>
      <c r="AP152" s="343">
        <v>0</v>
      </c>
      <c r="AQ152" s="248">
        <v>0</v>
      </c>
      <c r="AR152" s="343">
        <v>0</v>
      </c>
      <c r="AS152" s="343"/>
      <c r="AT152" s="343">
        <v>0</v>
      </c>
      <c r="AU152" s="343">
        <v>0</v>
      </c>
      <c r="AV152" s="343">
        <v>0</v>
      </c>
      <c r="AW152" s="343">
        <v>0</v>
      </c>
      <c r="AX152" s="343">
        <v>0</v>
      </c>
      <c r="AY152" s="343">
        <v>0</v>
      </c>
      <c r="AZ152" s="343"/>
      <c r="BA152" s="343"/>
      <c r="BB152" s="343">
        <v>0</v>
      </c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96">
        <f>IF(T153=0,0,P153/T153)</f>
        <v>0</v>
      </c>
      <c r="V153" s="997"/>
      <c r="W153" s="523"/>
      <c r="X153" s="251"/>
      <c r="Y153" s="983" t="str">
        <f t="shared" si="50"/>
        <v>552FS3750</v>
      </c>
      <c r="Z153" s="938">
        <v>32110837</v>
      </c>
      <c r="AA153" s="248">
        <v>0</v>
      </c>
      <c r="AB153" s="343">
        <v>0</v>
      </c>
      <c r="AC153" s="343">
        <v>0</v>
      </c>
      <c r="AD153" s="343">
        <v>0</v>
      </c>
      <c r="AE153" s="343"/>
      <c r="AF153" s="343">
        <v>0</v>
      </c>
      <c r="AG153" s="343">
        <v>0</v>
      </c>
      <c r="AH153" s="343">
        <v>0</v>
      </c>
      <c r="AI153" s="343">
        <v>0</v>
      </c>
      <c r="AJ153" s="343">
        <v>0</v>
      </c>
      <c r="AK153" s="343">
        <v>0</v>
      </c>
      <c r="AL153" s="343"/>
      <c r="AM153" s="343">
        <v>0</v>
      </c>
      <c r="AN153" s="248">
        <v>0</v>
      </c>
      <c r="AO153" s="343">
        <v>0</v>
      </c>
      <c r="AP153" s="343">
        <v>0</v>
      </c>
      <c r="AQ153" s="248">
        <v>0</v>
      </c>
      <c r="AR153" s="343">
        <v>0</v>
      </c>
      <c r="AS153" s="343"/>
      <c r="AT153" s="343">
        <v>0</v>
      </c>
      <c r="AU153" s="343">
        <v>0</v>
      </c>
      <c r="AV153" s="343">
        <v>0</v>
      </c>
      <c r="AW153" s="343">
        <v>0</v>
      </c>
      <c r="AX153" s="343">
        <v>0</v>
      </c>
      <c r="AY153" s="343">
        <v>0</v>
      </c>
      <c r="AZ153" s="343"/>
      <c r="BA153" s="343"/>
      <c r="BB153" s="343">
        <v>0</v>
      </c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96">
        <f>IF(T154=0,0,P154/T154)</f>
        <v>0</v>
      </c>
      <c r="V154" s="997"/>
      <c r="W154" s="523"/>
      <c r="X154" s="251"/>
      <c r="Y154" s="983" t="str">
        <f>B154&amp;D154</f>
        <v>552FS7350</v>
      </c>
      <c r="Z154" s="938">
        <v>32110873</v>
      </c>
      <c r="AA154" s="248">
        <v>0</v>
      </c>
      <c r="AB154" s="343">
        <v>0</v>
      </c>
      <c r="AC154" s="343">
        <v>0</v>
      </c>
      <c r="AD154" s="343">
        <v>0</v>
      </c>
      <c r="AE154" s="343"/>
      <c r="AF154" s="343">
        <v>0</v>
      </c>
      <c r="AG154" s="343">
        <v>0</v>
      </c>
      <c r="AH154" s="343">
        <v>0</v>
      </c>
      <c r="AI154" s="343">
        <v>0</v>
      </c>
      <c r="AJ154" s="343">
        <v>0</v>
      </c>
      <c r="AK154" s="343">
        <v>0</v>
      </c>
      <c r="AL154" s="343"/>
      <c r="AM154" s="343">
        <v>0</v>
      </c>
      <c r="AN154" s="248">
        <v>0</v>
      </c>
      <c r="AO154" s="343">
        <v>0</v>
      </c>
      <c r="AP154" s="343">
        <v>0</v>
      </c>
      <c r="AQ154" s="248">
        <v>0</v>
      </c>
      <c r="AR154" s="343">
        <v>0</v>
      </c>
      <c r="AS154" s="343"/>
      <c r="AT154" s="343">
        <v>0</v>
      </c>
      <c r="AU154" s="343">
        <v>0</v>
      </c>
      <c r="AV154" s="343">
        <v>0</v>
      </c>
      <c r="AW154" s="343">
        <v>0</v>
      </c>
      <c r="AX154" s="343">
        <v>0</v>
      </c>
      <c r="AY154" s="343">
        <v>0</v>
      </c>
      <c r="AZ154" s="343"/>
      <c r="BA154" s="343"/>
      <c r="BB154" s="343">
        <v>0</v>
      </c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5643</v>
      </c>
      <c r="F155" s="100">
        <f>SUMIF(pro!$A:$A,INTGRATE!$Y:$Y,pro!$N:$N)</f>
        <v>6879</v>
      </c>
      <c r="G155" s="344"/>
      <c r="H155" s="344">
        <f>SUMIF(CBIN!$A:$A,INTGRATE!$Y:$Y,CBIN!$G:$G)</f>
        <v>0</v>
      </c>
      <c r="I155" s="248">
        <f>SUMIF(data!$D:$D,INTGRATE!$B155&amp;INTGRATE!$D155,data!$J:$J)</f>
        <v>6938</v>
      </c>
      <c r="J155" s="248"/>
      <c r="K155" s="248"/>
      <c r="L155" s="248">
        <f>SUMIF(data!$D:$D,INTGRATE!$B155&amp;INTGRATE!$D155,data!$K:$K)</f>
        <v>346900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5584</v>
      </c>
      <c r="P155" s="248">
        <f t="shared" si="46"/>
        <v>279200</v>
      </c>
      <c r="Q155" s="248">
        <f>SUM(AA155:BE155)</f>
        <v>2658050</v>
      </c>
      <c r="R155" s="222"/>
      <c r="S155" s="222"/>
      <c r="T155" s="248">
        <f t="shared" si="56"/>
        <v>115567.39130434782</v>
      </c>
      <c r="U155" s="996">
        <f t="shared" si="55"/>
        <v>2.415906397547074</v>
      </c>
      <c r="V155" s="997"/>
      <c r="W155" s="472"/>
      <c r="X155" s="251"/>
      <c r="Y155" s="983" t="str">
        <f t="shared" si="50"/>
        <v>552FS9050</v>
      </c>
      <c r="Z155" s="938">
        <v>32110890</v>
      </c>
      <c r="AA155" s="248">
        <v>139350</v>
      </c>
      <c r="AB155" s="343">
        <v>258300</v>
      </c>
      <c r="AC155" s="343">
        <v>156600</v>
      </c>
      <c r="AD155" s="343">
        <v>195950</v>
      </c>
      <c r="AE155" s="343"/>
      <c r="AF155" s="343">
        <v>0</v>
      </c>
      <c r="AG155" s="343">
        <v>0</v>
      </c>
      <c r="AH155" s="343">
        <v>0</v>
      </c>
      <c r="AI155" s="343">
        <v>0</v>
      </c>
      <c r="AJ155" s="343">
        <v>0</v>
      </c>
      <c r="AK155" s="343">
        <v>33650</v>
      </c>
      <c r="AL155" s="343"/>
      <c r="AM155" s="343">
        <v>220700</v>
      </c>
      <c r="AN155" s="248">
        <v>316300</v>
      </c>
      <c r="AO155" s="343">
        <v>262550</v>
      </c>
      <c r="AP155" s="343">
        <v>220350</v>
      </c>
      <c r="AQ155" s="248">
        <v>202400</v>
      </c>
      <c r="AR155" s="343">
        <v>272650</v>
      </c>
      <c r="AS155" s="343"/>
      <c r="AT155" s="343">
        <v>0</v>
      </c>
      <c r="AU155" s="343">
        <v>0</v>
      </c>
      <c r="AV155" s="343">
        <v>0</v>
      </c>
      <c r="AW155" s="343">
        <v>0</v>
      </c>
      <c r="AX155" s="343">
        <v>0</v>
      </c>
      <c r="AY155" s="343">
        <v>32350</v>
      </c>
      <c r="AZ155" s="343"/>
      <c r="BA155" s="343"/>
      <c r="BB155" s="343">
        <v>346900</v>
      </c>
      <c r="BC155" s="343"/>
      <c r="BD155" s="343"/>
      <c r="BE155" s="343"/>
      <c r="BF155" s="222">
        <f t="shared" si="51"/>
        <v>2658050</v>
      </c>
      <c r="BG155" s="896">
        <f t="shared" si="53"/>
        <v>13</v>
      </c>
      <c r="BH155" s="896">
        <f t="shared" si="54"/>
        <v>204465.38461538462</v>
      </c>
    </row>
    <row r="156" spans="1:62">
      <c r="A156" s="311">
        <v>39</v>
      </c>
      <c r="B156" s="253" t="s">
        <v>2667</v>
      </c>
      <c r="C156" s="253" t="s">
        <v>61</v>
      </c>
      <c r="D156" s="400">
        <v>50</v>
      </c>
      <c r="E156" s="248">
        <v>937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340</v>
      </c>
      <c r="J156" s="248"/>
      <c r="K156" s="248"/>
      <c r="L156" s="248">
        <f>SUMIF(data!$D:$D,INTGRATE!$B156&amp;INTGRATE!$D156,data!$K:$K)</f>
        <v>17000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597</v>
      </c>
      <c r="P156" s="248">
        <f t="shared" ref="P156" si="59">O156*D156</f>
        <v>29850</v>
      </c>
      <c r="Q156" s="248">
        <f>SUM(AA156:BE156)</f>
        <v>106500</v>
      </c>
      <c r="R156" s="222"/>
      <c r="S156" s="222"/>
      <c r="T156" s="248">
        <f t="shared" si="56"/>
        <v>4630.434782608696</v>
      </c>
      <c r="U156" s="996">
        <f t="shared" ref="U156" si="60">IF(T156=0,0,P156/T156)</f>
        <v>6.4464788732394362</v>
      </c>
      <c r="V156" s="997"/>
      <c r="W156" s="472"/>
      <c r="X156" s="251"/>
      <c r="Y156" s="983" t="str">
        <f t="shared" si="50"/>
        <v>552WDF50</v>
      </c>
      <c r="Z156" s="938">
        <v>321181</v>
      </c>
      <c r="AA156" s="248"/>
      <c r="AB156" s="343"/>
      <c r="AC156" s="343"/>
      <c r="AD156" s="343"/>
      <c r="AE156" s="343"/>
      <c r="AF156" s="343"/>
      <c r="AG156" s="343"/>
      <c r="AH156" s="343">
        <v>0</v>
      </c>
      <c r="AI156" s="343">
        <v>16850</v>
      </c>
      <c r="AJ156" s="343">
        <v>0</v>
      </c>
      <c r="AK156" s="343">
        <v>6850</v>
      </c>
      <c r="AL156" s="343"/>
      <c r="AM156" s="343">
        <v>0</v>
      </c>
      <c r="AN156" s="248">
        <v>0</v>
      </c>
      <c r="AO156" s="343">
        <v>0</v>
      </c>
      <c r="AP156" s="343">
        <v>0</v>
      </c>
      <c r="AQ156" s="248">
        <v>0</v>
      </c>
      <c r="AR156" s="343">
        <v>32800</v>
      </c>
      <c r="AS156" s="343"/>
      <c r="AT156" s="343">
        <v>33000</v>
      </c>
      <c r="AU156" s="343">
        <v>0</v>
      </c>
      <c r="AV156" s="343">
        <v>0</v>
      </c>
      <c r="AW156" s="343">
        <v>0</v>
      </c>
      <c r="AX156" s="343">
        <v>0</v>
      </c>
      <c r="AY156" s="343">
        <v>0</v>
      </c>
      <c r="AZ156" s="343"/>
      <c r="BA156" s="343"/>
      <c r="BB156" s="343">
        <v>17000</v>
      </c>
      <c r="BC156" s="343"/>
      <c r="BD156" s="343"/>
      <c r="BE156" s="343"/>
      <c r="BF156" s="222">
        <f t="shared" ref="BF156" si="61">SUM(AA156:BE156)</f>
        <v>106500</v>
      </c>
      <c r="BG156" s="896">
        <f t="shared" ref="BG156" si="62">COUNTIF(AA156:BE156,"&gt;0")</f>
        <v>5</v>
      </c>
      <c r="BH156" s="896">
        <f t="shared" ref="BH156" si="63">IFERROR(BF156/BG156,0)</f>
        <v>21300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3503</v>
      </c>
      <c r="F157" s="100">
        <f>SUMIF(pro!$A:$A,INTGRATE!$Y:$Y,pro!$N:$N)</f>
        <v>0</v>
      </c>
      <c r="G157" s="248"/>
      <c r="H157" s="344">
        <f>SUMIF(CBIN!$A:$A,INTGRATE!$Y:$Y,CBIN!$G:$G)</f>
        <v>0</v>
      </c>
      <c r="I157" s="248">
        <f>SUMIF(data!$D:$D,INTGRATE!$B157&amp;INTGRATE!$D157,data!$J:$J)</f>
        <v>3440</v>
      </c>
      <c r="J157" s="248"/>
      <c r="K157" s="248"/>
      <c r="L157" s="248">
        <f>SUMIF(data!$D:$D,INTGRATE!$B157&amp;INTGRATE!$D157,data!$K:$K)</f>
        <v>172000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63</v>
      </c>
      <c r="P157" s="248">
        <f t="shared" si="46"/>
        <v>3150</v>
      </c>
      <c r="Q157" s="248">
        <f t="shared" si="57"/>
        <v>3873300</v>
      </c>
      <c r="R157" s="222"/>
      <c r="S157" s="222"/>
      <c r="T157" s="248">
        <f t="shared" si="56"/>
        <v>168404.34782608695</v>
      </c>
      <c r="U157" s="996">
        <f t="shared" si="55"/>
        <v>1.8704980249399736E-2</v>
      </c>
      <c r="V157" s="997"/>
      <c r="W157" s="522"/>
      <c r="X157" s="251"/>
      <c r="Y157" s="983" t="str">
        <f t="shared" si="50"/>
        <v>552SF50</v>
      </c>
      <c r="Z157" s="938" t="s">
        <v>776</v>
      </c>
      <c r="AA157" s="248">
        <v>80500</v>
      </c>
      <c r="AB157" s="343">
        <v>0</v>
      </c>
      <c r="AC157" s="343">
        <v>82900</v>
      </c>
      <c r="AD157" s="343">
        <v>62750</v>
      </c>
      <c r="AE157" s="343"/>
      <c r="AF157" s="343">
        <v>311500</v>
      </c>
      <c r="AG157" s="343">
        <v>298700</v>
      </c>
      <c r="AH157" s="343">
        <v>248850</v>
      </c>
      <c r="AI157" s="343">
        <v>327850</v>
      </c>
      <c r="AJ157" s="343">
        <v>220100</v>
      </c>
      <c r="AK157" s="343">
        <v>253450</v>
      </c>
      <c r="AL157" s="343"/>
      <c r="AM157" s="343">
        <v>30750</v>
      </c>
      <c r="AN157" s="248">
        <v>16500</v>
      </c>
      <c r="AO157" s="343">
        <v>6050</v>
      </c>
      <c r="AP157" s="343">
        <v>0</v>
      </c>
      <c r="AQ157" s="248">
        <v>0</v>
      </c>
      <c r="AR157" s="343">
        <v>32350</v>
      </c>
      <c r="AS157" s="343"/>
      <c r="AT157" s="343">
        <v>292500</v>
      </c>
      <c r="AU157" s="343">
        <v>243600</v>
      </c>
      <c r="AV157" s="343">
        <v>388150</v>
      </c>
      <c r="AW157" s="343">
        <v>358550</v>
      </c>
      <c r="AX157" s="343">
        <v>216200</v>
      </c>
      <c r="AY157" s="343">
        <v>230050</v>
      </c>
      <c r="AZ157" s="343"/>
      <c r="BA157" s="343"/>
      <c r="BB157" s="343">
        <v>172000</v>
      </c>
      <c r="BC157" s="343"/>
      <c r="BD157" s="343"/>
      <c r="BE157" s="343"/>
      <c r="BF157" s="222">
        <f t="shared" si="51"/>
        <v>3873300</v>
      </c>
      <c r="BG157" s="896">
        <f t="shared" si="53"/>
        <v>20</v>
      </c>
      <c r="BH157" s="896">
        <f t="shared" si="54"/>
        <v>193665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96">
        <f t="shared" si="55"/>
        <v>0</v>
      </c>
      <c r="V158" s="997"/>
      <c r="W158" s="522"/>
      <c r="X158" s="251"/>
      <c r="Y158" s="983" t="str">
        <f t="shared" si="50"/>
        <v>552SF25</v>
      </c>
      <c r="Z158" s="938" t="s">
        <v>776</v>
      </c>
      <c r="AA158" s="248">
        <v>0</v>
      </c>
      <c r="AB158" s="343">
        <v>0</v>
      </c>
      <c r="AC158" s="343">
        <v>0</v>
      </c>
      <c r="AD158" s="343">
        <v>0</v>
      </c>
      <c r="AE158" s="343"/>
      <c r="AF158" s="343">
        <v>0</v>
      </c>
      <c r="AG158" s="343">
        <v>0</v>
      </c>
      <c r="AH158" s="343">
        <v>0</v>
      </c>
      <c r="AI158" s="343">
        <v>0</v>
      </c>
      <c r="AJ158" s="343">
        <v>0</v>
      </c>
      <c r="AK158" s="343">
        <v>0</v>
      </c>
      <c r="AL158" s="343"/>
      <c r="AM158" s="343">
        <v>0</v>
      </c>
      <c r="AN158" s="248">
        <v>0</v>
      </c>
      <c r="AO158" s="343">
        <v>0</v>
      </c>
      <c r="AP158" s="343">
        <v>0</v>
      </c>
      <c r="AQ158" s="248">
        <v>0</v>
      </c>
      <c r="AR158" s="343">
        <v>0</v>
      </c>
      <c r="AS158" s="343"/>
      <c r="AT158" s="343">
        <v>0</v>
      </c>
      <c r="AU158" s="343">
        <v>0</v>
      </c>
      <c r="AV158" s="343">
        <v>0</v>
      </c>
      <c r="AW158" s="343">
        <v>0</v>
      </c>
      <c r="AX158" s="343">
        <v>0</v>
      </c>
      <c r="AY158" s="343">
        <v>0</v>
      </c>
      <c r="AZ158" s="343"/>
      <c r="BA158" s="343"/>
      <c r="BB158" s="343">
        <v>0</v>
      </c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96">
        <f t="shared" si="55"/>
        <v>0</v>
      </c>
      <c r="V159" s="997"/>
      <c r="W159" s="522"/>
      <c r="X159" s="251"/>
      <c r="Y159" s="983" t="str">
        <f t="shared" si="50"/>
        <v>552SXF25</v>
      </c>
      <c r="Z159" s="943">
        <v>320008</v>
      </c>
      <c r="AA159" s="248">
        <v>0</v>
      </c>
      <c r="AB159" s="343">
        <v>0</v>
      </c>
      <c r="AC159" s="343">
        <v>0</v>
      </c>
      <c r="AD159" s="343">
        <v>0</v>
      </c>
      <c r="AE159" s="343"/>
      <c r="AF159" s="343">
        <v>0</v>
      </c>
      <c r="AG159" s="343">
        <v>0</v>
      </c>
      <c r="AH159" s="343">
        <v>0</v>
      </c>
      <c r="AI159" s="343">
        <v>0</v>
      </c>
      <c r="AJ159" s="343">
        <v>0</v>
      </c>
      <c r="AK159" s="343">
        <v>0</v>
      </c>
      <c r="AL159" s="343"/>
      <c r="AM159" s="343">
        <v>0</v>
      </c>
      <c r="AN159" s="248">
        <v>0</v>
      </c>
      <c r="AO159" s="343">
        <v>0</v>
      </c>
      <c r="AP159" s="343">
        <v>0</v>
      </c>
      <c r="AQ159" s="248">
        <v>0</v>
      </c>
      <c r="AR159" s="343">
        <v>0</v>
      </c>
      <c r="AS159" s="343"/>
      <c r="AT159" s="343">
        <v>0</v>
      </c>
      <c r="AU159" s="343">
        <v>0</v>
      </c>
      <c r="AV159" s="343">
        <v>0</v>
      </c>
      <c r="AW159" s="343">
        <v>0</v>
      </c>
      <c r="AX159" s="343">
        <v>0</v>
      </c>
      <c r="AY159" s="343">
        <v>0</v>
      </c>
      <c r="AZ159" s="343"/>
      <c r="BA159" s="343"/>
      <c r="BB159" s="343">
        <v>0</v>
      </c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96">
        <f>IF(T160=0,0,P160/T160)</f>
        <v>0</v>
      </c>
      <c r="V160" s="997"/>
      <c r="W160" s="522"/>
      <c r="X160" s="251"/>
      <c r="Y160" s="983" t="str">
        <f>B160&amp;D160</f>
        <v>552SFS3150</v>
      </c>
      <c r="Z160" s="938">
        <v>32010831</v>
      </c>
      <c r="AA160" s="248">
        <v>0</v>
      </c>
      <c r="AB160" s="343">
        <v>0</v>
      </c>
      <c r="AC160" s="343">
        <v>0</v>
      </c>
      <c r="AD160" s="343">
        <v>0</v>
      </c>
      <c r="AE160" s="343"/>
      <c r="AF160" s="343">
        <v>0</v>
      </c>
      <c r="AG160" s="343">
        <v>0</v>
      </c>
      <c r="AH160" s="343">
        <v>0</v>
      </c>
      <c r="AI160" s="343">
        <v>0</v>
      </c>
      <c r="AJ160" s="343">
        <v>0</v>
      </c>
      <c r="AK160" s="343">
        <v>0</v>
      </c>
      <c r="AL160" s="343"/>
      <c r="AM160" s="343">
        <v>0</v>
      </c>
      <c r="AN160" s="248">
        <v>0</v>
      </c>
      <c r="AO160" s="343">
        <v>0</v>
      </c>
      <c r="AP160" s="343">
        <v>0</v>
      </c>
      <c r="AQ160" s="248">
        <v>0</v>
      </c>
      <c r="AR160" s="343">
        <v>0</v>
      </c>
      <c r="AS160" s="343"/>
      <c r="AT160" s="343">
        <v>0</v>
      </c>
      <c r="AU160" s="343">
        <v>0</v>
      </c>
      <c r="AV160" s="343">
        <v>0</v>
      </c>
      <c r="AW160" s="343">
        <v>0</v>
      </c>
      <c r="AX160" s="343">
        <v>0</v>
      </c>
      <c r="AY160" s="343">
        <v>0</v>
      </c>
      <c r="AZ160" s="343"/>
      <c r="BA160" s="343"/>
      <c r="BB160" s="343">
        <v>0</v>
      </c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2609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96">
        <f t="shared" si="55"/>
        <v>0</v>
      </c>
      <c r="V161" s="997"/>
      <c r="W161" s="363"/>
      <c r="X161" s="251"/>
      <c r="Y161" s="983" t="str">
        <f t="shared" si="50"/>
        <v>552SFS1350</v>
      </c>
      <c r="Z161" s="938">
        <v>32010813</v>
      </c>
      <c r="AA161" s="248">
        <v>0</v>
      </c>
      <c r="AB161" s="343">
        <v>0</v>
      </c>
      <c r="AC161" s="343">
        <v>0</v>
      </c>
      <c r="AD161" s="343">
        <v>0</v>
      </c>
      <c r="AE161" s="343"/>
      <c r="AF161" s="343">
        <v>0</v>
      </c>
      <c r="AG161" s="343">
        <v>0</v>
      </c>
      <c r="AH161" s="343">
        <v>0</v>
      </c>
      <c r="AI161" s="343">
        <v>0</v>
      </c>
      <c r="AJ161" s="343">
        <v>0</v>
      </c>
      <c r="AK161" s="343">
        <v>0</v>
      </c>
      <c r="AL161" s="343"/>
      <c r="AM161" s="343">
        <v>0</v>
      </c>
      <c r="AN161" s="248">
        <v>0</v>
      </c>
      <c r="AO161" s="343">
        <v>0</v>
      </c>
      <c r="AP161" s="343">
        <v>0</v>
      </c>
      <c r="AQ161" s="248">
        <v>0</v>
      </c>
      <c r="AR161" s="343">
        <v>0</v>
      </c>
      <c r="AS161" s="343"/>
      <c r="AT161" s="343">
        <v>0</v>
      </c>
      <c r="AU161" s="343">
        <v>0</v>
      </c>
      <c r="AV161" s="343">
        <v>0</v>
      </c>
      <c r="AW161" s="343">
        <v>0</v>
      </c>
      <c r="AX161" s="343">
        <v>0</v>
      </c>
      <c r="AY161" s="343">
        <v>0</v>
      </c>
      <c r="AZ161" s="343"/>
      <c r="BA161" s="343"/>
      <c r="BB161" s="343">
        <v>0</v>
      </c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96">
        <f>IF(T162=0,0,P162/T162)</f>
        <v>0</v>
      </c>
      <c r="V162" s="997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>
        <v>0</v>
      </c>
      <c r="AB162" s="343">
        <v>0</v>
      </c>
      <c r="AC162" s="343">
        <v>0</v>
      </c>
      <c r="AD162" s="343">
        <v>0</v>
      </c>
      <c r="AE162" s="343"/>
      <c r="AF162" s="343">
        <v>0</v>
      </c>
      <c r="AG162" s="343">
        <v>0</v>
      </c>
      <c r="AH162" s="343">
        <v>0</v>
      </c>
      <c r="AI162" s="343">
        <v>0</v>
      </c>
      <c r="AJ162" s="343">
        <v>0</v>
      </c>
      <c r="AK162" s="343">
        <v>0</v>
      </c>
      <c r="AL162" s="343"/>
      <c r="AM162" s="343">
        <v>0</v>
      </c>
      <c r="AN162" s="248">
        <v>0</v>
      </c>
      <c r="AO162" s="343">
        <v>0</v>
      </c>
      <c r="AP162" s="343">
        <v>0</v>
      </c>
      <c r="AQ162" s="248">
        <v>0</v>
      </c>
      <c r="AR162" s="343">
        <v>0</v>
      </c>
      <c r="AS162" s="343"/>
      <c r="AT162" s="343">
        <v>0</v>
      </c>
      <c r="AU162" s="343">
        <v>0</v>
      </c>
      <c r="AV162" s="343">
        <v>0</v>
      </c>
      <c r="AW162" s="343">
        <v>0</v>
      </c>
      <c r="AX162" s="343">
        <v>0</v>
      </c>
      <c r="AY162" s="343">
        <v>0</v>
      </c>
      <c r="AZ162" s="343"/>
      <c r="BA162" s="343"/>
      <c r="BB162" s="343">
        <v>0</v>
      </c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96">
        <f>IF(T163=0,0,P163/T163)</f>
        <v>0</v>
      </c>
      <c r="V163" s="997"/>
      <c r="W163" s="363"/>
      <c r="X163" s="251"/>
      <c r="Y163" s="983" t="str">
        <f>B163&amp;D163</f>
        <v>552SFS7350</v>
      </c>
      <c r="Z163" s="938">
        <v>32010873</v>
      </c>
      <c r="AA163" s="248">
        <v>0</v>
      </c>
      <c r="AB163" s="343">
        <v>0</v>
      </c>
      <c r="AC163" s="343">
        <v>0</v>
      </c>
      <c r="AD163" s="343">
        <v>0</v>
      </c>
      <c r="AE163" s="343"/>
      <c r="AF163" s="343">
        <v>0</v>
      </c>
      <c r="AG163" s="343">
        <v>0</v>
      </c>
      <c r="AH163" s="343">
        <v>0</v>
      </c>
      <c r="AI163" s="343">
        <v>0</v>
      </c>
      <c r="AJ163" s="343">
        <v>0</v>
      </c>
      <c r="AK163" s="343">
        <v>0</v>
      </c>
      <c r="AL163" s="343"/>
      <c r="AM163" s="343">
        <v>0</v>
      </c>
      <c r="AN163" s="248">
        <v>0</v>
      </c>
      <c r="AO163" s="343">
        <v>0</v>
      </c>
      <c r="AP163" s="343">
        <v>0</v>
      </c>
      <c r="AQ163" s="248">
        <v>0</v>
      </c>
      <c r="AR163" s="343">
        <v>0</v>
      </c>
      <c r="AS163" s="343"/>
      <c r="AT163" s="343">
        <v>0</v>
      </c>
      <c r="AU163" s="343">
        <v>0</v>
      </c>
      <c r="AV163" s="343">
        <v>0</v>
      </c>
      <c r="AW163" s="343">
        <v>0</v>
      </c>
      <c r="AX163" s="343">
        <v>0</v>
      </c>
      <c r="AY163" s="343">
        <v>0</v>
      </c>
      <c r="AZ163" s="343"/>
      <c r="BA163" s="343"/>
      <c r="BB163" s="343">
        <v>0</v>
      </c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5788</v>
      </c>
      <c r="F164" s="100">
        <f>SUMIF(pro!$A:$A,INTGRATE!$Y:$Y,pro!$N:$N)</f>
        <v>2519</v>
      </c>
      <c r="G164" s="248"/>
      <c r="H164" s="344">
        <f>SUMIF(CBIN!$A:$A,INTGRATE!$Y:$Y,CBIN!$G:$G)</f>
        <v>0</v>
      </c>
      <c r="I164" s="248">
        <f>SUMIF(data!$D:$D,INTGRATE!$B164&amp;INTGRATE!$D164,data!$J:$J)</f>
        <v>5771</v>
      </c>
      <c r="J164" s="248"/>
      <c r="K164" s="248"/>
      <c r="L164" s="248">
        <f>SUMIF(data!$D:$D,INTGRATE!$B164&amp;INTGRATE!$D164,data!$K:$K)</f>
        <v>288550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2536</v>
      </c>
      <c r="P164" s="248">
        <f t="shared" si="65"/>
        <v>126800</v>
      </c>
      <c r="Q164" s="248">
        <f t="shared" si="66"/>
        <v>3401750</v>
      </c>
      <c r="R164" s="222"/>
      <c r="S164" s="222"/>
      <c r="T164" s="248">
        <f t="shared" si="56"/>
        <v>147902.17391304349</v>
      </c>
      <c r="U164" s="996">
        <f t="shared" si="55"/>
        <v>0.85732343646652454</v>
      </c>
      <c r="V164" s="997"/>
      <c r="W164" s="363"/>
      <c r="X164" s="251"/>
      <c r="Y164" s="983" t="str">
        <f t="shared" si="67"/>
        <v>552SFS9050</v>
      </c>
      <c r="Z164" s="938">
        <v>32010890</v>
      </c>
      <c r="AA164" s="248">
        <v>230400</v>
      </c>
      <c r="AB164" s="343">
        <v>272000</v>
      </c>
      <c r="AC164" s="343">
        <v>187500</v>
      </c>
      <c r="AD164" s="343">
        <v>273500</v>
      </c>
      <c r="AE164" s="343"/>
      <c r="AF164" s="343">
        <v>0</v>
      </c>
      <c r="AG164" s="343">
        <v>0</v>
      </c>
      <c r="AH164" s="343">
        <v>0</v>
      </c>
      <c r="AI164" s="343">
        <v>0</v>
      </c>
      <c r="AJ164" s="343">
        <v>0</v>
      </c>
      <c r="AK164" s="343">
        <v>0</v>
      </c>
      <c r="AL164" s="343"/>
      <c r="AM164" s="343">
        <v>348400</v>
      </c>
      <c r="AN164" s="248">
        <v>289500</v>
      </c>
      <c r="AO164" s="343">
        <v>360150</v>
      </c>
      <c r="AP164" s="343">
        <v>378650</v>
      </c>
      <c r="AQ164" s="248">
        <v>473100</v>
      </c>
      <c r="AR164" s="343">
        <v>271500</v>
      </c>
      <c r="AS164" s="343"/>
      <c r="AT164" s="343">
        <v>0</v>
      </c>
      <c r="AU164" s="343">
        <v>0</v>
      </c>
      <c r="AV164" s="343">
        <v>4000</v>
      </c>
      <c r="AW164" s="343">
        <v>0</v>
      </c>
      <c r="AX164" s="343">
        <v>0</v>
      </c>
      <c r="AY164" s="343">
        <v>24500</v>
      </c>
      <c r="AZ164" s="343"/>
      <c r="BA164" s="343"/>
      <c r="BB164" s="343">
        <v>288550</v>
      </c>
      <c r="BC164" s="343"/>
      <c r="BD164" s="343"/>
      <c r="BE164" s="343"/>
      <c r="BF164" s="222">
        <f t="shared" si="51"/>
        <v>3401750</v>
      </c>
      <c r="BG164" s="896">
        <f t="shared" si="53"/>
        <v>13</v>
      </c>
      <c r="BH164" s="896">
        <f t="shared" si="54"/>
        <v>261673.07692307694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96">
        <f t="shared" si="55"/>
        <v>0</v>
      </c>
      <c r="V165" s="997"/>
      <c r="W165" s="363"/>
      <c r="X165" s="251"/>
      <c r="Y165" s="983" t="str">
        <f t="shared" si="67"/>
        <v>553BF50</v>
      </c>
      <c r="Z165" s="938" t="s">
        <v>777</v>
      </c>
      <c r="AA165" s="248">
        <v>0</v>
      </c>
      <c r="AB165" s="343">
        <v>0</v>
      </c>
      <c r="AC165" s="343">
        <v>0</v>
      </c>
      <c r="AD165" s="343">
        <v>0</v>
      </c>
      <c r="AE165" s="343"/>
      <c r="AF165" s="343">
        <v>0</v>
      </c>
      <c r="AG165" s="343">
        <v>0</v>
      </c>
      <c r="AH165" s="343">
        <v>0</v>
      </c>
      <c r="AI165" s="343">
        <v>0</v>
      </c>
      <c r="AJ165" s="343">
        <v>0</v>
      </c>
      <c r="AK165" s="343">
        <v>0</v>
      </c>
      <c r="AL165" s="343"/>
      <c r="AM165" s="343">
        <v>0</v>
      </c>
      <c r="AN165" s="248">
        <v>0</v>
      </c>
      <c r="AO165" s="343">
        <v>0</v>
      </c>
      <c r="AP165" s="343">
        <v>0</v>
      </c>
      <c r="AQ165" s="248">
        <v>0</v>
      </c>
      <c r="AR165" s="343">
        <v>0</v>
      </c>
      <c r="AS165" s="343"/>
      <c r="AT165" s="343">
        <v>0</v>
      </c>
      <c r="AU165" s="343">
        <v>0</v>
      </c>
      <c r="AV165" s="343">
        <v>0</v>
      </c>
      <c r="AW165" s="343">
        <v>0</v>
      </c>
      <c r="AX165" s="343">
        <v>0</v>
      </c>
      <c r="AY165" s="343">
        <v>0</v>
      </c>
      <c r="AZ165" s="343"/>
      <c r="BA165" s="343"/>
      <c r="BB165" s="343">
        <v>0</v>
      </c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6149</v>
      </c>
      <c r="F166" s="100">
        <f>SUMIF(pro!$A:$A,INTGRATE!$Y:$Y,pro!$N:$N)</f>
        <v>216</v>
      </c>
      <c r="G166" s="248"/>
      <c r="H166" s="344">
        <f>SUMIF(CBIN!$A:$A,INTGRATE!$Y:$Y,CBIN!$G:$G)</f>
        <v>0</v>
      </c>
      <c r="I166" s="248">
        <f>SUMIF(data!$D:$D,INTGRATE!$B166&amp;INTGRATE!$D166,data!$J:$J)</f>
        <v>2117</v>
      </c>
      <c r="J166" s="248"/>
      <c r="K166" s="248"/>
      <c r="L166" s="248">
        <f>SUMIF(data!$D:$D,INTGRATE!$B166&amp;INTGRATE!$D166,data!$K:$K)</f>
        <v>105850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4248</v>
      </c>
      <c r="P166" s="248">
        <f t="shared" si="65"/>
        <v>212400</v>
      </c>
      <c r="Q166" s="248">
        <f t="shared" si="66"/>
        <v>1591200</v>
      </c>
      <c r="R166" s="222"/>
      <c r="S166" s="222"/>
      <c r="T166" s="248">
        <f t="shared" si="56"/>
        <v>69182.608695652176</v>
      </c>
      <c r="U166" s="996">
        <f t="shared" si="55"/>
        <v>3.0701357466063346</v>
      </c>
      <c r="V166" s="997"/>
      <c r="W166" s="363"/>
      <c r="X166" s="251"/>
      <c r="Y166" s="983" t="str">
        <f t="shared" si="67"/>
        <v>553MF50</v>
      </c>
      <c r="Z166" s="938" t="s">
        <v>778</v>
      </c>
      <c r="AA166" s="248">
        <v>15000</v>
      </c>
      <c r="AB166" s="343">
        <v>43650</v>
      </c>
      <c r="AC166" s="343">
        <v>168450</v>
      </c>
      <c r="AD166" s="343">
        <v>172000</v>
      </c>
      <c r="AE166" s="343"/>
      <c r="AF166" s="343">
        <v>200900</v>
      </c>
      <c r="AG166" s="343">
        <v>142350</v>
      </c>
      <c r="AH166" s="343">
        <v>173850</v>
      </c>
      <c r="AI166" s="343">
        <v>55050</v>
      </c>
      <c r="AJ166" s="343">
        <v>43750</v>
      </c>
      <c r="AK166" s="343">
        <v>0</v>
      </c>
      <c r="AL166" s="343"/>
      <c r="AM166" s="343">
        <v>54250</v>
      </c>
      <c r="AN166" s="248">
        <v>70100</v>
      </c>
      <c r="AO166" s="343">
        <v>21550</v>
      </c>
      <c r="AP166" s="343">
        <v>16750</v>
      </c>
      <c r="AQ166" s="248">
        <v>70050</v>
      </c>
      <c r="AR166" s="343">
        <v>30750</v>
      </c>
      <c r="AS166" s="343"/>
      <c r="AT166" s="343">
        <v>42000</v>
      </c>
      <c r="AU166" s="343">
        <v>67850</v>
      </c>
      <c r="AV166" s="343">
        <v>14650</v>
      </c>
      <c r="AW166" s="343">
        <v>35250</v>
      </c>
      <c r="AX166" s="343">
        <v>31250</v>
      </c>
      <c r="AY166" s="343">
        <v>15900</v>
      </c>
      <c r="AZ166" s="343"/>
      <c r="BA166" s="343"/>
      <c r="BB166" s="343">
        <v>105850</v>
      </c>
      <c r="BC166" s="343"/>
      <c r="BD166" s="343"/>
      <c r="BE166" s="343"/>
      <c r="BF166" s="222">
        <f t="shared" si="51"/>
        <v>1591200</v>
      </c>
      <c r="BG166" s="896">
        <f t="shared" si="53"/>
        <v>22</v>
      </c>
      <c r="BH166" s="896">
        <f t="shared" si="54"/>
        <v>72327.272727272721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96">
        <f t="shared" si="55"/>
        <v>0</v>
      </c>
      <c r="V167" s="997"/>
      <c r="W167" s="363"/>
      <c r="X167" s="251"/>
      <c r="Y167" s="983" t="str">
        <f t="shared" si="67"/>
        <v>553MFS3450</v>
      </c>
      <c r="Z167" s="938">
        <v>33221834</v>
      </c>
      <c r="AA167" s="248">
        <v>0</v>
      </c>
      <c r="AB167" s="343">
        <v>0</v>
      </c>
      <c r="AC167" s="343">
        <v>0</v>
      </c>
      <c r="AD167" s="343">
        <v>0</v>
      </c>
      <c r="AE167" s="343"/>
      <c r="AF167" s="343">
        <v>0</v>
      </c>
      <c r="AG167" s="343">
        <v>0</v>
      </c>
      <c r="AH167" s="343">
        <v>0</v>
      </c>
      <c r="AI167" s="343">
        <v>0</v>
      </c>
      <c r="AJ167" s="343">
        <v>0</v>
      </c>
      <c r="AK167" s="343">
        <v>0</v>
      </c>
      <c r="AL167" s="343"/>
      <c r="AM167" s="343">
        <v>0</v>
      </c>
      <c r="AN167" s="248">
        <v>0</v>
      </c>
      <c r="AO167" s="343">
        <v>0</v>
      </c>
      <c r="AP167" s="343">
        <v>0</v>
      </c>
      <c r="AQ167" s="248">
        <v>0</v>
      </c>
      <c r="AR167" s="343">
        <v>0</v>
      </c>
      <c r="AS167" s="343"/>
      <c r="AT167" s="343">
        <v>0</v>
      </c>
      <c r="AU167" s="343">
        <v>0</v>
      </c>
      <c r="AV167" s="343">
        <v>0</v>
      </c>
      <c r="AW167" s="343">
        <v>0</v>
      </c>
      <c r="AX167" s="343">
        <v>0</v>
      </c>
      <c r="AY167" s="343">
        <v>0</v>
      </c>
      <c r="AZ167" s="343"/>
      <c r="BA167" s="343"/>
      <c r="BB167" s="343">
        <v>0</v>
      </c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96">
        <f t="shared" si="55"/>
        <v>0</v>
      </c>
      <c r="V168" s="997"/>
      <c r="W168" s="363"/>
      <c r="X168" s="251"/>
      <c r="Y168" s="983" t="str">
        <f t="shared" si="67"/>
        <v>553MFS7350</v>
      </c>
      <c r="Z168" s="938">
        <v>33221873</v>
      </c>
      <c r="AA168" s="248">
        <v>0</v>
      </c>
      <c r="AB168" s="343">
        <v>0</v>
      </c>
      <c r="AC168" s="343">
        <v>0</v>
      </c>
      <c r="AD168" s="343">
        <v>0</v>
      </c>
      <c r="AE168" s="343"/>
      <c r="AF168" s="343">
        <v>0</v>
      </c>
      <c r="AG168" s="343">
        <v>0</v>
      </c>
      <c r="AH168" s="343">
        <v>0</v>
      </c>
      <c r="AI168" s="343">
        <v>0</v>
      </c>
      <c r="AJ168" s="343">
        <v>0</v>
      </c>
      <c r="AK168" s="343">
        <v>0</v>
      </c>
      <c r="AL168" s="343"/>
      <c r="AM168" s="343">
        <v>0</v>
      </c>
      <c r="AN168" s="248">
        <v>0</v>
      </c>
      <c r="AO168" s="343">
        <v>0</v>
      </c>
      <c r="AP168" s="343">
        <v>0</v>
      </c>
      <c r="AQ168" s="248">
        <v>0</v>
      </c>
      <c r="AR168" s="343">
        <v>0</v>
      </c>
      <c r="AS168" s="343"/>
      <c r="AT168" s="343">
        <v>0</v>
      </c>
      <c r="AU168" s="343">
        <v>0</v>
      </c>
      <c r="AV168" s="343">
        <v>0</v>
      </c>
      <c r="AW168" s="343">
        <v>0</v>
      </c>
      <c r="AX168" s="343">
        <v>0</v>
      </c>
      <c r="AY168" s="343">
        <v>0</v>
      </c>
      <c r="AZ168" s="343"/>
      <c r="BA168" s="343"/>
      <c r="BB168" s="343">
        <v>0</v>
      </c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96">
        <f t="shared" si="55"/>
        <v>0</v>
      </c>
      <c r="V169" s="997"/>
      <c r="W169" s="363"/>
      <c r="X169" s="251"/>
      <c r="Y169" s="983" t="str">
        <f t="shared" si="67"/>
        <v>553MFS9050</v>
      </c>
      <c r="Z169" s="938">
        <v>33221890</v>
      </c>
      <c r="AA169" s="248">
        <v>0</v>
      </c>
      <c r="AB169" s="343">
        <v>0</v>
      </c>
      <c r="AC169" s="343">
        <v>0</v>
      </c>
      <c r="AD169" s="343">
        <v>0</v>
      </c>
      <c r="AE169" s="343"/>
      <c r="AF169" s="343">
        <v>0</v>
      </c>
      <c r="AG169" s="343">
        <v>0</v>
      </c>
      <c r="AH169" s="343">
        <v>0</v>
      </c>
      <c r="AI169" s="343">
        <v>0</v>
      </c>
      <c r="AJ169" s="343">
        <v>0</v>
      </c>
      <c r="AK169" s="343">
        <v>0</v>
      </c>
      <c r="AL169" s="343"/>
      <c r="AM169" s="343">
        <v>0</v>
      </c>
      <c r="AN169" s="248">
        <v>0</v>
      </c>
      <c r="AO169" s="343">
        <v>0</v>
      </c>
      <c r="AP169" s="343">
        <v>0</v>
      </c>
      <c r="AQ169" s="248">
        <v>0</v>
      </c>
      <c r="AR169" s="343">
        <v>0</v>
      </c>
      <c r="AS169" s="343"/>
      <c r="AT169" s="343">
        <v>0</v>
      </c>
      <c r="AU169" s="343">
        <v>0</v>
      </c>
      <c r="AV169" s="343">
        <v>0</v>
      </c>
      <c r="AW169" s="343">
        <v>0</v>
      </c>
      <c r="AX169" s="343">
        <v>0</v>
      </c>
      <c r="AY169" s="343">
        <v>0</v>
      </c>
      <c r="AZ169" s="343"/>
      <c r="BA169" s="343"/>
      <c r="BB169" s="343">
        <v>0</v>
      </c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96">
        <f>IF(T170=0,0,P170/T170)</f>
        <v>0</v>
      </c>
      <c r="V170" s="997"/>
      <c r="W170" s="363"/>
      <c r="X170" s="251"/>
      <c r="Y170" s="983" t="str">
        <f t="shared" si="67"/>
        <v>553SF25</v>
      </c>
      <c r="Z170" s="938">
        <v>332101</v>
      </c>
      <c r="AA170" s="248">
        <v>0</v>
      </c>
      <c r="AB170" s="343">
        <v>0</v>
      </c>
      <c r="AC170" s="343">
        <v>0</v>
      </c>
      <c r="AD170" s="343">
        <v>0</v>
      </c>
      <c r="AE170" s="343"/>
      <c r="AF170" s="343">
        <v>0</v>
      </c>
      <c r="AG170" s="343">
        <v>0</v>
      </c>
      <c r="AH170" s="343">
        <v>0</v>
      </c>
      <c r="AI170" s="343">
        <v>0</v>
      </c>
      <c r="AJ170" s="343">
        <v>0</v>
      </c>
      <c r="AK170" s="343">
        <v>0</v>
      </c>
      <c r="AL170" s="343"/>
      <c r="AM170" s="343">
        <v>0</v>
      </c>
      <c r="AN170" s="248">
        <v>0</v>
      </c>
      <c r="AO170" s="343">
        <v>0</v>
      </c>
      <c r="AP170" s="343">
        <v>0</v>
      </c>
      <c r="AQ170" s="248">
        <v>0</v>
      </c>
      <c r="AR170" s="343">
        <v>0</v>
      </c>
      <c r="AS170" s="343"/>
      <c r="AT170" s="343">
        <v>0</v>
      </c>
      <c r="AU170" s="343">
        <v>0</v>
      </c>
      <c r="AV170" s="343">
        <v>0</v>
      </c>
      <c r="AW170" s="343">
        <v>0</v>
      </c>
      <c r="AX170" s="343">
        <v>0</v>
      </c>
      <c r="AY170" s="343">
        <v>0</v>
      </c>
      <c r="AZ170" s="343"/>
      <c r="BA170" s="343"/>
      <c r="BB170" s="343">
        <v>0</v>
      </c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96">
        <f t="shared" si="55"/>
        <v>0</v>
      </c>
      <c r="V171" s="997"/>
      <c r="W171" s="363"/>
      <c r="X171" s="251"/>
      <c r="Y171" s="983" t="str">
        <f t="shared" si="67"/>
        <v>553SF50</v>
      </c>
      <c r="Z171" s="938">
        <v>332101</v>
      </c>
      <c r="AA171" s="248">
        <v>0</v>
      </c>
      <c r="AB171" s="343">
        <v>0</v>
      </c>
      <c r="AC171" s="343">
        <v>0</v>
      </c>
      <c r="AD171" s="343">
        <v>0</v>
      </c>
      <c r="AE171" s="343"/>
      <c r="AF171" s="343">
        <v>0</v>
      </c>
      <c r="AG171" s="343">
        <v>0</v>
      </c>
      <c r="AH171" s="343">
        <v>0</v>
      </c>
      <c r="AI171" s="343">
        <v>0</v>
      </c>
      <c r="AJ171" s="343">
        <v>0</v>
      </c>
      <c r="AK171" s="343">
        <v>0</v>
      </c>
      <c r="AL171" s="343"/>
      <c r="AM171" s="343">
        <v>0</v>
      </c>
      <c r="AN171" s="248">
        <v>0</v>
      </c>
      <c r="AO171" s="343">
        <v>0</v>
      </c>
      <c r="AP171" s="343">
        <v>0</v>
      </c>
      <c r="AQ171" s="248">
        <v>0</v>
      </c>
      <c r="AR171" s="343">
        <v>0</v>
      </c>
      <c r="AS171" s="343"/>
      <c r="AT171" s="343">
        <v>0</v>
      </c>
      <c r="AU171" s="343">
        <v>0</v>
      </c>
      <c r="AV171" s="343">
        <v>0</v>
      </c>
      <c r="AW171" s="343">
        <v>0</v>
      </c>
      <c r="AX171" s="343">
        <v>0</v>
      </c>
      <c r="AY171" s="343">
        <v>0</v>
      </c>
      <c r="AZ171" s="343"/>
      <c r="BA171" s="343"/>
      <c r="BB171" s="343">
        <v>0</v>
      </c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96">
        <f>IF(T172=0,0,P172/T172)</f>
        <v>0</v>
      </c>
      <c r="V172" s="997"/>
      <c r="W172" s="363"/>
      <c r="X172" s="251"/>
      <c r="Y172" s="983" t="str">
        <f>B172&amp;D172</f>
        <v>553WDF25</v>
      </c>
      <c r="Z172" s="938">
        <v>332481</v>
      </c>
      <c r="AA172" s="248">
        <v>0</v>
      </c>
      <c r="AB172" s="343">
        <v>0</v>
      </c>
      <c r="AC172" s="343">
        <v>0</v>
      </c>
      <c r="AD172" s="343">
        <v>0</v>
      </c>
      <c r="AE172" s="343"/>
      <c r="AF172" s="343">
        <v>0</v>
      </c>
      <c r="AG172" s="343">
        <v>0</v>
      </c>
      <c r="AH172" s="343">
        <v>0</v>
      </c>
      <c r="AI172" s="343">
        <v>0</v>
      </c>
      <c r="AJ172" s="343">
        <v>0</v>
      </c>
      <c r="AK172" s="343">
        <v>0</v>
      </c>
      <c r="AL172" s="343"/>
      <c r="AM172" s="343">
        <v>0</v>
      </c>
      <c r="AN172" s="248">
        <v>0</v>
      </c>
      <c r="AO172" s="343">
        <v>0</v>
      </c>
      <c r="AP172" s="343">
        <v>0</v>
      </c>
      <c r="AQ172" s="248">
        <v>0</v>
      </c>
      <c r="AR172" s="343">
        <v>0</v>
      </c>
      <c r="AS172" s="343"/>
      <c r="AT172" s="343">
        <v>0</v>
      </c>
      <c r="AU172" s="343">
        <v>0</v>
      </c>
      <c r="AV172" s="343">
        <v>0</v>
      </c>
      <c r="AW172" s="343">
        <v>0</v>
      </c>
      <c r="AX172" s="343">
        <v>0</v>
      </c>
      <c r="AY172" s="343">
        <v>0</v>
      </c>
      <c r="AZ172" s="343"/>
      <c r="BA172" s="343"/>
      <c r="BB172" s="343">
        <v>0</v>
      </c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96">
        <f t="shared" si="55"/>
        <v>0</v>
      </c>
      <c r="V173" s="997"/>
      <c r="W173" s="363"/>
      <c r="X173" s="251"/>
      <c r="Y173" s="983" t="str">
        <f t="shared" si="67"/>
        <v>553WDF50</v>
      </c>
      <c r="Z173" s="938">
        <v>332481</v>
      </c>
      <c r="AA173" s="248">
        <v>0</v>
      </c>
      <c r="AB173" s="343">
        <v>0</v>
      </c>
      <c r="AC173" s="343">
        <v>0</v>
      </c>
      <c r="AD173" s="343">
        <v>0</v>
      </c>
      <c r="AE173" s="343"/>
      <c r="AF173" s="343">
        <v>0</v>
      </c>
      <c r="AG173" s="343">
        <v>0</v>
      </c>
      <c r="AH173" s="343">
        <v>0</v>
      </c>
      <c r="AI173" s="343">
        <v>0</v>
      </c>
      <c r="AJ173" s="343">
        <v>0</v>
      </c>
      <c r="AK173" s="343">
        <v>0</v>
      </c>
      <c r="AL173" s="343"/>
      <c r="AM173" s="343">
        <v>0</v>
      </c>
      <c r="AN173" s="248">
        <v>0</v>
      </c>
      <c r="AO173" s="343">
        <v>0</v>
      </c>
      <c r="AP173" s="343">
        <v>0</v>
      </c>
      <c r="AQ173" s="248">
        <v>0</v>
      </c>
      <c r="AR173" s="343">
        <v>0</v>
      </c>
      <c r="AS173" s="343"/>
      <c r="AT173" s="343">
        <v>0</v>
      </c>
      <c r="AU173" s="343">
        <v>0</v>
      </c>
      <c r="AV173" s="343">
        <v>0</v>
      </c>
      <c r="AW173" s="343">
        <v>0</v>
      </c>
      <c r="AX173" s="343">
        <v>0</v>
      </c>
      <c r="AY173" s="343">
        <v>0</v>
      </c>
      <c r="AZ173" s="343"/>
      <c r="BA173" s="343"/>
      <c r="BB173" s="343">
        <v>0</v>
      </c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96">
        <f t="shared" si="55"/>
        <v>0</v>
      </c>
      <c r="V174" s="997"/>
      <c r="W174" s="472"/>
      <c r="X174" s="251"/>
      <c r="Y174" s="983" t="str">
        <f t="shared" si="67"/>
        <v>562F50</v>
      </c>
      <c r="Z174" s="938" t="s">
        <v>779</v>
      </c>
      <c r="AA174" s="248">
        <v>0</v>
      </c>
      <c r="AB174" s="343">
        <v>0</v>
      </c>
      <c r="AC174" s="343">
        <v>0</v>
      </c>
      <c r="AD174" s="343">
        <v>0</v>
      </c>
      <c r="AE174" s="343"/>
      <c r="AF174" s="343">
        <v>0</v>
      </c>
      <c r="AG174" s="343">
        <v>0</v>
      </c>
      <c r="AH174" s="343">
        <v>0</v>
      </c>
      <c r="AI174" s="343">
        <v>0</v>
      </c>
      <c r="AJ174" s="343">
        <v>0</v>
      </c>
      <c r="AK174" s="343">
        <v>0</v>
      </c>
      <c r="AL174" s="343"/>
      <c r="AM174" s="343">
        <v>0</v>
      </c>
      <c r="AN174" s="248">
        <v>0</v>
      </c>
      <c r="AO174" s="343">
        <v>0</v>
      </c>
      <c r="AP174" s="343">
        <v>0</v>
      </c>
      <c r="AQ174" s="248">
        <v>0</v>
      </c>
      <c r="AR174" s="343">
        <v>0</v>
      </c>
      <c r="AS174" s="343"/>
      <c r="AT174" s="343">
        <v>0</v>
      </c>
      <c r="AU174" s="343">
        <v>0</v>
      </c>
      <c r="AV174" s="343">
        <v>0</v>
      </c>
      <c r="AW174" s="343">
        <v>0</v>
      </c>
      <c r="AX174" s="343">
        <v>0</v>
      </c>
      <c r="AY174" s="343">
        <v>0</v>
      </c>
      <c r="AZ174" s="343"/>
      <c r="BA174" s="343"/>
      <c r="BB174" s="343">
        <v>0</v>
      </c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2624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96">
        <f t="shared" ref="U175" si="71">IF(T175=0,0,P175/T175)</f>
        <v>0</v>
      </c>
      <c r="V175" s="997"/>
      <c r="W175" s="472"/>
      <c r="X175" s="251"/>
      <c r="Y175" s="983" t="str">
        <f t="shared" si="67"/>
        <v>562FS9050</v>
      </c>
      <c r="Z175" s="938">
        <v>36210890</v>
      </c>
      <c r="AA175" s="248">
        <v>0</v>
      </c>
      <c r="AB175" s="343">
        <v>0</v>
      </c>
      <c r="AC175" s="343">
        <v>0</v>
      </c>
      <c r="AD175" s="343">
        <v>0</v>
      </c>
      <c r="AE175" s="343"/>
      <c r="AF175" s="343">
        <v>0</v>
      </c>
      <c r="AG175" s="343">
        <v>0</v>
      </c>
      <c r="AH175" s="343">
        <v>0</v>
      </c>
      <c r="AI175" s="343">
        <v>0</v>
      </c>
      <c r="AJ175" s="343">
        <v>0</v>
      </c>
      <c r="AK175" s="343">
        <v>0</v>
      </c>
      <c r="AL175" s="343"/>
      <c r="AM175" s="343">
        <v>0</v>
      </c>
      <c r="AN175" s="248">
        <v>0</v>
      </c>
      <c r="AO175" s="343">
        <v>0</v>
      </c>
      <c r="AP175" s="343">
        <v>0</v>
      </c>
      <c r="AQ175" s="248">
        <v>0</v>
      </c>
      <c r="AR175" s="343">
        <v>0</v>
      </c>
      <c r="AS175" s="343"/>
      <c r="AT175" s="343">
        <v>0</v>
      </c>
      <c r="AU175" s="343">
        <v>0</v>
      </c>
      <c r="AV175" s="343">
        <v>0</v>
      </c>
      <c r="AW175" s="343">
        <v>0</v>
      </c>
      <c r="AX175" s="343">
        <v>0</v>
      </c>
      <c r="AY175" s="343">
        <v>0</v>
      </c>
      <c r="AZ175" s="343"/>
      <c r="BA175" s="343"/>
      <c r="BB175" s="343">
        <v>0</v>
      </c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64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0</v>
      </c>
      <c r="J176" s="248"/>
      <c r="K176" s="248"/>
      <c r="L176" s="248">
        <f>SUMIF(data!$D:$D,INTGRATE!$B176&amp;INTGRATE!$D176,data!$K:$K)</f>
        <v>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64</v>
      </c>
      <c r="P176" s="248">
        <f t="shared" si="65"/>
        <v>3200</v>
      </c>
      <c r="Q176" s="248">
        <f t="shared" si="66"/>
        <v>519100</v>
      </c>
      <c r="R176" s="222"/>
      <c r="S176" s="222"/>
      <c r="T176" s="248">
        <f t="shared" si="56"/>
        <v>22569.565217391304</v>
      </c>
      <c r="U176" s="996">
        <f t="shared" si="55"/>
        <v>0.14178385667501445</v>
      </c>
      <c r="V176" s="997"/>
      <c r="W176" s="409"/>
      <c r="X176" s="251"/>
      <c r="Y176" s="983" t="str">
        <f t="shared" si="67"/>
        <v>562PF50</v>
      </c>
      <c r="Z176" s="938" t="s">
        <v>780</v>
      </c>
      <c r="AA176" s="248">
        <v>0</v>
      </c>
      <c r="AB176" s="343">
        <v>18300</v>
      </c>
      <c r="AC176" s="343">
        <v>13400</v>
      </c>
      <c r="AD176" s="343">
        <v>20200</v>
      </c>
      <c r="AE176" s="343"/>
      <c r="AF176" s="343">
        <v>32300</v>
      </c>
      <c r="AG176" s="343">
        <v>22450</v>
      </c>
      <c r="AH176" s="343">
        <v>38700</v>
      </c>
      <c r="AI176" s="343">
        <v>4500</v>
      </c>
      <c r="AJ176" s="343">
        <v>51300</v>
      </c>
      <c r="AK176" s="343">
        <v>26200</v>
      </c>
      <c r="AL176" s="343"/>
      <c r="AM176" s="343">
        <v>0</v>
      </c>
      <c r="AN176" s="248">
        <v>0</v>
      </c>
      <c r="AO176" s="343">
        <v>0</v>
      </c>
      <c r="AP176" s="343">
        <v>2000</v>
      </c>
      <c r="AQ176" s="248">
        <v>0</v>
      </c>
      <c r="AR176" s="343">
        <v>8500</v>
      </c>
      <c r="AS176" s="343"/>
      <c r="AT176" s="343">
        <v>71350</v>
      </c>
      <c r="AU176" s="343">
        <v>70450</v>
      </c>
      <c r="AV176" s="343">
        <v>42500</v>
      </c>
      <c r="AW176" s="343">
        <v>43000</v>
      </c>
      <c r="AX176" s="343">
        <v>19550</v>
      </c>
      <c r="AY176" s="343">
        <v>34400</v>
      </c>
      <c r="AZ176" s="343"/>
      <c r="BA176" s="343"/>
      <c r="BB176" s="343">
        <v>0</v>
      </c>
      <c r="BC176" s="343"/>
      <c r="BD176" s="343"/>
      <c r="BE176" s="343"/>
      <c r="BF176" s="222">
        <f t="shared" si="51"/>
        <v>519100</v>
      </c>
      <c r="BG176" s="896">
        <f t="shared" si="53"/>
        <v>17</v>
      </c>
      <c r="BH176" s="896">
        <f t="shared" si="54"/>
        <v>30535.294117647059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96">
        <f t="shared" si="55"/>
        <v>0</v>
      </c>
      <c r="V177" s="997"/>
      <c r="W177" s="363"/>
      <c r="X177" s="251"/>
      <c r="Y177" s="983" t="str">
        <f t="shared" si="67"/>
        <v>562PFS3450</v>
      </c>
      <c r="Z177" s="938">
        <v>36430834</v>
      </c>
      <c r="AA177" s="248">
        <v>0</v>
      </c>
      <c r="AB177" s="343">
        <v>0</v>
      </c>
      <c r="AC177" s="343">
        <v>0</v>
      </c>
      <c r="AD177" s="343">
        <v>0</v>
      </c>
      <c r="AE177" s="343"/>
      <c r="AF177" s="343">
        <v>0</v>
      </c>
      <c r="AG177" s="343">
        <v>0</v>
      </c>
      <c r="AH177" s="343">
        <v>0</v>
      </c>
      <c r="AI177" s="343">
        <v>0</v>
      </c>
      <c r="AJ177" s="343">
        <v>0</v>
      </c>
      <c r="AK177" s="343">
        <v>0</v>
      </c>
      <c r="AL177" s="343"/>
      <c r="AM177" s="343">
        <v>0</v>
      </c>
      <c r="AN177" s="248">
        <v>0</v>
      </c>
      <c r="AO177" s="343">
        <v>0</v>
      </c>
      <c r="AP177" s="343">
        <v>0</v>
      </c>
      <c r="AQ177" s="248">
        <v>0</v>
      </c>
      <c r="AR177" s="343">
        <v>0</v>
      </c>
      <c r="AS177" s="343"/>
      <c r="AT177" s="343">
        <v>0</v>
      </c>
      <c r="AU177" s="343">
        <v>0</v>
      </c>
      <c r="AV177" s="343">
        <v>0</v>
      </c>
      <c r="AW177" s="343">
        <v>0</v>
      </c>
      <c r="AX177" s="343">
        <v>0</v>
      </c>
      <c r="AY177" s="343">
        <v>0</v>
      </c>
      <c r="AZ177" s="343"/>
      <c r="BA177" s="343"/>
      <c r="BB177" s="343">
        <v>0</v>
      </c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96">
        <f>IF(T178=0,0,P178/T178)</f>
        <v>0</v>
      </c>
      <c r="V178" s="997"/>
      <c r="W178" s="363"/>
      <c r="X178" s="251"/>
      <c r="Y178" s="983" t="str">
        <f t="shared" si="67"/>
        <v>562PFS3750</v>
      </c>
      <c r="Z178" s="938">
        <v>36430837</v>
      </c>
      <c r="AA178" s="248">
        <v>0</v>
      </c>
      <c r="AB178" s="343">
        <v>0</v>
      </c>
      <c r="AC178" s="343">
        <v>0</v>
      </c>
      <c r="AD178" s="343">
        <v>0</v>
      </c>
      <c r="AE178" s="343"/>
      <c r="AF178" s="343">
        <v>0</v>
      </c>
      <c r="AG178" s="343">
        <v>0</v>
      </c>
      <c r="AH178" s="343">
        <v>0</v>
      </c>
      <c r="AI178" s="343">
        <v>0</v>
      </c>
      <c r="AJ178" s="343">
        <v>0</v>
      </c>
      <c r="AK178" s="343">
        <v>0</v>
      </c>
      <c r="AL178" s="343"/>
      <c r="AM178" s="343">
        <v>0</v>
      </c>
      <c r="AN178" s="248">
        <v>0</v>
      </c>
      <c r="AO178" s="343">
        <v>0</v>
      </c>
      <c r="AP178" s="343">
        <v>0</v>
      </c>
      <c r="AQ178" s="248">
        <v>0</v>
      </c>
      <c r="AR178" s="343">
        <v>0</v>
      </c>
      <c r="AS178" s="343"/>
      <c r="AT178" s="343">
        <v>0</v>
      </c>
      <c r="AU178" s="343">
        <v>0</v>
      </c>
      <c r="AV178" s="343">
        <v>0</v>
      </c>
      <c r="AW178" s="343">
        <v>0</v>
      </c>
      <c r="AX178" s="343">
        <v>0</v>
      </c>
      <c r="AY178" s="343">
        <v>0</v>
      </c>
      <c r="AZ178" s="343"/>
      <c r="BA178" s="343"/>
      <c r="BB178" s="343">
        <v>0</v>
      </c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96">
        <f>IF(T179=0,0,P179/T179)</f>
        <v>0</v>
      </c>
      <c r="V179" s="997"/>
      <c r="W179" s="363"/>
      <c r="X179" s="251"/>
      <c r="Y179" s="983" t="str">
        <f>B179&amp;D179</f>
        <v>562PFS7650</v>
      </c>
      <c r="Z179" s="938">
        <v>36430876</v>
      </c>
      <c r="AA179" s="248">
        <v>0</v>
      </c>
      <c r="AB179" s="343">
        <v>0</v>
      </c>
      <c r="AC179" s="343">
        <v>0</v>
      </c>
      <c r="AD179" s="343">
        <v>0</v>
      </c>
      <c r="AE179" s="343"/>
      <c r="AF179" s="343">
        <v>0</v>
      </c>
      <c r="AG179" s="343">
        <v>0</v>
      </c>
      <c r="AH179" s="343">
        <v>0</v>
      </c>
      <c r="AI179" s="343">
        <v>0</v>
      </c>
      <c r="AJ179" s="343">
        <v>0</v>
      </c>
      <c r="AK179" s="343">
        <v>0</v>
      </c>
      <c r="AL179" s="343"/>
      <c r="AM179" s="343">
        <v>0</v>
      </c>
      <c r="AN179" s="248">
        <v>0</v>
      </c>
      <c r="AO179" s="343">
        <v>0</v>
      </c>
      <c r="AP179" s="343">
        <v>0</v>
      </c>
      <c r="AQ179" s="248">
        <v>0</v>
      </c>
      <c r="AR179" s="343">
        <v>0</v>
      </c>
      <c r="AS179" s="343"/>
      <c r="AT179" s="343">
        <v>0</v>
      </c>
      <c r="AU179" s="343">
        <v>0</v>
      </c>
      <c r="AV179" s="343">
        <v>0</v>
      </c>
      <c r="AW179" s="343">
        <v>0</v>
      </c>
      <c r="AX179" s="343">
        <v>0</v>
      </c>
      <c r="AY179" s="343">
        <v>0</v>
      </c>
      <c r="AZ179" s="343"/>
      <c r="BA179" s="343"/>
      <c r="BB179" s="343">
        <v>0</v>
      </c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0</v>
      </c>
      <c r="F180" s="100">
        <f>SUMIF(pro!$A:$A,INTGRATE!$Y:$Y,pro!$N:$N)</f>
        <v>1308</v>
      </c>
      <c r="G180" s="248"/>
      <c r="H180" s="344">
        <f>SUMIF(CBIN!$A:$A,INTGRATE!$Y:$Y,CBIN!$G:$G)</f>
        <v>0</v>
      </c>
      <c r="I180" s="248">
        <f>SUMIF(data!$D:$D,INTGRATE!$B180&amp;INTGRATE!$D180,data!$J:$J)</f>
        <v>657</v>
      </c>
      <c r="J180" s="248"/>
      <c r="K180" s="248"/>
      <c r="L180" s="248">
        <f>SUMIF(data!$D:$D,INTGRATE!$B180&amp;INTGRATE!$D180,data!$K:$K)</f>
        <v>32850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651</v>
      </c>
      <c r="P180" s="248">
        <f>O180*D180</f>
        <v>32550</v>
      </c>
      <c r="Q180" s="248">
        <f t="shared" si="66"/>
        <v>270450</v>
      </c>
      <c r="R180" s="222"/>
      <c r="S180" s="222"/>
      <c r="T180" s="248">
        <f t="shared" si="56"/>
        <v>11758.695652173914</v>
      </c>
      <c r="U180" s="996">
        <f>IF(T180=0,0,P180/T180)</f>
        <v>2.7681641708264002</v>
      </c>
      <c r="V180" s="997"/>
      <c r="W180" s="363"/>
      <c r="X180" s="251"/>
      <c r="Y180" s="983" t="str">
        <f t="shared" si="67"/>
        <v>562PFS9050</v>
      </c>
      <c r="Z180" s="938">
        <v>36430890</v>
      </c>
      <c r="AA180" s="248">
        <v>24500</v>
      </c>
      <c r="AB180" s="343">
        <v>21000</v>
      </c>
      <c r="AC180" s="343">
        <v>0</v>
      </c>
      <c r="AD180" s="343">
        <v>0</v>
      </c>
      <c r="AE180" s="343"/>
      <c r="AF180" s="343">
        <v>0</v>
      </c>
      <c r="AG180" s="343">
        <v>0</v>
      </c>
      <c r="AH180" s="343">
        <v>0</v>
      </c>
      <c r="AI180" s="343">
        <v>0</v>
      </c>
      <c r="AJ180" s="343">
        <v>0</v>
      </c>
      <c r="AK180" s="343">
        <v>0</v>
      </c>
      <c r="AL180" s="343"/>
      <c r="AM180" s="343">
        <v>63350</v>
      </c>
      <c r="AN180" s="248">
        <v>30800</v>
      </c>
      <c r="AO180" s="343">
        <v>25500</v>
      </c>
      <c r="AP180" s="343">
        <v>43850</v>
      </c>
      <c r="AQ180" s="248">
        <v>27850</v>
      </c>
      <c r="AR180" s="343">
        <v>750</v>
      </c>
      <c r="AS180" s="343"/>
      <c r="AT180" s="343">
        <v>0</v>
      </c>
      <c r="AU180" s="343">
        <v>0</v>
      </c>
      <c r="AV180" s="343">
        <v>0</v>
      </c>
      <c r="AW180" s="343">
        <v>0</v>
      </c>
      <c r="AX180" s="343">
        <v>0</v>
      </c>
      <c r="AY180" s="343">
        <v>0</v>
      </c>
      <c r="AZ180" s="343"/>
      <c r="BA180" s="343"/>
      <c r="BB180" s="343">
        <v>32850</v>
      </c>
      <c r="BC180" s="343"/>
      <c r="BD180" s="343"/>
      <c r="BE180" s="343"/>
      <c r="BF180" s="222">
        <f t="shared" si="51"/>
        <v>270450</v>
      </c>
      <c r="BG180" s="896">
        <f t="shared" si="53"/>
        <v>9</v>
      </c>
      <c r="BH180" s="896">
        <f t="shared" si="54"/>
        <v>30050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232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177</v>
      </c>
      <c r="J181" s="248"/>
      <c r="K181" s="248"/>
      <c r="L181" s="248">
        <f>SUMIF(data!$D:$D,INTGRATE!$B181&amp;INTGRATE!$D181,data!$K:$K)</f>
        <v>8850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55</v>
      </c>
      <c r="P181" s="248">
        <f t="shared" si="65"/>
        <v>2750</v>
      </c>
      <c r="Q181" s="248">
        <f t="shared" si="66"/>
        <v>149500</v>
      </c>
      <c r="R181" s="222"/>
      <c r="S181" s="222"/>
      <c r="T181" s="248">
        <f t="shared" si="56"/>
        <v>6500</v>
      </c>
      <c r="U181" s="996">
        <f t="shared" si="55"/>
        <v>0.42307692307692307</v>
      </c>
      <c r="V181" s="997"/>
      <c r="W181" s="409"/>
      <c r="X181" s="251"/>
      <c r="Y181" s="983" t="str">
        <f t="shared" si="67"/>
        <v>566F50</v>
      </c>
      <c r="Z181" s="938" t="s">
        <v>781</v>
      </c>
      <c r="AA181" s="248">
        <v>0</v>
      </c>
      <c r="AB181" s="343">
        <v>0</v>
      </c>
      <c r="AC181" s="343">
        <v>3850</v>
      </c>
      <c r="AD181" s="343">
        <v>0</v>
      </c>
      <c r="AE181" s="343"/>
      <c r="AF181" s="343">
        <v>12000</v>
      </c>
      <c r="AG181" s="343">
        <v>16350</v>
      </c>
      <c r="AH181" s="343">
        <v>14500</v>
      </c>
      <c r="AI181" s="343">
        <v>8800</v>
      </c>
      <c r="AJ181" s="343">
        <v>0</v>
      </c>
      <c r="AK181" s="343">
        <v>0</v>
      </c>
      <c r="AL181" s="343"/>
      <c r="AM181" s="343">
        <v>0</v>
      </c>
      <c r="AN181" s="248">
        <v>0</v>
      </c>
      <c r="AO181" s="343">
        <v>8700</v>
      </c>
      <c r="AP181" s="343">
        <v>8500</v>
      </c>
      <c r="AQ181" s="248">
        <v>2500</v>
      </c>
      <c r="AR181" s="343">
        <v>0</v>
      </c>
      <c r="AS181" s="343"/>
      <c r="AT181" s="343">
        <v>28000</v>
      </c>
      <c r="AU181" s="343">
        <v>8600</v>
      </c>
      <c r="AV181" s="343">
        <v>17500</v>
      </c>
      <c r="AW181" s="343">
        <v>11350</v>
      </c>
      <c r="AX181" s="343">
        <v>0</v>
      </c>
      <c r="AY181" s="343">
        <v>0</v>
      </c>
      <c r="AZ181" s="343"/>
      <c r="BA181" s="343"/>
      <c r="BB181" s="343">
        <v>8850</v>
      </c>
      <c r="BC181" s="343"/>
      <c r="BD181" s="343"/>
      <c r="BE181" s="343"/>
      <c r="BF181" s="222">
        <f t="shared" si="51"/>
        <v>149500</v>
      </c>
      <c r="BG181" s="896">
        <f t="shared" si="53"/>
        <v>13</v>
      </c>
      <c r="BH181" s="896">
        <f t="shared" si="54"/>
        <v>11500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2650</v>
      </c>
      <c r="R182" s="222"/>
      <c r="S182" s="222"/>
      <c r="T182" s="248">
        <f t="shared" si="56"/>
        <v>115.21739130434783</v>
      </c>
      <c r="U182" s="996">
        <f>IF(T182=0,0,P182/T182)</f>
        <v>0</v>
      </c>
      <c r="V182" s="997"/>
      <c r="W182" s="888"/>
      <c r="X182" s="251"/>
      <c r="Y182" s="983" t="str">
        <f t="shared" si="67"/>
        <v>566FS2550</v>
      </c>
      <c r="Z182" s="938">
        <v>36630825</v>
      </c>
      <c r="AA182" s="248">
        <v>0</v>
      </c>
      <c r="AB182" s="343">
        <v>0</v>
      </c>
      <c r="AC182" s="343">
        <v>0</v>
      </c>
      <c r="AD182" s="343">
        <v>0</v>
      </c>
      <c r="AE182" s="343"/>
      <c r="AF182" s="343">
        <v>0</v>
      </c>
      <c r="AG182" s="343">
        <v>2650</v>
      </c>
      <c r="AH182" s="343">
        <v>0</v>
      </c>
      <c r="AI182" s="343">
        <v>0</v>
      </c>
      <c r="AJ182" s="343">
        <v>0</v>
      </c>
      <c r="AK182" s="343">
        <v>0</v>
      </c>
      <c r="AL182" s="343"/>
      <c r="AM182" s="343">
        <v>0</v>
      </c>
      <c r="AN182" s="248">
        <v>0</v>
      </c>
      <c r="AO182" s="343">
        <v>0</v>
      </c>
      <c r="AP182" s="343">
        <v>0</v>
      </c>
      <c r="AQ182" s="248">
        <v>0</v>
      </c>
      <c r="AR182" s="343">
        <v>0</v>
      </c>
      <c r="AS182" s="343"/>
      <c r="AT182" s="343">
        <v>0</v>
      </c>
      <c r="AU182" s="343">
        <v>0</v>
      </c>
      <c r="AV182" s="343">
        <v>0</v>
      </c>
      <c r="AW182" s="343">
        <v>0</v>
      </c>
      <c r="AX182" s="343">
        <v>0</v>
      </c>
      <c r="AY182" s="343">
        <v>0</v>
      </c>
      <c r="AZ182" s="343"/>
      <c r="BA182" s="343"/>
      <c r="BB182" s="343">
        <v>0</v>
      </c>
      <c r="BC182" s="343"/>
      <c r="BD182" s="343"/>
      <c r="BE182" s="343"/>
      <c r="BF182" s="222">
        <f t="shared" si="51"/>
        <v>2650</v>
      </c>
      <c r="BG182" s="896">
        <f t="shared" si="53"/>
        <v>1</v>
      </c>
      <c r="BH182" s="896">
        <f t="shared" si="54"/>
        <v>2650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0</v>
      </c>
      <c r="F183" s="100">
        <f>SUMIF(pro!$A:$A,INTGRATE!$Y:$Y,pro!$N:$N)</f>
        <v>408</v>
      </c>
      <c r="G183" s="248"/>
      <c r="H183" s="344">
        <f>SUMIF(CBIN!$A:$A,INTGRATE!$Y:$Y,CBIN!$G:$G)</f>
        <v>0</v>
      </c>
      <c r="I183" s="248">
        <f>SUMIF(data!$D:$D,INTGRATE!$B183&amp;INTGRATE!$D183,data!$J:$J)</f>
        <v>0</v>
      </c>
      <c r="J183" s="248"/>
      <c r="K183" s="248"/>
      <c r="L183" s="248">
        <f>SUMIF(data!$D:$D,INTGRATE!$B183&amp;INTGRATE!$D183,data!$K:$K)</f>
        <v>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408</v>
      </c>
      <c r="P183" s="248">
        <f t="shared" si="65"/>
        <v>20400</v>
      </c>
      <c r="Q183" s="248">
        <f t="shared" si="66"/>
        <v>71850</v>
      </c>
      <c r="R183" s="222"/>
      <c r="S183" s="222"/>
      <c r="T183" s="248">
        <f t="shared" si="56"/>
        <v>3123.913043478261</v>
      </c>
      <c r="U183" s="996">
        <f t="shared" si="55"/>
        <v>6.5302713987473897</v>
      </c>
      <c r="V183" s="997"/>
      <c r="W183" s="254"/>
      <c r="X183" s="251"/>
      <c r="Y183" s="983" t="str">
        <f t="shared" si="67"/>
        <v>566FS3150</v>
      </c>
      <c r="Z183" s="938">
        <v>36630831</v>
      </c>
      <c r="AA183" s="248">
        <v>21950</v>
      </c>
      <c r="AB183" s="343">
        <v>3200</v>
      </c>
      <c r="AC183" s="343">
        <v>4850</v>
      </c>
      <c r="AD183" s="343">
        <v>0</v>
      </c>
      <c r="AE183" s="343"/>
      <c r="AF183" s="343">
        <v>0</v>
      </c>
      <c r="AG183" s="343">
        <v>0</v>
      </c>
      <c r="AH183" s="343">
        <v>0</v>
      </c>
      <c r="AI183" s="343">
        <v>0</v>
      </c>
      <c r="AJ183" s="343">
        <v>0</v>
      </c>
      <c r="AK183" s="343">
        <v>0</v>
      </c>
      <c r="AL183" s="343"/>
      <c r="AM183" s="343">
        <v>0</v>
      </c>
      <c r="AN183" s="248">
        <v>7800</v>
      </c>
      <c r="AO183" s="343">
        <v>15650</v>
      </c>
      <c r="AP183" s="343">
        <v>0</v>
      </c>
      <c r="AQ183" s="248">
        <v>10000</v>
      </c>
      <c r="AR183" s="343">
        <v>5000</v>
      </c>
      <c r="AS183" s="343"/>
      <c r="AT183" s="343">
        <v>3400</v>
      </c>
      <c r="AU183" s="343">
        <v>0</v>
      </c>
      <c r="AV183" s="343">
        <v>0</v>
      </c>
      <c r="AW183" s="343">
        <v>0</v>
      </c>
      <c r="AX183" s="343">
        <v>0</v>
      </c>
      <c r="AY183" s="343">
        <v>0</v>
      </c>
      <c r="AZ183" s="343"/>
      <c r="BA183" s="343"/>
      <c r="BB183" s="343">
        <v>0</v>
      </c>
      <c r="BC183" s="343"/>
      <c r="BD183" s="343"/>
      <c r="BE183" s="343"/>
      <c r="BF183" s="222">
        <f t="shared" si="51"/>
        <v>71850</v>
      </c>
      <c r="BG183" s="896">
        <f t="shared" si="53"/>
        <v>8</v>
      </c>
      <c r="BH183" s="896">
        <f t="shared" si="54"/>
        <v>8981.25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96">
        <f t="shared" si="55"/>
        <v>0</v>
      </c>
      <c r="V184" s="997"/>
      <c r="W184" s="254"/>
      <c r="X184" s="251"/>
      <c r="Y184" s="983" t="str">
        <f t="shared" si="67"/>
        <v>566FS3750</v>
      </c>
      <c r="Z184" s="938">
        <v>36630837</v>
      </c>
      <c r="AA184" s="248">
        <v>0</v>
      </c>
      <c r="AB184" s="343">
        <v>0</v>
      </c>
      <c r="AC184" s="343">
        <v>0</v>
      </c>
      <c r="AD184" s="343">
        <v>0</v>
      </c>
      <c r="AE184" s="343"/>
      <c r="AF184" s="343">
        <v>0</v>
      </c>
      <c r="AG184" s="343">
        <v>0</v>
      </c>
      <c r="AH184" s="343">
        <v>0</v>
      </c>
      <c r="AI184" s="343">
        <v>0</v>
      </c>
      <c r="AJ184" s="343">
        <v>0</v>
      </c>
      <c r="AK184" s="343">
        <v>0</v>
      </c>
      <c r="AL184" s="343"/>
      <c r="AM184" s="343">
        <v>0</v>
      </c>
      <c r="AN184" s="248">
        <v>0</v>
      </c>
      <c r="AO184" s="343">
        <v>0</v>
      </c>
      <c r="AP184" s="343">
        <v>0</v>
      </c>
      <c r="AQ184" s="248">
        <v>0</v>
      </c>
      <c r="AR184" s="343">
        <v>0</v>
      </c>
      <c r="AS184" s="343"/>
      <c r="AT184" s="343">
        <v>0</v>
      </c>
      <c r="AU184" s="343">
        <v>0</v>
      </c>
      <c r="AV184" s="343">
        <v>0</v>
      </c>
      <c r="AW184" s="343">
        <v>0</v>
      </c>
      <c r="AX184" s="343">
        <v>0</v>
      </c>
      <c r="AY184" s="343">
        <v>0</v>
      </c>
      <c r="AZ184" s="343"/>
      <c r="BA184" s="343"/>
      <c r="BB184" s="343">
        <v>0</v>
      </c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96">
        <f>IF(T185=0,0,P185/T185)</f>
        <v>0</v>
      </c>
      <c r="V185" s="997"/>
      <c r="W185" s="254"/>
      <c r="X185" s="251"/>
      <c r="Y185" s="983" t="str">
        <f>B185&amp;D185</f>
        <v>566FS7250</v>
      </c>
      <c r="Z185" s="938">
        <v>36630872</v>
      </c>
      <c r="AA185" s="248">
        <v>0</v>
      </c>
      <c r="AB185" s="343">
        <v>0</v>
      </c>
      <c r="AC185" s="343">
        <v>0</v>
      </c>
      <c r="AD185" s="343">
        <v>0</v>
      </c>
      <c r="AE185" s="343"/>
      <c r="AF185" s="343">
        <v>0</v>
      </c>
      <c r="AG185" s="343">
        <v>0</v>
      </c>
      <c r="AH185" s="343">
        <v>0</v>
      </c>
      <c r="AI185" s="343">
        <v>0</v>
      </c>
      <c r="AJ185" s="343">
        <v>0</v>
      </c>
      <c r="AK185" s="343">
        <v>0</v>
      </c>
      <c r="AL185" s="343"/>
      <c r="AM185" s="343">
        <v>0</v>
      </c>
      <c r="AN185" s="248">
        <v>0</v>
      </c>
      <c r="AO185" s="343">
        <v>0</v>
      </c>
      <c r="AP185" s="343">
        <v>0</v>
      </c>
      <c r="AQ185" s="248">
        <v>0</v>
      </c>
      <c r="AR185" s="343">
        <v>0</v>
      </c>
      <c r="AS185" s="343"/>
      <c r="AT185" s="343">
        <v>0</v>
      </c>
      <c r="AU185" s="343">
        <v>0</v>
      </c>
      <c r="AV185" s="343">
        <v>0</v>
      </c>
      <c r="AW185" s="343">
        <v>0</v>
      </c>
      <c r="AX185" s="343">
        <v>0</v>
      </c>
      <c r="AY185" s="343">
        <v>0</v>
      </c>
      <c r="AZ185" s="343"/>
      <c r="BA185" s="343"/>
      <c r="BB185" s="343">
        <v>0</v>
      </c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96">
        <f t="shared" ref="U186:U193" si="78">IF(T186=0,0,P186/T186)</f>
        <v>0</v>
      </c>
      <c r="V186" s="997"/>
      <c r="W186" s="254"/>
      <c r="X186" s="251"/>
      <c r="Y186" s="983" t="str">
        <f>B186&amp;D186</f>
        <v>566FS9050</v>
      </c>
      <c r="Z186" s="938">
        <v>36630890</v>
      </c>
      <c r="AA186" s="248">
        <v>0</v>
      </c>
      <c r="AB186" s="343">
        <v>0</v>
      </c>
      <c r="AC186" s="343">
        <v>0</v>
      </c>
      <c r="AD186" s="343">
        <v>0</v>
      </c>
      <c r="AE186" s="343"/>
      <c r="AF186" s="343">
        <v>0</v>
      </c>
      <c r="AG186" s="343">
        <v>0</v>
      </c>
      <c r="AH186" s="343">
        <v>0</v>
      </c>
      <c r="AI186" s="343">
        <v>0</v>
      </c>
      <c r="AJ186" s="343">
        <v>0</v>
      </c>
      <c r="AK186" s="343">
        <v>0</v>
      </c>
      <c r="AL186" s="343"/>
      <c r="AM186" s="343">
        <v>0</v>
      </c>
      <c r="AN186" s="248">
        <v>0</v>
      </c>
      <c r="AO186" s="343">
        <v>0</v>
      </c>
      <c r="AP186" s="343">
        <v>0</v>
      </c>
      <c r="AQ186" s="248">
        <v>0</v>
      </c>
      <c r="AR186" s="343">
        <v>0</v>
      </c>
      <c r="AS186" s="343"/>
      <c r="AT186" s="343">
        <v>0</v>
      </c>
      <c r="AU186" s="343">
        <v>0</v>
      </c>
      <c r="AV186" s="343">
        <v>0</v>
      </c>
      <c r="AW186" s="343">
        <v>0</v>
      </c>
      <c r="AX186" s="343">
        <v>0</v>
      </c>
      <c r="AY186" s="343">
        <v>0</v>
      </c>
      <c r="AZ186" s="343"/>
      <c r="BA186" s="343"/>
      <c r="BB186" s="343">
        <v>0</v>
      </c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722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336</v>
      </c>
      <c r="J187" s="248"/>
      <c r="K187" s="248"/>
      <c r="L187" s="248">
        <f>SUMIF(data!$D:$D,INTGRATE!$B187&amp;INTGRATE!$D187,data!$K:$K)</f>
        <v>16800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386</v>
      </c>
      <c r="P187" s="248">
        <f t="shared" si="65"/>
        <v>19300</v>
      </c>
      <c r="Q187" s="248">
        <f t="shared" si="74"/>
        <v>414800</v>
      </c>
      <c r="R187" s="222"/>
      <c r="S187" s="222"/>
      <c r="T187" s="248">
        <f t="shared" si="75"/>
        <v>18034.782608695652</v>
      </c>
      <c r="U187" s="996">
        <f t="shared" si="78"/>
        <v>1.0701542912246866</v>
      </c>
      <c r="V187" s="997"/>
      <c r="W187" s="600"/>
      <c r="X187" s="254"/>
      <c r="Y187" s="983" t="str">
        <f t="shared" si="67"/>
        <v>567SF50</v>
      </c>
      <c r="Z187" s="938" t="s">
        <v>782</v>
      </c>
      <c r="AA187" s="248">
        <v>0</v>
      </c>
      <c r="AB187" s="343">
        <v>0</v>
      </c>
      <c r="AC187" s="343">
        <v>0</v>
      </c>
      <c r="AD187" s="343">
        <v>14000</v>
      </c>
      <c r="AE187" s="343"/>
      <c r="AF187" s="343">
        <v>17000</v>
      </c>
      <c r="AG187" s="343">
        <v>39050</v>
      </c>
      <c r="AH187" s="343">
        <v>38900</v>
      </c>
      <c r="AI187" s="343">
        <v>24300</v>
      </c>
      <c r="AJ187" s="343">
        <v>16800</v>
      </c>
      <c r="AK187" s="343">
        <v>7600</v>
      </c>
      <c r="AL187" s="343"/>
      <c r="AM187" s="343">
        <v>0</v>
      </c>
      <c r="AN187" s="248">
        <v>7150</v>
      </c>
      <c r="AO187" s="343">
        <v>2850</v>
      </c>
      <c r="AP187" s="343">
        <v>34350</v>
      </c>
      <c r="AQ187" s="248">
        <v>0</v>
      </c>
      <c r="AR187" s="343">
        <v>8250</v>
      </c>
      <c r="AS187" s="343"/>
      <c r="AT187" s="343">
        <v>35500</v>
      </c>
      <c r="AU187" s="343">
        <v>40200</v>
      </c>
      <c r="AV187" s="343">
        <v>55200</v>
      </c>
      <c r="AW187" s="343">
        <v>25350</v>
      </c>
      <c r="AX187" s="343">
        <v>14150</v>
      </c>
      <c r="AY187" s="343">
        <v>17350</v>
      </c>
      <c r="AZ187" s="343"/>
      <c r="BA187" s="343"/>
      <c r="BB187" s="343">
        <v>16800</v>
      </c>
      <c r="BC187" s="343"/>
      <c r="BD187" s="343"/>
      <c r="BE187" s="343"/>
      <c r="BF187" s="222">
        <f t="shared" si="51"/>
        <v>414800</v>
      </c>
      <c r="BG187" s="896">
        <f t="shared" si="76"/>
        <v>18</v>
      </c>
      <c r="BH187" s="896">
        <f t="shared" si="77"/>
        <v>23044.444444444445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1296</v>
      </c>
      <c r="F188" s="100">
        <f>SUMIF(pro!$A:$A,INTGRATE!$Y:$Y,pro!$N:$N)</f>
        <v>2174</v>
      </c>
      <c r="G188" s="248"/>
      <c r="H188" s="344">
        <f>SUMIF(CBIN!$A:$A,INTGRATE!$Y:$Y,CBIN!$G:$G)</f>
        <v>0</v>
      </c>
      <c r="I188" s="248">
        <f>SUMIF(data!$D:$D,INTGRATE!$B188&amp;INTGRATE!$D188,data!$J:$J)</f>
        <v>390</v>
      </c>
      <c r="J188" s="248"/>
      <c r="K188" s="248"/>
      <c r="L188" s="248">
        <f>SUMIF(data!$D:$D,INTGRATE!$B188&amp;INTGRATE!$D188,data!$K:$K)</f>
        <v>19500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3080</v>
      </c>
      <c r="P188" s="248">
        <f>O188*D188</f>
        <v>154000</v>
      </c>
      <c r="Q188" s="248">
        <f t="shared" si="74"/>
        <v>174450</v>
      </c>
      <c r="R188" s="222"/>
      <c r="S188" s="222"/>
      <c r="T188" s="248">
        <f t="shared" si="75"/>
        <v>7584.782608695652</v>
      </c>
      <c r="U188" s="996">
        <f>IF(T188=0,0,P188/T188)</f>
        <v>20.303811980510176</v>
      </c>
      <c r="V188" s="997"/>
      <c r="W188" s="531"/>
      <c r="X188" s="254"/>
      <c r="Y188" s="983" t="str">
        <f t="shared" si="67"/>
        <v>567SFS3150</v>
      </c>
      <c r="Z188" s="938">
        <v>36730831</v>
      </c>
      <c r="AA188" s="248">
        <v>0</v>
      </c>
      <c r="AB188" s="343">
        <v>16600</v>
      </c>
      <c r="AC188" s="343">
        <v>16800</v>
      </c>
      <c r="AD188" s="343">
        <v>5500</v>
      </c>
      <c r="AE188" s="343"/>
      <c r="AF188" s="343">
        <v>0</v>
      </c>
      <c r="AG188" s="343">
        <v>0</v>
      </c>
      <c r="AH188" s="343">
        <v>0</v>
      </c>
      <c r="AI188" s="343">
        <v>0</v>
      </c>
      <c r="AJ188" s="343">
        <v>0</v>
      </c>
      <c r="AK188" s="343">
        <v>0</v>
      </c>
      <c r="AL188" s="343"/>
      <c r="AM188" s="343">
        <v>25450</v>
      </c>
      <c r="AN188" s="248">
        <v>45400</v>
      </c>
      <c r="AO188" s="343">
        <v>4400</v>
      </c>
      <c r="AP188" s="343">
        <v>21850</v>
      </c>
      <c r="AQ188" s="248">
        <v>16100</v>
      </c>
      <c r="AR188" s="343">
        <v>2850</v>
      </c>
      <c r="AS188" s="343"/>
      <c r="AT188" s="343">
        <v>0</v>
      </c>
      <c r="AU188" s="343">
        <v>0</v>
      </c>
      <c r="AV188" s="343">
        <v>0</v>
      </c>
      <c r="AW188" s="343">
        <v>0</v>
      </c>
      <c r="AX188" s="343">
        <v>0</v>
      </c>
      <c r="AY188" s="343">
        <v>0</v>
      </c>
      <c r="AZ188" s="343"/>
      <c r="BA188" s="343"/>
      <c r="BB188" s="343">
        <v>19500</v>
      </c>
      <c r="BC188" s="343"/>
      <c r="BD188" s="343"/>
      <c r="BE188" s="343"/>
      <c r="BF188" s="222">
        <f t="shared" si="51"/>
        <v>174450</v>
      </c>
      <c r="BG188" s="896">
        <f t="shared" si="76"/>
        <v>10</v>
      </c>
      <c r="BH188" s="896">
        <f t="shared" si="77"/>
        <v>17445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309</v>
      </c>
      <c r="F189" s="100">
        <f>SUMIF(pro!$A:$A,INTGRATE!$Y:$Y,pro!$N:$N)</f>
        <v>475</v>
      </c>
      <c r="G189" s="248"/>
      <c r="H189" s="344"/>
      <c r="I189" s="248">
        <f>SUMIF(data!$D:$D,INTGRATE!$B189&amp;INTGRATE!$D189,data!$J:$J)</f>
        <v>657</v>
      </c>
      <c r="J189" s="248"/>
      <c r="K189" s="248"/>
      <c r="L189" s="248">
        <f>SUMIF(data!$D:$D,INTGRATE!$B189&amp;INTGRATE!$D189,data!$K:$K)</f>
        <v>32850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127</v>
      </c>
      <c r="P189" s="248">
        <f>O189*D189</f>
        <v>6350</v>
      </c>
      <c r="Q189" s="248">
        <f>SUM(AA189:BE189)</f>
        <v>50200</v>
      </c>
      <c r="R189" s="222"/>
      <c r="S189" s="222"/>
      <c r="T189" s="248">
        <f t="shared" si="75"/>
        <v>2182.608695652174</v>
      </c>
      <c r="U189" s="996">
        <f>IF(T189=0,0,P189/T189)</f>
        <v>2.9093625498007967</v>
      </c>
      <c r="V189" s="997"/>
      <c r="W189" s="531"/>
      <c r="X189" s="254"/>
      <c r="Y189" s="983" t="str">
        <f>B189&amp;D189</f>
        <v>567SFS2550</v>
      </c>
      <c r="Z189" s="938">
        <v>36730825</v>
      </c>
      <c r="AA189" s="248">
        <v>0</v>
      </c>
      <c r="AB189" s="343">
        <v>0</v>
      </c>
      <c r="AC189" s="343">
        <v>0</v>
      </c>
      <c r="AD189" s="343">
        <v>0</v>
      </c>
      <c r="AE189" s="343"/>
      <c r="AF189" s="343">
        <v>0</v>
      </c>
      <c r="AG189" s="343">
        <v>0</v>
      </c>
      <c r="AH189" s="343">
        <v>0</v>
      </c>
      <c r="AI189" s="343">
        <v>0</v>
      </c>
      <c r="AJ189" s="343">
        <v>0</v>
      </c>
      <c r="AK189" s="343">
        <v>0</v>
      </c>
      <c r="AL189" s="343"/>
      <c r="AM189" s="343">
        <v>16000</v>
      </c>
      <c r="AN189" s="248">
        <v>1350</v>
      </c>
      <c r="AO189" s="343">
        <v>0</v>
      </c>
      <c r="AP189" s="343">
        <v>0</v>
      </c>
      <c r="AQ189" s="248">
        <v>0</v>
      </c>
      <c r="AR189" s="343">
        <v>0</v>
      </c>
      <c r="AS189" s="343"/>
      <c r="AT189" s="343">
        <v>0</v>
      </c>
      <c r="AU189" s="343">
        <v>0</v>
      </c>
      <c r="AV189" s="343">
        <v>0</v>
      </c>
      <c r="AW189" s="343">
        <v>0</v>
      </c>
      <c r="AX189" s="343">
        <v>0</v>
      </c>
      <c r="AY189" s="343">
        <v>0</v>
      </c>
      <c r="AZ189" s="343"/>
      <c r="BA189" s="343"/>
      <c r="BB189" s="343">
        <v>32850</v>
      </c>
      <c r="BC189" s="343"/>
      <c r="BD189" s="343"/>
      <c r="BE189" s="343"/>
      <c r="BF189" s="222">
        <f t="shared" si="51"/>
        <v>50200</v>
      </c>
      <c r="BG189" s="896">
        <f t="shared" si="76"/>
        <v>3</v>
      </c>
      <c r="BH189" s="896">
        <f t="shared" si="77"/>
        <v>16733.333333333332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96">
        <f t="shared" si="78"/>
        <v>0</v>
      </c>
      <c r="V190" s="997"/>
      <c r="W190" s="531"/>
      <c r="X190" s="254"/>
      <c r="Y190" s="983" t="str">
        <f t="shared" si="67"/>
        <v>567SFS4950</v>
      </c>
      <c r="Z190" s="938">
        <v>36730849</v>
      </c>
      <c r="AA190" s="248">
        <v>0</v>
      </c>
      <c r="AB190" s="343">
        <v>0</v>
      </c>
      <c r="AC190" s="343">
        <v>0</v>
      </c>
      <c r="AD190" s="343">
        <v>0</v>
      </c>
      <c r="AE190" s="343"/>
      <c r="AF190" s="343">
        <v>0</v>
      </c>
      <c r="AG190" s="343">
        <v>0</v>
      </c>
      <c r="AH190" s="343">
        <v>0</v>
      </c>
      <c r="AI190" s="343">
        <v>0</v>
      </c>
      <c r="AJ190" s="343">
        <v>0</v>
      </c>
      <c r="AK190" s="343">
        <v>0</v>
      </c>
      <c r="AL190" s="343"/>
      <c r="AM190" s="343">
        <v>0</v>
      </c>
      <c r="AN190" s="248">
        <v>0</v>
      </c>
      <c r="AO190" s="343">
        <v>0</v>
      </c>
      <c r="AP190" s="343">
        <v>0</v>
      </c>
      <c r="AQ190" s="248">
        <v>0</v>
      </c>
      <c r="AR190" s="343">
        <v>0</v>
      </c>
      <c r="AS190" s="343"/>
      <c r="AT190" s="343">
        <v>0</v>
      </c>
      <c r="AU190" s="343">
        <v>0</v>
      </c>
      <c r="AV190" s="343">
        <v>0</v>
      </c>
      <c r="AW190" s="343">
        <v>0</v>
      </c>
      <c r="AX190" s="343">
        <v>0</v>
      </c>
      <c r="AY190" s="343">
        <v>0</v>
      </c>
      <c r="AZ190" s="343"/>
      <c r="BA190" s="343"/>
      <c r="BB190" s="343">
        <v>0</v>
      </c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96">
        <f t="shared" si="78"/>
        <v>0</v>
      </c>
      <c r="V191" s="997"/>
      <c r="W191" s="531"/>
      <c r="X191" s="254"/>
      <c r="Y191" s="983" t="str">
        <f t="shared" si="67"/>
        <v>567SFS5050</v>
      </c>
      <c r="Z191" s="938">
        <v>36730850</v>
      </c>
      <c r="AA191" s="248">
        <v>0</v>
      </c>
      <c r="AB191" s="343">
        <v>0</v>
      </c>
      <c r="AC191" s="343">
        <v>0</v>
      </c>
      <c r="AD191" s="343">
        <v>0</v>
      </c>
      <c r="AE191" s="343"/>
      <c r="AF191" s="343">
        <v>0</v>
      </c>
      <c r="AG191" s="343">
        <v>0</v>
      </c>
      <c r="AH191" s="343">
        <v>0</v>
      </c>
      <c r="AI191" s="343">
        <v>0</v>
      </c>
      <c r="AJ191" s="343">
        <v>0</v>
      </c>
      <c r="AK191" s="343">
        <v>0</v>
      </c>
      <c r="AL191" s="343"/>
      <c r="AM191" s="343">
        <v>0</v>
      </c>
      <c r="AN191" s="248">
        <v>0</v>
      </c>
      <c r="AO191" s="343">
        <v>0</v>
      </c>
      <c r="AP191" s="343">
        <v>0</v>
      </c>
      <c r="AQ191" s="248">
        <v>0</v>
      </c>
      <c r="AR191" s="343">
        <v>0</v>
      </c>
      <c r="AS191" s="343"/>
      <c r="AT191" s="343">
        <v>0</v>
      </c>
      <c r="AU191" s="343">
        <v>0</v>
      </c>
      <c r="AV191" s="343">
        <v>0</v>
      </c>
      <c r="AW191" s="343">
        <v>0</v>
      </c>
      <c r="AX191" s="343">
        <v>0</v>
      </c>
      <c r="AY191" s="343">
        <v>0</v>
      </c>
      <c r="AZ191" s="343"/>
      <c r="BA191" s="343"/>
      <c r="BB191" s="343">
        <v>0</v>
      </c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96">
        <f t="shared" si="78"/>
        <v>0</v>
      </c>
      <c r="V192" s="997"/>
      <c r="W192" s="531"/>
      <c r="X192" s="254"/>
      <c r="Y192" s="983" t="str">
        <f>B192&amp;D192</f>
        <v>567SFS5350</v>
      </c>
      <c r="Z192" s="938">
        <v>36730853</v>
      </c>
      <c r="AA192" s="248">
        <v>0</v>
      </c>
      <c r="AB192" s="343">
        <v>0</v>
      </c>
      <c r="AC192" s="343">
        <v>0</v>
      </c>
      <c r="AD192" s="343">
        <v>0</v>
      </c>
      <c r="AE192" s="343"/>
      <c r="AF192" s="343">
        <v>0</v>
      </c>
      <c r="AG192" s="343">
        <v>0</v>
      </c>
      <c r="AH192" s="343">
        <v>0</v>
      </c>
      <c r="AI192" s="343">
        <v>0</v>
      </c>
      <c r="AJ192" s="343">
        <v>0</v>
      </c>
      <c r="AK192" s="343">
        <v>0</v>
      </c>
      <c r="AL192" s="343"/>
      <c r="AM192" s="343">
        <v>0</v>
      </c>
      <c r="AN192" s="248">
        <v>0</v>
      </c>
      <c r="AO192" s="343">
        <v>0</v>
      </c>
      <c r="AP192" s="343">
        <v>0</v>
      </c>
      <c r="AQ192" s="248">
        <v>0</v>
      </c>
      <c r="AR192" s="343">
        <v>0</v>
      </c>
      <c r="AS192" s="343"/>
      <c r="AT192" s="343">
        <v>0</v>
      </c>
      <c r="AU192" s="343">
        <v>0</v>
      </c>
      <c r="AV192" s="343">
        <v>0</v>
      </c>
      <c r="AW192" s="343">
        <v>0</v>
      </c>
      <c r="AX192" s="343">
        <v>0</v>
      </c>
      <c r="AY192" s="343">
        <v>0</v>
      </c>
      <c r="AZ192" s="343"/>
      <c r="BA192" s="343"/>
      <c r="BB192" s="343">
        <v>0</v>
      </c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96">
        <f t="shared" si="78"/>
        <v>0</v>
      </c>
      <c r="V193" s="997"/>
      <c r="W193" s="531"/>
      <c r="X193" s="254"/>
      <c r="Y193" s="983" t="str">
        <f>B193&amp;D193</f>
        <v>567SFS9050</v>
      </c>
      <c r="Z193" s="938">
        <v>36730890</v>
      </c>
      <c r="AA193" s="248">
        <v>0</v>
      </c>
      <c r="AB193" s="343">
        <v>0</v>
      </c>
      <c r="AC193" s="343">
        <v>0</v>
      </c>
      <c r="AD193" s="343">
        <v>0</v>
      </c>
      <c r="AE193" s="343"/>
      <c r="AF193" s="343">
        <v>0</v>
      </c>
      <c r="AG193" s="343">
        <v>0</v>
      </c>
      <c r="AH193" s="343">
        <v>0</v>
      </c>
      <c r="AI193" s="343">
        <v>0</v>
      </c>
      <c r="AJ193" s="343">
        <v>0</v>
      </c>
      <c r="AK193" s="343">
        <v>0</v>
      </c>
      <c r="AL193" s="343"/>
      <c r="AM193" s="343">
        <v>0</v>
      </c>
      <c r="AN193" s="248">
        <v>0</v>
      </c>
      <c r="AO193" s="343">
        <v>0</v>
      </c>
      <c r="AP193" s="343">
        <v>0</v>
      </c>
      <c r="AQ193" s="248">
        <v>0</v>
      </c>
      <c r="AR193" s="343">
        <v>0</v>
      </c>
      <c r="AS193" s="343"/>
      <c r="AT193" s="343">
        <v>0</v>
      </c>
      <c r="AU193" s="343">
        <v>0</v>
      </c>
      <c r="AV193" s="343">
        <v>0</v>
      </c>
      <c r="AW193" s="343">
        <v>0</v>
      </c>
      <c r="AX193" s="343">
        <v>0</v>
      </c>
      <c r="AY193" s="343">
        <v>0</v>
      </c>
      <c r="AZ193" s="343"/>
      <c r="BA193" s="343"/>
      <c r="BB193" s="343">
        <v>0</v>
      </c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96">
        <f>IF(T194=0,0,P194/T194)</f>
        <v>0</v>
      </c>
      <c r="V194" s="997"/>
      <c r="W194" s="531"/>
      <c r="X194" s="254"/>
      <c r="Y194" s="983" t="str">
        <f>B194&amp;D194</f>
        <v>567SFS7650</v>
      </c>
      <c r="Z194" s="938">
        <v>36730876</v>
      </c>
      <c r="AA194" s="248">
        <v>0</v>
      </c>
      <c r="AB194" s="343">
        <v>0</v>
      </c>
      <c r="AC194" s="343">
        <v>0</v>
      </c>
      <c r="AD194" s="343">
        <v>0</v>
      </c>
      <c r="AE194" s="343"/>
      <c r="AF194" s="343">
        <v>0</v>
      </c>
      <c r="AG194" s="343">
        <v>0</v>
      </c>
      <c r="AH194" s="343">
        <v>0</v>
      </c>
      <c r="AI194" s="343">
        <v>0</v>
      </c>
      <c r="AJ194" s="343">
        <v>0</v>
      </c>
      <c r="AK194" s="343">
        <v>0</v>
      </c>
      <c r="AL194" s="343"/>
      <c r="AM194" s="343">
        <v>0</v>
      </c>
      <c r="AN194" s="248">
        <v>0</v>
      </c>
      <c r="AO194" s="343">
        <v>0</v>
      </c>
      <c r="AP194" s="343">
        <v>0</v>
      </c>
      <c r="AQ194" s="248">
        <v>0</v>
      </c>
      <c r="AR194" s="343">
        <v>0</v>
      </c>
      <c r="AS194" s="343"/>
      <c r="AT194" s="343">
        <v>0</v>
      </c>
      <c r="AU194" s="343">
        <v>0</v>
      </c>
      <c r="AV194" s="343">
        <v>0</v>
      </c>
      <c r="AW194" s="343">
        <v>0</v>
      </c>
      <c r="AX194" s="343">
        <v>0</v>
      </c>
      <c r="AY194" s="343">
        <v>0</v>
      </c>
      <c r="AZ194" s="343"/>
      <c r="BA194" s="343"/>
      <c r="BB194" s="343">
        <v>0</v>
      </c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96">
        <f t="shared" si="55"/>
        <v>0</v>
      </c>
      <c r="V195" s="997"/>
      <c r="W195" s="254"/>
      <c r="X195" s="254"/>
      <c r="Y195" s="983" t="str">
        <f t="shared" si="67"/>
        <v>567SFS3250</v>
      </c>
      <c r="Z195" s="938">
        <v>36730832</v>
      </c>
      <c r="AA195" s="248">
        <v>0</v>
      </c>
      <c r="AB195" s="343">
        <v>0</v>
      </c>
      <c r="AC195" s="343">
        <v>0</v>
      </c>
      <c r="AD195" s="343">
        <v>0</v>
      </c>
      <c r="AE195" s="343"/>
      <c r="AF195" s="343">
        <v>0</v>
      </c>
      <c r="AG195" s="343">
        <v>0</v>
      </c>
      <c r="AH195" s="343">
        <v>0</v>
      </c>
      <c r="AI195" s="343">
        <v>0</v>
      </c>
      <c r="AJ195" s="343">
        <v>0</v>
      </c>
      <c r="AK195" s="343">
        <v>0</v>
      </c>
      <c r="AL195" s="343"/>
      <c r="AM195" s="343">
        <v>0</v>
      </c>
      <c r="AN195" s="248">
        <v>0</v>
      </c>
      <c r="AO195" s="343">
        <v>0</v>
      </c>
      <c r="AP195" s="343">
        <v>0</v>
      </c>
      <c r="AQ195" s="248">
        <v>0</v>
      </c>
      <c r="AR195" s="343">
        <v>0</v>
      </c>
      <c r="AS195" s="343"/>
      <c r="AT195" s="343">
        <v>0</v>
      </c>
      <c r="AU195" s="343">
        <v>0</v>
      </c>
      <c r="AV195" s="343">
        <v>0</v>
      </c>
      <c r="AW195" s="343">
        <v>0</v>
      </c>
      <c r="AX195" s="343">
        <v>0</v>
      </c>
      <c r="AY195" s="343">
        <v>0</v>
      </c>
      <c r="AZ195" s="343"/>
      <c r="BA195" s="343"/>
      <c r="BB195" s="343">
        <v>0</v>
      </c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96">
        <f t="shared" si="55"/>
        <v>0</v>
      </c>
      <c r="V196" s="997"/>
      <c r="W196" s="254"/>
      <c r="X196" s="254"/>
      <c r="Y196" s="983" t="str">
        <f t="shared" si="67"/>
        <v>550SFS25SILO</v>
      </c>
      <c r="Z196" s="938">
        <v>31210825</v>
      </c>
      <c r="AA196" s="248">
        <v>0</v>
      </c>
      <c r="AB196" s="343">
        <v>0</v>
      </c>
      <c r="AC196" s="343">
        <v>0</v>
      </c>
      <c r="AD196" s="343">
        <v>0</v>
      </c>
      <c r="AE196" s="343"/>
      <c r="AF196" s="343">
        <v>0</v>
      </c>
      <c r="AG196" s="343">
        <v>0</v>
      </c>
      <c r="AH196" s="343">
        <v>0</v>
      </c>
      <c r="AI196" s="343">
        <v>0</v>
      </c>
      <c r="AJ196" s="343">
        <v>0</v>
      </c>
      <c r="AK196" s="343">
        <v>0</v>
      </c>
      <c r="AL196" s="343"/>
      <c r="AM196" s="343">
        <v>0</v>
      </c>
      <c r="AN196" s="248">
        <v>0</v>
      </c>
      <c r="AO196" s="343">
        <v>0</v>
      </c>
      <c r="AP196" s="343">
        <v>0</v>
      </c>
      <c r="AQ196" s="248">
        <v>0</v>
      </c>
      <c r="AR196" s="343">
        <v>0</v>
      </c>
      <c r="AS196" s="343"/>
      <c r="AT196" s="343">
        <v>0</v>
      </c>
      <c r="AU196" s="343">
        <v>0</v>
      </c>
      <c r="AV196" s="343">
        <v>0</v>
      </c>
      <c r="AW196" s="343">
        <v>0</v>
      </c>
      <c r="AX196" s="343">
        <v>0</v>
      </c>
      <c r="AY196" s="343">
        <v>0</v>
      </c>
      <c r="AZ196" s="343"/>
      <c r="BA196" s="343"/>
      <c r="BB196" s="343">
        <v>0</v>
      </c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14090</v>
      </c>
      <c r="R197" s="222"/>
      <c r="S197" s="222"/>
      <c r="T197" s="363">
        <f t="shared" si="75"/>
        <v>612.60869565217388</v>
      </c>
      <c r="U197" s="996">
        <f t="shared" ref="U197:U260" si="80">IF(T197=0,0,P197/T197)</f>
        <v>0</v>
      </c>
      <c r="V197" s="997"/>
      <c r="W197" s="254"/>
      <c r="X197" s="254"/>
      <c r="Y197" s="983" t="str">
        <f t="shared" si="67"/>
        <v>550SFS31SILO</v>
      </c>
      <c r="Z197" s="938">
        <v>31210831</v>
      </c>
      <c r="AA197" s="248">
        <v>0</v>
      </c>
      <c r="AB197" s="343">
        <v>0</v>
      </c>
      <c r="AC197" s="343">
        <v>0</v>
      </c>
      <c r="AD197" s="343">
        <v>0</v>
      </c>
      <c r="AE197" s="343"/>
      <c r="AF197" s="343">
        <v>0</v>
      </c>
      <c r="AG197" s="343">
        <v>0</v>
      </c>
      <c r="AH197" s="343">
        <v>0</v>
      </c>
      <c r="AI197" s="343">
        <v>0</v>
      </c>
      <c r="AJ197" s="343">
        <v>0</v>
      </c>
      <c r="AK197" s="343">
        <v>14090</v>
      </c>
      <c r="AL197" s="343"/>
      <c r="AM197" s="343">
        <v>0</v>
      </c>
      <c r="AN197" s="248">
        <v>0</v>
      </c>
      <c r="AO197" s="343">
        <v>0</v>
      </c>
      <c r="AP197" s="343">
        <v>0</v>
      </c>
      <c r="AQ197" s="248">
        <v>0</v>
      </c>
      <c r="AR197" s="343">
        <v>0</v>
      </c>
      <c r="AS197" s="343"/>
      <c r="AT197" s="343">
        <v>0</v>
      </c>
      <c r="AU197" s="343">
        <v>0</v>
      </c>
      <c r="AV197" s="343">
        <v>0</v>
      </c>
      <c r="AW197" s="343">
        <v>0</v>
      </c>
      <c r="AX197" s="343">
        <v>0</v>
      </c>
      <c r="AY197" s="343">
        <v>0</v>
      </c>
      <c r="AZ197" s="343"/>
      <c r="BA197" s="343"/>
      <c r="BB197" s="343">
        <v>0</v>
      </c>
      <c r="BC197" s="343"/>
      <c r="BD197" s="343"/>
      <c r="BE197" s="343"/>
      <c r="BF197" s="222">
        <f t="shared" si="51"/>
        <v>14090</v>
      </c>
      <c r="BG197" s="896">
        <f t="shared" si="76"/>
        <v>1</v>
      </c>
      <c r="BH197" s="896">
        <f t="shared" si="77"/>
        <v>14090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96">
        <f t="shared" si="80"/>
        <v>0</v>
      </c>
      <c r="V198" s="997"/>
      <c r="W198" s="254"/>
      <c r="X198" s="254"/>
      <c r="Y198" s="983" t="str">
        <f t="shared" si="67"/>
        <v>550SFS88SILO</v>
      </c>
      <c r="Z198" s="938">
        <v>31210888</v>
      </c>
      <c r="AA198" s="248">
        <v>0</v>
      </c>
      <c r="AB198" s="343">
        <v>0</v>
      </c>
      <c r="AC198" s="343">
        <v>0</v>
      </c>
      <c r="AD198" s="343">
        <v>0</v>
      </c>
      <c r="AE198" s="343"/>
      <c r="AF198" s="343">
        <v>0</v>
      </c>
      <c r="AG198" s="343">
        <v>0</v>
      </c>
      <c r="AH198" s="343">
        <v>0</v>
      </c>
      <c r="AI198" s="343">
        <v>0</v>
      </c>
      <c r="AJ198" s="343">
        <v>0</v>
      </c>
      <c r="AK198" s="343">
        <v>0</v>
      </c>
      <c r="AL198" s="343"/>
      <c r="AM198" s="343">
        <v>0</v>
      </c>
      <c r="AN198" s="248">
        <v>0</v>
      </c>
      <c r="AO198" s="343">
        <v>0</v>
      </c>
      <c r="AP198" s="343">
        <v>0</v>
      </c>
      <c r="AQ198" s="248">
        <v>0</v>
      </c>
      <c r="AR198" s="343">
        <v>0</v>
      </c>
      <c r="AS198" s="343"/>
      <c r="AT198" s="343">
        <v>0</v>
      </c>
      <c r="AU198" s="343">
        <v>0</v>
      </c>
      <c r="AV198" s="343">
        <v>0</v>
      </c>
      <c r="AW198" s="343">
        <v>0</v>
      </c>
      <c r="AX198" s="343">
        <v>0</v>
      </c>
      <c r="AY198" s="343">
        <v>0</v>
      </c>
      <c r="AZ198" s="343"/>
      <c r="BA198" s="343"/>
      <c r="BB198" s="343">
        <v>0</v>
      </c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96">
        <f t="shared" si="80"/>
        <v>0</v>
      </c>
      <c r="V199" s="997"/>
      <c r="W199" s="254"/>
      <c r="X199" s="254"/>
      <c r="Y199" s="983" t="str">
        <f>B199&amp;D199</f>
        <v>550SFSILO</v>
      </c>
      <c r="Z199" s="938" t="s">
        <v>773</v>
      </c>
      <c r="AA199" s="248">
        <v>0</v>
      </c>
      <c r="AB199" s="343">
        <v>0</v>
      </c>
      <c r="AC199" s="343">
        <v>0</v>
      </c>
      <c r="AD199" s="343">
        <v>0</v>
      </c>
      <c r="AE199" s="343"/>
      <c r="AF199" s="343">
        <v>0</v>
      </c>
      <c r="AG199" s="343">
        <v>0</v>
      </c>
      <c r="AH199" s="343">
        <v>0</v>
      </c>
      <c r="AI199" s="343">
        <v>0</v>
      </c>
      <c r="AJ199" s="343">
        <v>0</v>
      </c>
      <c r="AK199" s="343">
        <v>0</v>
      </c>
      <c r="AL199" s="343"/>
      <c r="AM199" s="343">
        <v>0</v>
      </c>
      <c r="AN199" s="248">
        <v>0</v>
      </c>
      <c r="AO199" s="343">
        <v>0</v>
      </c>
      <c r="AP199" s="343">
        <v>0</v>
      </c>
      <c r="AQ199" s="248">
        <v>0</v>
      </c>
      <c r="AR199" s="343">
        <v>0</v>
      </c>
      <c r="AS199" s="343"/>
      <c r="AT199" s="343">
        <v>0</v>
      </c>
      <c r="AU199" s="343">
        <v>0</v>
      </c>
      <c r="AV199" s="343">
        <v>0</v>
      </c>
      <c r="AW199" s="343">
        <v>0</v>
      </c>
      <c r="AX199" s="343">
        <v>0</v>
      </c>
      <c r="AY199" s="343">
        <v>0</v>
      </c>
      <c r="AZ199" s="343"/>
      <c r="BA199" s="343"/>
      <c r="BB199" s="343">
        <v>0</v>
      </c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96">
        <f t="shared" si="80"/>
        <v>0</v>
      </c>
      <c r="V200" s="997"/>
      <c r="W200" s="254"/>
      <c r="X200" s="254"/>
      <c r="Y200" s="983" t="str">
        <f t="shared" si="67"/>
        <v>551FSILO</v>
      </c>
      <c r="Z200" s="942" t="s">
        <v>774</v>
      </c>
      <c r="AA200" s="248">
        <v>0</v>
      </c>
      <c r="AB200" s="343">
        <v>0</v>
      </c>
      <c r="AC200" s="343">
        <v>0</v>
      </c>
      <c r="AD200" s="343">
        <v>0</v>
      </c>
      <c r="AE200" s="343"/>
      <c r="AF200" s="343">
        <v>0</v>
      </c>
      <c r="AG200" s="343">
        <v>0</v>
      </c>
      <c r="AH200" s="343">
        <v>0</v>
      </c>
      <c r="AI200" s="343">
        <v>0</v>
      </c>
      <c r="AJ200" s="343">
        <v>0</v>
      </c>
      <c r="AK200" s="343">
        <v>0</v>
      </c>
      <c r="AL200" s="343"/>
      <c r="AM200" s="343">
        <v>0</v>
      </c>
      <c r="AN200" s="248">
        <v>0</v>
      </c>
      <c r="AO200" s="343">
        <v>0</v>
      </c>
      <c r="AP200" s="343">
        <v>0</v>
      </c>
      <c r="AQ200" s="248">
        <v>0</v>
      </c>
      <c r="AR200" s="343">
        <v>0</v>
      </c>
      <c r="AS200" s="343"/>
      <c r="AT200" s="343">
        <v>0</v>
      </c>
      <c r="AU200" s="343">
        <v>0</v>
      </c>
      <c r="AV200" s="343">
        <v>0</v>
      </c>
      <c r="AW200" s="343">
        <v>0</v>
      </c>
      <c r="AX200" s="343">
        <v>0</v>
      </c>
      <c r="AY200" s="343">
        <v>0</v>
      </c>
      <c r="AZ200" s="343"/>
      <c r="BA200" s="343"/>
      <c r="BB200" s="343">
        <v>0</v>
      </c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96">
        <f t="shared" si="80"/>
        <v>0</v>
      </c>
      <c r="V201" s="997"/>
      <c r="W201" s="254"/>
      <c r="X201" s="254"/>
      <c r="Y201" s="983" t="str">
        <f t="shared" si="67"/>
        <v>551FBigbag</v>
      </c>
      <c r="Z201" s="942">
        <v>314101</v>
      </c>
      <c r="AA201" s="248">
        <v>0</v>
      </c>
      <c r="AB201" s="343">
        <v>0</v>
      </c>
      <c r="AC201" s="343">
        <v>0</v>
      </c>
      <c r="AD201" s="343">
        <v>0</v>
      </c>
      <c r="AE201" s="343"/>
      <c r="AF201" s="343">
        <v>0</v>
      </c>
      <c r="AG201" s="343">
        <v>0</v>
      </c>
      <c r="AH201" s="343">
        <v>0</v>
      </c>
      <c r="AI201" s="343">
        <v>0</v>
      </c>
      <c r="AJ201" s="343">
        <v>0</v>
      </c>
      <c r="AK201" s="343">
        <v>0</v>
      </c>
      <c r="AL201" s="343"/>
      <c r="AM201" s="343">
        <v>0</v>
      </c>
      <c r="AN201" s="248">
        <v>0</v>
      </c>
      <c r="AO201" s="343">
        <v>0</v>
      </c>
      <c r="AP201" s="343">
        <v>0</v>
      </c>
      <c r="AQ201" s="248">
        <v>0</v>
      </c>
      <c r="AR201" s="343">
        <v>0</v>
      </c>
      <c r="AS201" s="343"/>
      <c r="AT201" s="343">
        <v>0</v>
      </c>
      <c r="AU201" s="343">
        <v>0</v>
      </c>
      <c r="AV201" s="343">
        <v>0</v>
      </c>
      <c r="AW201" s="343">
        <v>0</v>
      </c>
      <c r="AX201" s="343">
        <v>0</v>
      </c>
      <c r="AY201" s="343">
        <v>0</v>
      </c>
      <c r="AZ201" s="343"/>
      <c r="BA201" s="343"/>
      <c r="BB201" s="343">
        <v>0</v>
      </c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2615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58170</v>
      </c>
      <c r="R202" s="222"/>
      <c r="S202" s="222"/>
      <c r="T202" s="363">
        <f t="shared" si="75"/>
        <v>2529.1304347826085</v>
      </c>
      <c r="U202" s="996">
        <f t="shared" si="80"/>
        <v>0</v>
      </c>
      <c r="V202" s="997"/>
      <c r="W202" s="254"/>
      <c r="X202" s="254"/>
      <c r="Y202" s="983" t="str">
        <f t="shared" si="67"/>
        <v>551FS31SILO</v>
      </c>
      <c r="Z202" s="938">
        <v>31410831</v>
      </c>
      <c r="AA202" s="248">
        <v>0</v>
      </c>
      <c r="AB202" s="343">
        <v>14440</v>
      </c>
      <c r="AC202" s="343">
        <v>0</v>
      </c>
      <c r="AD202" s="343">
        <v>0</v>
      </c>
      <c r="AE202" s="343"/>
      <c r="AF202" s="343">
        <v>0</v>
      </c>
      <c r="AG202" s="343">
        <v>0</v>
      </c>
      <c r="AH202" s="343">
        <v>14670</v>
      </c>
      <c r="AI202" s="343">
        <v>0</v>
      </c>
      <c r="AJ202" s="343">
        <v>0</v>
      </c>
      <c r="AK202" s="343">
        <v>0</v>
      </c>
      <c r="AL202" s="343"/>
      <c r="AM202" s="343">
        <v>0</v>
      </c>
      <c r="AN202" s="248">
        <v>14580</v>
      </c>
      <c r="AO202" s="343">
        <v>0</v>
      </c>
      <c r="AP202" s="343">
        <v>0</v>
      </c>
      <c r="AQ202" s="248">
        <v>0</v>
      </c>
      <c r="AR202" s="343">
        <v>0</v>
      </c>
      <c r="AS202" s="343"/>
      <c r="AT202" s="343">
        <v>14480</v>
      </c>
      <c r="AU202" s="343">
        <v>0</v>
      </c>
      <c r="AV202" s="343">
        <v>0</v>
      </c>
      <c r="AW202" s="343">
        <v>0</v>
      </c>
      <c r="AX202" s="343">
        <v>0</v>
      </c>
      <c r="AY202" s="343">
        <v>0</v>
      </c>
      <c r="AZ202" s="343"/>
      <c r="BA202" s="343"/>
      <c r="BB202" s="343">
        <v>0</v>
      </c>
      <c r="BC202" s="343"/>
      <c r="BD202" s="343"/>
      <c r="BE202" s="343"/>
      <c r="BF202" s="222">
        <f t="shared" si="51"/>
        <v>58170</v>
      </c>
      <c r="BG202" s="896">
        <f t="shared" si="76"/>
        <v>4</v>
      </c>
      <c r="BH202" s="896">
        <f t="shared" si="77"/>
        <v>14542.5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21240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21240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21240</v>
      </c>
      <c r="R203" s="222"/>
      <c r="S203" s="222"/>
      <c r="T203" s="363">
        <f t="shared" si="75"/>
        <v>923.47826086956525</v>
      </c>
      <c r="U203" s="996">
        <f t="shared" si="80"/>
        <v>0</v>
      </c>
      <c r="V203" s="997"/>
      <c r="W203" s="254"/>
      <c r="X203" s="254"/>
      <c r="Y203" s="983" t="str">
        <f t="shared" si="67"/>
        <v>551FS54SILO</v>
      </c>
      <c r="Z203" s="938">
        <v>31410844</v>
      </c>
      <c r="AA203" s="248">
        <v>0</v>
      </c>
      <c r="AB203" s="343">
        <v>0</v>
      </c>
      <c r="AC203" s="343">
        <v>0</v>
      </c>
      <c r="AD203" s="343">
        <v>0</v>
      </c>
      <c r="AE203" s="343"/>
      <c r="AF203" s="343">
        <v>0</v>
      </c>
      <c r="AG203" s="343">
        <v>0</v>
      </c>
      <c r="AH203" s="343">
        <v>0</v>
      </c>
      <c r="AI203" s="343">
        <v>0</v>
      </c>
      <c r="AJ203" s="343">
        <v>0</v>
      </c>
      <c r="AK203" s="343">
        <v>0</v>
      </c>
      <c r="AL203" s="343"/>
      <c r="AM203" s="343">
        <v>0</v>
      </c>
      <c r="AN203" s="248">
        <v>0</v>
      </c>
      <c r="AO203" s="343">
        <v>0</v>
      </c>
      <c r="AP203" s="343">
        <v>0</v>
      </c>
      <c r="AQ203" s="248">
        <v>0</v>
      </c>
      <c r="AR203" s="343">
        <v>0</v>
      </c>
      <c r="AS203" s="343"/>
      <c r="AT203" s="343">
        <v>0</v>
      </c>
      <c r="AU203" s="343">
        <v>0</v>
      </c>
      <c r="AV203" s="343">
        <v>0</v>
      </c>
      <c r="AW203" s="343">
        <v>0</v>
      </c>
      <c r="AX203" s="343">
        <v>0</v>
      </c>
      <c r="AY203" s="343">
        <v>0</v>
      </c>
      <c r="AZ203" s="343"/>
      <c r="BA203" s="343"/>
      <c r="BB203" s="343">
        <v>21240</v>
      </c>
      <c r="BC203" s="343"/>
      <c r="BD203" s="343"/>
      <c r="BE203" s="343"/>
      <c r="BF203" s="222">
        <f t="shared" si="51"/>
        <v>21240</v>
      </c>
      <c r="BG203" s="896">
        <f t="shared" si="76"/>
        <v>1</v>
      </c>
      <c r="BH203" s="896">
        <f t="shared" si="77"/>
        <v>21240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96">
        <f t="shared" si="80"/>
        <v>0</v>
      </c>
      <c r="V204" s="997"/>
      <c r="W204" s="254"/>
      <c r="X204" s="254"/>
      <c r="Y204" s="983" t="str">
        <f t="shared" si="67"/>
        <v>551FS47SILO</v>
      </c>
      <c r="Z204" s="938">
        <v>31410847</v>
      </c>
      <c r="AA204" s="248">
        <v>0</v>
      </c>
      <c r="AB204" s="343">
        <v>0</v>
      </c>
      <c r="AC204" s="343">
        <v>0</v>
      </c>
      <c r="AD204" s="343">
        <v>0</v>
      </c>
      <c r="AE204" s="343"/>
      <c r="AF204" s="343">
        <v>0</v>
      </c>
      <c r="AG204" s="343">
        <v>0</v>
      </c>
      <c r="AH204" s="343">
        <v>0</v>
      </c>
      <c r="AI204" s="343">
        <v>0</v>
      </c>
      <c r="AJ204" s="343">
        <v>0</v>
      </c>
      <c r="AK204" s="343">
        <v>0</v>
      </c>
      <c r="AL204" s="343"/>
      <c r="AM204" s="343">
        <v>0</v>
      </c>
      <c r="AN204" s="248">
        <v>0</v>
      </c>
      <c r="AO204" s="343">
        <v>0</v>
      </c>
      <c r="AP204" s="343">
        <v>0</v>
      </c>
      <c r="AQ204" s="248">
        <v>0</v>
      </c>
      <c r="AR204" s="343">
        <v>0</v>
      </c>
      <c r="AS204" s="343"/>
      <c r="AT204" s="343">
        <v>0</v>
      </c>
      <c r="AU204" s="343">
        <v>0</v>
      </c>
      <c r="AV204" s="343">
        <v>0</v>
      </c>
      <c r="AW204" s="343">
        <v>0</v>
      </c>
      <c r="AX204" s="343">
        <v>0</v>
      </c>
      <c r="AY204" s="343">
        <v>0</v>
      </c>
      <c r="AZ204" s="343"/>
      <c r="BA204" s="343"/>
      <c r="BB204" s="343">
        <v>0</v>
      </c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96">
        <f t="shared" si="80"/>
        <v>0</v>
      </c>
      <c r="V205" s="997"/>
      <c r="W205" s="254"/>
      <c r="X205" s="254"/>
      <c r="Y205" s="983" t="str">
        <f t="shared" si="67"/>
        <v>551FS48SILO</v>
      </c>
      <c r="Z205" s="938">
        <v>31410848</v>
      </c>
      <c r="AA205" s="248">
        <v>0</v>
      </c>
      <c r="AB205" s="343">
        <v>0</v>
      </c>
      <c r="AC205" s="343">
        <v>0</v>
      </c>
      <c r="AD205" s="343">
        <v>0</v>
      </c>
      <c r="AE205" s="343"/>
      <c r="AF205" s="343">
        <v>0</v>
      </c>
      <c r="AG205" s="343">
        <v>0</v>
      </c>
      <c r="AH205" s="343">
        <v>0</v>
      </c>
      <c r="AI205" s="343">
        <v>0</v>
      </c>
      <c r="AJ205" s="343">
        <v>0</v>
      </c>
      <c r="AK205" s="343">
        <v>0</v>
      </c>
      <c r="AL205" s="343"/>
      <c r="AM205" s="343">
        <v>0</v>
      </c>
      <c r="AN205" s="248">
        <v>0</v>
      </c>
      <c r="AO205" s="343">
        <v>0</v>
      </c>
      <c r="AP205" s="343">
        <v>0</v>
      </c>
      <c r="AQ205" s="248">
        <v>0</v>
      </c>
      <c r="AR205" s="343">
        <v>0</v>
      </c>
      <c r="AS205" s="343"/>
      <c r="AT205" s="343">
        <v>0</v>
      </c>
      <c r="AU205" s="343">
        <v>0</v>
      </c>
      <c r="AV205" s="343">
        <v>0</v>
      </c>
      <c r="AW205" s="343">
        <v>0</v>
      </c>
      <c r="AX205" s="343">
        <v>0</v>
      </c>
      <c r="AY205" s="343">
        <v>0</v>
      </c>
      <c r="AZ205" s="343"/>
      <c r="BA205" s="343"/>
      <c r="BB205" s="343">
        <v>0</v>
      </c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96">
        <f t="shared" si="80"/>
        <v>0</v>
      </c>
      <c r="V206" s="997"/>
      <c r="W206" s="254"/>
      <c r="X206" s="254"/>
      <c r="Y206" s="983" t="str">
        <f t="shared" si="67"/>
        <v>551FS52SILO</v>
      </c>
      <c r="Z206" s="938">
        <v>31410852</v>
      </c>
      <c r="AA206" s="248">
        <v>0</v>
      </c>
      <c r="AB206" s="343">
        <v>0</v>
      </c>
      <c r="AC206" s="343">
        <v>0</v>
      </c>
      <c r="AD206" s="343">
        <v>0</v>
      </c>
      <c r="AE206" s="343"/>
      <c r="AF206" s="343">
        <v>0</v>
      </c>
      <c r="AG206" s="343">
        <v>0</v>
      </c>
      <c r="AH206" s="343">
        <v>0</v>
      </c>
      <c r="AI206" s="343">
        <v>0</v>
      </c>
      <c r="AJ206" s="343">
        <v>0</v>
      </c>
      <c r="AK206" s="343">
        <v>0</v>
      </c>
      <c r="AL206" s="343"/>
      <c r="AM206" s="343">
        <v>0</v>
      </c>
      <c r="AN206" s="248">
        <v>0</v>
      </c>
      <c r="AO206" s="343">
        <v>0</v>
      </c>
      <c r="AP206" s="343">
        <v>0</v>
      </c>
      <c r="AQ206" s="248">
        <v>0</v>
      </c>
      <c r="AR206" s="343">
        <v>0</v>
      </c>
      <c r="AS206" s="343"/>
      <c r="AT206" s="343">
        <v>0</v>
      </c>
      <c r="AU206" s="343">
        <v>0</v>
      </c>
      <c r="AV206" s="343">
        <v>0</v>
      </c>
      <c r="AW206" s="343">
        <v>0</v>
      </c>
      <c r="AX206" s="343">
        <v>0</v>
      </c>
      <c r="AY206" s="343">
        <v>0</v>
      </c>
      <c r="AZ206" s="343"/>
      <c r="BA206" s="343"/>
      <c r="BB206" s="343">
        <v>0</v>
      </c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96">
        <f t="shared" si="80"/>
        <v>0</v>
      </c>
      <c r="V207" s="997"/>
      <c r="W207" s="254"/>
      <c r="X207" s="254"/>
      <c r="Y207" s="983" t="str">
        <f t="shared" si="67"/>
        <v>551GPFSILO</v>
      </c>
      <c r="Z207" s="938" t="s">
        <v>775</v>
      </c>
      <c r="AA207" s="248">
        <v>0</v>
      </c>
      <c r="AB207" s="343">
        <v>0</v>
      </c>
      <c r="AC207" s="343">
        <v>0</v>
      </c>
      <c r="AD207" s="343">
        <v>0</v>
      </c>
      <c r="AE207" s="343"/>
      <c r="AF207" s="343">
        <v>0</v>
      </c>
      <c r="AG207" s="343">
        <v>0</v>
      </c>
      <c r="AH207" s="343">
        <v>0</v>
      </c>
      <c r="AI207" s="343">
        <v>0</v>
      </c>
      <c r="AJ207" s="343">
        <v>0</v>
      </c>
      <c r="AK207" s="343">
        <v>0</v>
      </c>
      <c r="AL207" s="343"/>
      <c r="AM207" s="343">
        <v>0</v>
      </c>
      <c r="AN207" s="248">
        <v>0</v>
      </c>
      <c r="AO207" s="343">
        <v>0</v>
      </c>
      <c r="AP207" s="343">
        <v>0</v>
      </c>
      <c r="AQ207" s="248">
        <v>0</v>
      </c>
      <c r="AR207" s="343">
        <v>0</v>
      </c>
      <c r="AS207" s="343"/>
      <c r="AT207" s="343">
        <v>0</v>
      </c>
      <c r="AU207" s="343">
        <v>0</v>
      </c>
      <c r="AV207" s="343">
        <v>0</v>
      </c>
      <c r="AW207" s="343">
        <v>0</v>
      </c>
      <c r="AX207" s="343">
        <v>0</v>
      </c>
      <c r="AY207" s="343">
        <v>0</v>
      </c>
      <c r="AZ207" s="343"/>
      <c r="BA207" s="343"/>
      <c r="BB207" s="343">
        <v>0</v>
      </c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96">
        <f t="shared" si="80"/>
        <v>0</v>
      </c>
      <c r="V208" s="997"/>
      <c r="W208" s="254"/>
      <c r="X208" s="254"/>
      <c r="Y208" s="983" t="str">
        <f t="shared" si="67"/>
        <v>551GPFBigbag</v>
      </c>
      <c r="Z208" s="938">
        <v>314111</v>
      </c>
      <c r="AA208" s="248">
        <v>0</v>
      </c>
      <c r="AB208" s="343">
        <v>0</v>
      </c>
      <c r="AC208" s="343">
        <v>0</v>
      </c>
      <c r="AD208" s="343">
        <v>0</v>
      </c>
      <c r="AE208" s="343"/>
      <c r="AF208" s="343">
        <v>0</v>
      </c>
      <c r="AG208" s="343">
        <v>0</v>
      </c>
      <c r="AH208" s="343">
        <v>0</v>
      </c>
      <c r="AI208" s="343">
        <v>0</v>
      </c>
      <c r="AJ208" s="343">
        <v>0</v>
      </c>
      <c r="AK208" s="343">
        <v>0</v>
      </c>
      <c r="AL208" s="343"/>
      <c r="AM208" s="343">
        <v>0</v>
      </c>
      <c r="AN208" s="248">
        <v>0</v>
      </c>
      <c r="AO208" s="343">
        <v>0</v>
      </c>
      <c r="AP208" s="343">
        <v>0</v>
      </c>
      <c r="AQ208" s="248">
        <v>0</v>
      </c>
      <c r="AR208" s="343">
        <v>0</v>
      </c>
      <c r="AS208" s="343"/>
      <c r="AT208" s="343">
        <v>0</v>
      </c>
      <c r="AU208" s="343">
        <v>0</v>
      </c>
      <c r="AV208" s="343">
        <v>0</v>
      </c>
      <c r="AW208" s="343">
        <v>0</v>
      </c>
      <c r="AX208" s="343">
        <v>0</v>
      </c>
      <c r="AY208" s="343">
        <v>0</v>
      </c>
      <c r="AZ208" s="343"/>
      <c r="BA208" s="343"/>
      <c r="BB208" s="343">
        <v>0</v>
      </c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96">
        <f t="shared" si="80"/>
        <v>0</v>
      </c>
      <c r="V209" s="997"/>
      <c r="W209" s="254"/>
      <c r="X209" s="254"/>
      <c r="Y209" s="983" t="str">
        <f t="shared" si="67"/>
        <v>551GPFS10SILO</v>
      </c>
      <c r="Z209" s="938">
        <v>31411810</v>
      </c>
      <c r="AA209" s="248">
        <v>0</v>
      </c>
      <c r="AB209" s="343">
        <v>0</v>
      </c>
      <c r="AC209" s="343">
        <v>0</v>
      </c>
      <c r="AD209" s="343">
        <v>0</v>
      </c>
      <c r="AE209" s="343"/>
      <c r="AF209" s="343">
        <v>0</v>
      </c>
      <c r="AG209" s="343">
        <v>0</v>
      </c>
      <c r="AH209" s="343">
        <v>0</v>
      </c>
      <c r="AI209" s="343">
        <v>0</v>
      </c>
      <c r="AJ209" s="343">
        <v>0</v>
      </c>
      <c r="AK209" s="343">
        <v>0</v>
      </c>
      <c r="AL209" s="343"/>
      <c r="AM209" s="343">
        <v>0</v>
      </c>
      <c r="AN209" s="248">
        <v>0</v>
      </c>
      <c r="AO209" s="343">
        <v>0</v>
      </c>
      <c r="AP209" s="343">
        <v>0</v>
      </c>
      <c r="AQ209" s="248">
        <v>0</v>
      </c>
      <c r="AR209" s="343">
        <v>0</v>
      </c>
      <c r="AS209" s="343"/>
      <c r="AT209" s="343">
        <v>0</v>
      </c>
      <c r="AU209" s="343">
        <v>0</v>
      </c>
      <c r="AV209" s="343">
        <v>0</v>
      </c>
      <c r="AW209" s="343">
        <v>0</v>
      </c>
      <c r="AX209" s="343">
        <v>0</v>
      </c>
      <c r="AY209" s="343">
        <v>0</v>
      </c>
      <c r="AZ209" s="343"/>
      <c r="BA209" s="343"/>
      <c r="BB209" s="343">
        <v>0</v>
      </c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96">
        <f t="shared" si="80"/>
        <v>0</v>
      </c>
      <c r="V210" s="997"/>
      <c r="W210" s="254"/>
      <c r="X210" s="254"/>
      <c r="Y210" s="983" t="str">
        <f t="shared" si="67"/>
        <v>551GPFS11SILO</v>
      </c>
      <c r="Z210" s="938">
        <v>31411811</v>
      </c>
      <c r="AA210" s="248">
        <v>0</v>
      </c>
      <c r="AB210" s="343">
        <v>0</v>
      </c>
      <c r="AC210" s="343">
        <v>0</v>
      </c>
      <c r="AD210" s="343">
        <v>0</v>
      </c>
      <c r="AE210" s="343"/>
      <c r="AF210" s="343">
        <v>0</v>
      </c>
      <c r="AG210" s="343">
        <v>0</v>
      </c>
      <c r="AH210" s="343">
        <v>0</v>
      </c>
      <c r="AI210" s="343">
        <v>0</v>
      </c>
      <c r="AJ210" s="343">
        <v>0</v>
      </c>
      <c r="AK210" s="343">
        <v>0</v>
      </c>
      <c r="AL210" s="343"/>
      <c r="AM210" s="343">
        <v>0</v>
      </c>
      <c r="AN210" s="248">
        <v>0</v>
      </c>
      <c r="AO210" s="343">
        <v>0</v>
      </c>
      <c r="AP210" s="343">
        <v>0</v>
      </c>
      <c r="AQ210" s="248">
        <v>0</v>
      </c>
      <c r="AR210" s="343">
        <v>0</v>
      </c>
      <c r="AS210" s="343"/>
      <c r="AT210" s="343">
        <v>0</v>
      </c>
      <c r="AU210" s="343">
        <v>0</v>
      </c>
      <c r="AV210" s="343">
        <v>0</v>
      </c>
      <c r="AW210" s="343">
        <v>0</v>
      </c>
      <c r="AX210" s="343">
        <v>0</v>
      </c>
      <c r="AY210" s="343">
        <v>0</v>
      </c>
      <c r="AZ210" s="343"/>
      <c r="BA210" s="343"/>
      <c r="BB210" s="343">
        <v>0</v>
      </c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0</v>
      </c>
      <c r="R211" s="222"/>
      <c r="S211" s="222"/>
      <c r="T211" s="363">
        <f t="shared" si="75"/>
        <v>0</v>
      </c>
      <c r="U211" s="996">
        <f t="shared" si="80"/>
        <v>0</v>
      </c>
      <c r="V211" s="997"/>
      <c r="W211" s="254"/>
      <c r="X211" s="254"/>
      <c r="Y211" s="983" t="str">
        <f>B211&amp;D211</f>
        <v>551GPFS13SILO</v>
      </c>
      <c r="Z211" s="938">
        <v>31411813</v>
      </c>
      <c r="AA211" s="248">
        <v>0</v>
      </c>
      <c r="AB211" s="343">
        <v>0</v>
      </c>
      <c r="AC211" s="343">
        <v>0</v>
      </c>
      <c r="AD211" s="343">
        <v>0</v>
      </c>
      <c r="AE211" s="343"/>
      <c r="AF211" s="343">
        <v>0</v>
      </c>
      <c r="AG211" s="343">
        <v>0</v>
      </c>
      <c r="AH211" s="343">
        <v>0</v>
      </c>
      <c r="AI211" s="343">
        <v>0</v>
      </c>
      <c r="AJ211" s="343">
        <v>0</v>
      </c>
      <c r="AK211" s="343">
        <v>0</v>
      </c>
      <c r="AL211" s="343"/>
      <c r="AM211" s="343">
        <v>0</v>
      </c>
      <c r="AN211" s="248">
        <v>0</v>
      </c>
      <c r="AO211" s="343">
        <v>0</v>
      </c>
      <c r="AP211" s="343">
        <v>0</v>
      </c>
      <c r="AQ211" s="248">
        <v>0</v>
      </c>
      <c r="AR211" s="343">
        <v>0</v>
      </c>
      <c r="AS211" s="343"/>
      <c r="AT211" s="343">
        <v>0</v>
      </c>
      <c r="AU211" s="343">
        <v>0</v>
      </c>
      <c r="AV211" s="343">
        <v>0</v>
      </c>
      <c r="AW211" s="343">
        <v>0</v>
      </c>
      <c r="AX211" s="343">
        <v>0</v>
      </c>
      <c r="AY211" s="343">
        <v>0</v>
      </c>
      <c r="AZ211" s="343"/>
      <c r="BA211" s="343"/>
      <c r="BB211" s="343">
        <v>0</v>
      </c>
      <c r="BC211" s="343"/>
      <c r="BD211" s="343"/>
      <c r="BE211" s="343"/>
      <c r="BF211" s="222">
        <f t="shared" si="51"/>
        <v>0</v>
      </c>
      <c r="BG211" s="896">
        <f t="shared" si="76"/>
        <v>0</v>
      </c>
      <c r="BH211" s="896">
        <f t="shared" si="77"/>
        <v>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5940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5940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106170</v>
      </c>
      <c r="R212" s="222"/>
      <c r="S212" s="222"/>
      <c r="T212" s="363">
        <f t="shared" si="75"/>
        <v>4616.086956521739</v>
      </c>
      <c r="U212" s="996">
        <f t="shared" si="80"/>
        <v>0</v>
      </c>
      <c r="V212" s="997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>
        <v>0</v>
      </c>
      <c r="AB212" s="343">
        <v>0</v>
      </c>
      <c r="AC212" s="343">
        <v>0</v>
      </c>
      <c r="AD212" s="343">
        <v>28280</v>
      </c>
      <c r="AE212" s="343"/>
      <c r="AF212" s="343">
        <v>0</v>
      </c>
      <c r="AG212" s="343">
        <v>0</v>
      </c>
      <c r="AH212" s="343">
        <v>0</v>
      </c>
      <c r="AI212" s="343">
        <v>0</v>
      </c>
      <c r="AJ212" s="343">
        <v>26020</v>
      </c>
      <c r="AK212" s="343">
        <v>0</v>
      </c>
      <c r="AL212" s="343"/>
      <c r="AM212" s="343">
        <v>14200</v>
      </c>
      <c r="AN212" s="248">
        <v>0</v>
      </c>
      <c r="AO212" s="343">
        <v>0</v>
      </c>
      <c r="AP212" s="343">
        <v>11950</v>
      </c>
      <c r="AQ212" s="248">
        <v>0</v>
      </c>
      <c r="AR212" s="343">
        <v>0</v>
      </c>
      <c r="AS212" s="343"/>
      <c r="AT212" s="343">
        <v>0</v>
      </c>
      <c r="AU212" s="343">
        <v>0</v>
      </c>
      <c r="AV212" s="343">
        <v>7900</v>
      </c>
      <c r="AW212" s="343">
        <v>11880</v>
      </c>
      <c r="AX212" s="343">
        <v>0</v>
      </c>
      <c r="AY212" s="343">
        <v>0</v>
      </c>
      <c r="AZ212" s="343"/>
      <c r="BA212" s="343"/>
      <c r="BB212" s="343">
        <v>5940</v>
      </c>
      <c r="BC212" s="343"/>
      <c r="BD212" s="343"/>
      <c r="BE212" s="343"/>
      <c r="BF212" s="222">
        <f t="shared" ref="BF212:BF260" si="82">SUM(AA212:BE212)</f>
        <v>106170</v>
      </c>
      <c r="BG212" s="896">
        <f t="shared" si="76"/>
        <v>7</v>
      </c>
      <c r="BH212" s="896">
        <f t="shared" si="77"/>
        <v>15167.142857142857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96">
        <f t="shared" si="80"/>
        <v>0</v>
      </c>
      <c r="V213" s="997"/>
      <c r="W213" s="254"/>
      <c r="X213" s="254"/>
      <c r="Y213" s="983" t="str">
        <f t="shared" si="81"/>
        <v>551GPFS47SILO</v>
      </c>
      <c r="Z213" s="938">
        <v>31411847</v>
      </c>
      <c r="AA213" s="248">
        <v>0</v>
      </c>
      <c r="AB213" s="343">
        <v>0</v>
      </c>
      <c r="AC213" s="343">
        <v>0</v>
      </c>
      <c r="AD213" s="343">
        <v>0</v>
      </c>
      <c r="AE213" s="343"/>
      <c r="AF213" s="343">
        <v>0</v>
      </c>
      <c r="AG213" s="343">
        <v>0</v>
      </c>
      <c r="AH213" s="343">
        <v>0</v>
      </c>
      <c r="AI213" s="343">
        <v>0</v>
      </c>
      <c r="AJ213" s="343">
        <v>0</v>
      </c>
      <c r="AK213" s="343">
        <v>0</v>
      </c>
      <c r="AL213" s="343"/>
      <c r="AM213" s="343">
        <v>0</v>
      </c>
      <c r="AN213" s="248">
        <v>0</v>
      </c>
      <c r="AO213" s="343">
        <v>0</v>
      </c>
      <c r="AP213" s="343">
        <v>0</v>
      </c>
      <c r="AQ213" s="248">
        <v>0</v>
      </c>
      <c r="AR213" s="343">
        <v>0</v>
      </c>
      <c r="AS213" s="343"/>
      <c r="AT213" s="343">
        <v>0</v>
      </c>
      <c r="AU213" s="343">
        <v>0</v>
      </c>
      <c r="AV213" s="343">
        <v>0</v>
      </c>
      <c r="AW213" s="343">
        <v>0</v>
      </c>
      <c r="AX213" s="343">
        <v>0</v>
      </c>
      <c r="AY213" s="343">
        <v>0</v>
      </c>
      <c r="AZ213" s="343"/>
      <c r="BA213" s="343"/>
      <c r="BB213" s="343">
        <v>0</v>
      </c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96">
        <f t="shared" si="80"/>
        <v>0</v>
      </c>
      <c r="V214" s="997"/>
      <c r="W214" s="254"/>
      <c r="X214" s="254"/>
      <c r="Y214" s="983" t="str">
        <f t="shared" si="81"/>
        <v>551GPFS48SILO</v>
      </c>
      <c r="Z214" s="938">
        <v>31411848</v>
      </c>
      <c r="AA214" s="248">
        <v>0</v>
      </c>
      <c r="AB214" s="343">
        <v>0</v>
      </c>
      <c r="AC214" s="343">
        <v>0</v>
      </c>
      <c r="AD214" s="343">
        <v>0</v>
      </c>
      <c r="AE214" s="343"/>
      <c r="AF214" s="343">
        <v>0</v>
      </c>
      <c r="AG214" s="343">
        <v>0</v>
      </c>
      <c r="AH214" s="343">
        <v>0</v>
      </c>
      <c r="AI214" s="343">
        <v>0</v>
      </c>
      <c r="AJ214" s="343">
        <v>0</v>
      </c>
      <c r="AK214" s="343">
        <v>0</v>
      </c>
      <c r="AL214" s="343"/>
      <c r="AM214" s="343">
        <v>0</v>
      </c>
      <c r="AN214" s="248">
        <v>0</v>
      </c>
      <c r="AO214" s="343">
        <v>0</v>
      </c>
      <c r="AP214" s="343">
        <v>0</v>
      </c>
      <c r="AQ214" s="248">
        <v>0</v>
      </c>
      <c r="AR214" s="343">
        <v>0</v>
      </c>
      <c r="AS214" s="343"/>
      <c r="AT214" s="343">
        <v>0</v>
      </c>
      <c r="AU214" s="343">
        <v>0</v>
      </c>
      <c r="AV214" s="343">
        <v>0</v>
      </c>
      <c r="AW214" s="343">
        <v>0</v>
      </c>
      <c r="AX214" s="343">
        <v>0</v>
      </c>
      <c r="AY214" s="343">
        <v>0</v>
      </c>
      <c r="AZ214" s="343"/>
      <c r="BA214" s="343"/>
      <c r="BB214" s="343">
        <v>0</v>
      </c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96">
        <f t="shared" si="80"/>
        <v>0</v>
      </c>
      <c r="V215" s="997"/>
      <c r="W215" s="254"/>
      <c r="X215" s="254"/>
      <c r="Y215" s="983" t="str">
        <f>B215&amp;D215</f>
        <v>551GPFS52SILO</v>
      </c>
      <c r="Z215" s="938">
        <v>31411852</v>
      </c>
      <c r="AA215" s="248">
        <v>0</v>
      </c>
      <c r="AB215" s="343">
        <v>0</v>
      </c>
      <c r="AC215" s="343">
        <v>0</v>
      </c>
      <c r="AD215" s="343">
        <v>0</v>
      </c>
      <c r="AE215" s="343"/>
      <c r="AF215" s="343">
        <v>0</v>
      </c>
      <c r="AG215" s="343">
        <v>0</v>
      </c>
      <c r="AH215" s="343">
        <v>0</v>
      </c>
      <c r="AI215" s="343">
        <v>0</v>
      </c>
      <c r="AJ215" s="343">
        <v>0</v>
      </c>
      <c r="AK215" s="343">
        <v>0</v>
      </c>
      <c r="AL215" s="343"/>
      <c r="AM215" s="343">
        <v>0</v>
      </c>
      <c r="AN215" s="248">
        <v>0</v>
      </c>
      <c r="AO215" s="343">
        <v>0</v>
      </c>
      <c r="AP215" s="343">
        <v>0</v>
      </c>
      <c r="AQ215" s="248">
        <v>0</v>
      </c>
      <c r="AR215" s="343">
        <v>0</v>
      </c>
      <c r="AS215" s="343"/>
      <c r="AT215" s="343">
        <v>0</v>
      </c>
      <c r="AU215" s="343">
        <v>0</v>
      </c>
      <c r="AV215" s="343">
        <v>0</v>
      </c>
      <c r="AW215" s="343">
        <v>0</v>
      </c>
      <c r="AX215" s="343">
        <v>0</v>
      </c>
      <c r="AY215" s="343">
        <v>0</v>
      </c>
      <c r="AZ215" s="343"/>
      <c r="BA215" s="343"/>
      <c r="BB215" s="343">
        <v>0</v>
      </c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2612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46220</v>
      </c>
      <c r="R216" s="222"/>
      <c r="S216" s="222"/>
      <c r="T216" s="363">
        <f t="shared" ref="T216:T247" si="83">Q216/$N$293</f>
        <v>2009.5652173913043</v>
      </c>
      <c r="U216" s="996">
        <f t="shared" si="80"/>
        <v>0</v>
      </c>
      <c r="V216" s="997"/>
      <c r="W216" s="254"/>
      <c r="X216" s="254"/>
      <c r="Y216" s="983" t="str">
        <f t="shared" si="81"/>
        <v>551GPFS31SILO</v>
      </c>
      <c r="Z216" s="938">
        <v>31411831</v>
      </c>
      <c r="AA216" s="248">
        <v>0</v>
      </c>
      <c r="AB216" s="343">
        <v>0</v>
      </c>
      <c r="AC216" s="343">
        <v>0</v>
      </c>
      <c r="AD216" s="343">
        <v>4850</v>
      </c>
      <c r="AE216" s="343"/>
      <c r="AF216" s="343">
        <v>0</v>
      </c>
      <c r="AG216" s="343">
        <v>0</v>
      </c>
      <c r="AH216" s="343">
        <v>0</v>
      </c>
      <c r="AI216" s="343">
        <v>0</v>
      </c>
      <c r="AJ216" s="343">
        <v>9540</v>
      </c>
      <c r="AK216" s="343">
        <v>0</v>
      </c>
      <c r="AL216" s="343"/>
      <c r="AM216" s="343">
        <v>12330</v>
      </c>
      <c r="AN216" s="248">
        <v>0</v>
      </c>
      <c r="AO216" s="343">
        <v>0</v>
      </c>
      <c r="AP216" s="343">
        <v>0</v>
      </c>
      <c r="AQ216" s="248">
        <v>0</v>
      </c>
      <c r="AR216" s="343">
        <v>0</v>
      </c>
      <c r="AS216" s="343"/>
      <c r="AT216" s="343">
        <v>0</v>
      </c>
      <c r="AU216" s="343">
        <v>5000</v>
      </c>
      <c r="AV216" s="343">
        <v>0</v>
      </c>
      <c r="AW216" s="343">
        <v>14500</v>
      </c>
      <c r="AX216" s="343">
        <v>0</v>
      </c>
      <c r="AY216" s="343">
        <v>0</v>
      </c>
      <c r="AZ216" s="343"/>
      <c r="BA216" s="343"/>
      <c r="BB216" s="343">
        <v>0</v>
      </c>
      <c r="BC216" s="343"/>
      <c r="BD216" s="343"/>
      <c r="BE216" s="343"/>
      <c r="BF216" s="222">
        <f t="shared" si="82"/>
        <v>46220</v>
      </c>
      <c r="BG216" s="896">
        <f t="shared" si="76"/>
        <v>5</v>
      </c>
      <c r="BH216" s="896">
        <f t="shared" si="77"/>
        <v>9244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52100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52100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2698120</v>
      </c>
      <c r="R217" s="222"/>
      <c r="S217" s="222"/>
      <c r="T217" s="363">
        <f t="shared" si="83"/>
        <v>117309.56521739131</v>
      </c>
      <c r="U217" s="996">
        <f t="shared" si="80"/>
        <v>0</v>
      </c>
      <c r="V217" s="997"/>
      <c r="W217" s="254"/>
      <c r="X217" s="254"/>
      <c r="Y217" s="983" t="str">
        <f t="shared" si="81"/>
        <v>552SFSILO</v>
      </c>
      <c r="Z217" s="938" t="s">
        <v>783</v>
      </c>
      <c r="AA217" s="418">
        <v>0</v>
      </c>
      <c r="AB217" s="343">
        <v>0</v>
      </c>
      <c r="AC217" s="343">
        <v>0</v>
      </c>
      <c r="AD217" s="343">
        <v>0</v>
      </c>
      <c r="AE217" s="343"/>
      <c r="AF217" s="343">
        <v>320440</v>
      </c>
      <c r="AG217" s="343">
        <v>276800</v>
      </c>
      <c r="AH217" s="343">
        <v>222580</v>
      </c>
      <c r="AI217" s="343">
        <v>248410</v>
      </c>
      <c r="AJ217" s="343">
        <v>275200</v>
      </c>
      <c r="AK217" s="343">
        <v>116110</v>
      </c>
      <c r="AL217" s="343"/>
      <c r="AM217" s="343">
        <v>0</v>
      </c>
      <c r="AN217" s="248">
        <v>0</v>
      </c>
      <c r="AO217" s="343">
        <v>0</v>
      </c>
      <c r="AP217" s="343">
        <v>0</v>
      </c>
      <c r="AQ217" s="248">
        <v>0</v>
      </c>
      <c r="AR217" s="343">
        <v>0</v>
      </c>
      <c r="AS217" s="343"/>
      <c r="AT217" s="343">
        <v>122850</v>
      </c>
      <c r="AU217" s="343">
        <v>222890</v>
      </c>
      <c r="AV217" s="343">
        <v>232610</v>
      </c>
      <c r="AW217" s="343">
        <v>256650</v>
      </c>
      <c r="AX217" s="343">
        <v>194820</v>
      </c>
      <c r="AY217" s="343">
        <v>156660</v>
      </c>
      <c r="AZ217" s="343"/>
      <c r="BA217" s="343"/>
      <c r="BB217" s="343">
        <v>52100</v>
      </c>
      <c r="BC217" s="343"/>
      <c r="BD217" s="343"/>
      <c r="BE217" s="343"/>
      <c r="BF217" s="222">
        <f t="shared" si="82"/>
        <v>2698120</v>
      </c>
      <c r="BG217" s="896">
        <f t="shared" si="76"/>
        <v>13</v>
      </c>
      <c r="BH217" s="896">
        <f t="shared" si="77"/>
        <v>207547.69230769231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96">
        <f t="shared" si="80"/>
        <v>0</v>
      </c>
      <c r="V218" s="997"/>
      <c r="W218" s="254"/>
      <c r="X218" s="254"/>
      <c r="Y218" s="983" t="str">
        <f t="shared" si="81"/>
        <v>552SFBigbag</v>
      </c>
      <c r="Z218" s="938" t="s">
        <v>783</v>
      </c>
      <c r="AA218" s="418">
        <v>0</v>
      </c>
      <c r="AB218" s="343">
        <v>0</v>
      </c>
      <c r="AC218" s="343">
        <v>0</v>
      </c>
      <c r="AD218" s="343">
        <v>0</v>
      </c>
      <c r="AE218" s="343"/>
      <c r="AF218" s="343">
        <v>0</v>
      </c>
      <c r="AG218" s="343">
        <v>0</v>
      </c>
      <c r="AH218" s="343">
        <v>0</v>
      </c>
      <c r="AI218" s="343">
        <v>0</v>
      </c>
      <c r="AJ218" s="343">
        <v>0</v>
      </c>
      <c r="AK218" s="343">
        <v>0</v>
      </c>
      <c r="AL218" s="343"/>
      <c r="AM218" s="343">
        <v>0</v>
      </c>
      <c r="AN218" s="248">
        <v>0</v>
      </c>
      <c r="AO218" s="343">
        <v>0</v>
      </c>
      <c r="AP218" s="343">
        <v>0</v>
      </c>
      <c r="AQ218" s="248">
        <v>0</v>
      </c>
      <c r="AR218" s="343">
        <v>0</v>
      </c>
      <c r="AS218" s="343"/>
      <c r="AT218" s="343">
        <v>0</v>
      </c>
      <c r="AU218" s="343">
        <v>0</v>
      </c>
      <c r="AV218" s="343">
        <v>0</v>
      </c>
      <c r="AW218" s="343">
        <v>0</v>
      </c>
      <c r="AX218" s="343">
        <v>0</v>
      </c>
      <c r="AY218" s="343">
        <v>0</v>
      </c>
      <c r="AZ218" s="343"/>
      <c r="BA218" s="343"/>
      <c r="BB218" s="343">
        <v>0</v>
      </c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96">
        <f t="shared" si="80"/>
        <v>0</v>
      </c>
      <c r="V219" s="997"/>
      <c r="W219" s="254"/>
      <c r="X219" s="254"/>
      <c r="Y219" s="983" t="str">
        <f t="shared" si="81"/>
        <v>552SFS31SILO</v>
      </c>
      <c r="Z219" s="938">
        <v>32010831</v>
      </c>
      <c r="AA219" s="248">
        <v>0</v>
      </c>
      <c r="AB219" s="343">
        <v>0</v>
      </c>
      <c r="AC219" s="343">
        <v>0</v>
      </c>
      <c r="AD219" s="343">
        <v>0</v>
      </c>
      <c r="AE219" s="343"/>
      <c r="AF219" s="343">
        <v>0</v>
      </c>
      <c r="AG219" s="343">
        <v>0</v>
      </c>
      <c r="AH219" s="343">
        <v>0</v>
      </c>
      <c r="AI219" s="343">
        <v>0</v>
      </c>
      <c r="AJ219" s="343">
        <v>0</v>
      </c>
      <c r="AK219" s="343">
        <v>0</v>
      </c>
      <c r="AL219" s="343"/>
      <c r="AM219" s="343">
        <v>0</v>
      </c>
      <c r="AN219" s="248">
        <v>0</v>
      </c>
      <c r="AO219" s="343">
        <v>0</v>
      </c>
      <c r="AP219" s="343">
        <v>0</v>
      </c>
      <c r="AQ219" s="248">
        <v>0</v>
      </c>
      <c r="AR219" s="343">
        <v>0</v>
      </c>
      <c r="AS219" s="343"/>
      <c r="AT219" s="343">
        <v>0</v>
      </c>
      <c r="AU219" s="343">
        <v>0</v>
      </c>
      <c r="AV219" s="343">
        <v>0</v>
      </c>
      <c r="AW219" s="343">
        <v>0</v>
      </c>
      <c r="AX219" s="343">
        <v>0</v>
      </c>
      <c r="AY219" s="343">
        <v>0</v>
      </c>
      <c r="AZ219" s="343"/>
      <c r="BA219" s="343"/>
      <c r="BB219" s="343">
        <v>0</v>
      </c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96">
        <f t="shared" si="80"/>
        <v>0</v>
      </c>
      <c r="V220" s="997"/>
      <c r="W220" s="254"/>
      <c r="X220" s="254"/>
      <c r="Y220" s="983" t="str">
        <f t="shared" si="81"/>
        <v>552SFS37SILO</v>
      </c>
      <c r="Z220" s="938">
        <v>32010837</v>
      </c>
      <c r="AA220" s="248">
        <v>0</v>
      </c>
      <c r="AB220" s="343">
        <v>0</v>
      </c>
      <c r="AC220" s="343">
        <v>0</v>
      </c>
      <c r="AD220" s="343">
        <v>0</v>
      </c>
      <c r="AE220" s="343"/>
      <c r="AF220" s="343">
        <v>0</v>
      </c>
      <c r="AG220" s="343">
        <v>0</v>
      </c>
      <c r="AH220" s="343">
        <v>0</v>
      </c>
      <c r="AI220" s="343">
        <v>0</v>
      </c>
      <c r="AJ220" s="343">
        <v>0</v>
      </c>
      <c r="AK220" s="343">
        <v>0</v>
      </c>
      <c r="AL220" s="343"/>
      <c r="AM220" s="343">
        <v>0</v>
      </c>
      <c r="AN220" s="248">
        <v>0</v>
      </c>
      <c r="AO220" s="343">
        <v>0</v>
      </c>
      <c r="AP220" s="343">
        <v>0</v>
      </c>
      <c r="AQ220" s="248">
        <v>0</v>
      </c>
      <c r="AR220" s="343">
        <v>0</v>
      </c>
      <c r="AS220" s="343"/>
      <c r="AT220" s="343">
        <v>0</v>
      </c>
      <c r="AU220" s="343">
        <v>0</v>
      </c>
      <c r="AV220" s="343">
        <v>0</v>
      </c>
      <c r="AW220" s="343">
        <v>0</v>
      </c>
      <c r="AX220" s="343">
        <v>0</v>
      </c>
      <c r="AY220" s="343">
        <v>0</v>
      </c>
      <c r="AZ220" s="343"/>
      <c r="BA220" s="343"/>
      <c r="BB220" s="343">
        <v>0</v>
      </c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96">
        <f>IF(T221=0,0,P221/T221)</f>
        <v>0</v>
      </c>
      <c r="V221" s="997"/>
      <c r="W221" s="254"/>
      <c r="X221" s="254"/>
      <c r="Y221" s="983" t="str">
        <f t="shared" si="81"/>
        <v>552SFS73SILO</v>
      </c>
      <c r="Z221" s="938">
        <v>32010873</v>
      </c>
      <c r="AA221" s="248">
        <v>0</v>
      </c>
      <c r="AB221" s="343">
        <v>0</v>
      </c>
      <c r="AC221" s="343">
        <v>0</v>
      </c>
      <c r="AD221" s="343">
        <v>0</v>
      </c>
      <c r="AE221" s="343"/>
      <c r="AF221" s="343">
        <v>0</v>
      </c>
      <c r="AG221" s="343">
        <v>0</v>
      </c>
      <c r="AH221" s="343">
        <v>0</v>
      </c>
      <c r="AI221" s="343">
        <v>0</v>
      </c>
      <c r="AJ221" s="343">
        <v>0</v>
      </c>
      <c r="AK221" s="343">
        <v>0</v>
      </c>
      <c r="AL221" s="343"/>
      <c r="AM221" s="343">
        <v>0</v>
      </c>
      <c r="AN221" s="248">
        <v>0</v>
      </c>
      <c r="AO221" s="343">
        <v>0</v>
      </c>
      <c r="AP221" s="343">
        <v>0</v>
      </c>
      <c r="AQ221" s="248">
        <v>0</v>
      </c>
      <c r="AR221" s="343">
        <v>0</v>
      </c>
      <c r="AS221" s="343"/>
      <c r="AT221" s="343">
        <v>0</v>
      </c>
      <c r="AU221" s="343">
        <v>0</v>
      </c>
      <c r="AV221" s="343">
        <v>0</v>
      </c>
      <c r="AW221" s="343">
        <v>0</v>
      </c>
      <c r="AX221" s="343">
        <v>0</v>
      </c>
      <c r="AY221" s="343">
        <v>0</v>
      </c>
      <c r="AZ221" s="343"/>
      <c r="BA221" s="343"/>
      <c r="BB221" s="343">
        <v>0</v>
      </c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126500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126500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2416950</v>
      </c>
      <c r="R222" s="222"/>
      <c r="S222" s="222"/>
      <c r="T222" s="363">
        <f t="shared" si="83"/>
        <v>105084.78260869565</v>
      </c>
      <c r="U222" s="996">
        <f t="shared" si="80"/>
        <v>0</v>
      </c>
      <c r="V222" s="997"/>
      <c r="W222" s="254"/>
      <c r="X222" s="254"/>
      <c r="Y222" s="983" t="str">
        <f t="shared" si="81"/>
        <v>552SFS90SILO</v>
      </c>
      <c r="Z222" s="938">
        <v>32010890</v>
      </c>
      <c r="AA222" s="248">
        <v>267240</v>
      </c>
      <c r="AB222" s="343">
        <v>285000</v>
      </c>
      <c r="AC222" s="343">
        <v>341950</v>
      </c>
      <c r="AD222" s="343">
        <v>204140</v>
      </c>
      <c r="AE222" s="343"/>
      <c r="AF222" s="343">
        <v>0</v>
      </c>
      <c r="AG222" s="343">
        <v>0</v>
      </c>
      <c r="AH222" s="343">
        <v>0</v>
      </c>
      <c r="AI222" s="343">
        <v>0</v>
      </c>
      <c r="AJ222" s="343">
        <v>0</v>
      </c>
      <c r="AK222" s="343">
        <v>0</v>
      </c>
      <c r="AL222" s="343"/>
      <c r="AM222" s="343">
        <v>151020</v>
      </c>
      <c r="AN222" s="248">
        <v>142870</v>
      </c>
      <c r="AO222" s="343">
        <v>370740</v>
      </c>
      <c r="AP222" s="343">
        <v>168440</v>
      </c>
      <c r="AQ222" s="248">
        <v>202570</v>
      </c>
      <c r="AR222" s="343">
        <v>139380</v>
      </c>
      <c r="AS222" s="343"/>
      <c r="AT222" s="343">
        <v>17100</v>
      </c>
      <c r="AU222" s="343">
        <v>0</v>
      </c>
      <c r="AV222" s="343">
        <v>0</v>
      </c>
      <c r="AW222" s="343">
        <v>0</v>
      </c>
      <c r="AX222" s="343">
        <v>0</v>
      </c>
      <c r="AY222" s="343">
        <v>0</v>
      </c>
      <c r="AZ222" s="343"/>
      <c r="BA222" s="343"/>
      <c r="BB222" s="343">
        <v>126500</v>
      </c>
      <c r="BC222" s="343"/>
      <c r="BD222" s="343"/>
      <c r="BE222" s="343"/>
      <c r="BF222" s="222">
        <f t="shared" si="82"/>
        <v>2416950</v>
      </c>
      <c r="BG222" s="896">
        <f t="shared" si="76"/>
        <v>12</v>
      </c>
      <c r="BH222" s="896">
        <f t="shared" si="77"/>
        <v>201412.5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35570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35570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1267050</v>
      </c>
      <c r="R223" s="222"/>
      <c r="S223" s="222"/>
      <c r="T223" s="363">
        <f t="shared" si="83"/>
        <v>55089.130434782608</v>
      </c>
      <c r="U223" s="996">
        <f t="shared" si="80"/>
        <v>0</v>
      </c>
      <c r="V223" s="997"/>
      <c r="W223" s="254"/>
      <c r="X223" s="254"/>
      <c r="Y223" s="983" t="str">
        <f t="shared" si="81"/>
        <v>552FSILO</v>
      </c>
      <c r="Z223" s="938">
        <v>321101</v>
      </c>
      <c r="AA223" s="248">
        <v>0</v>
      </c>
      <c r="AB223" s="343">
        <v>0</v>
      </c>
      <c r="AC223" s="343">
        <v>0</v>
      </c>
      <c r="AD223" s="343">
        <v>23550</v>
      </c>
      <c r="AE223" s="343"/>
      <c r="AF223" s="343">
        <v>30070</v>
      </c>
      <c r="AG223" s="343">
        <v>30790</v>
      </c>
      <c r="AH223" s="343">
        <v>89400</v>
      </c>
      <c r="AI223" s="343">
        <v>104510</v>
      </c>
      <c r="AJ223" s="343">
        <v>101970</v>
      </c>
      <c r="AK223" s="343">
        <v>59880</v>
      </c>
      <c r="AL223" s="343"/>
      <c r="AM223" s="343">
        <v>0</v>
      </c>
      <c r="AN223" s="248">
        <v>0</v>
      </c>
      <c r="AO223" s="343">
        <v>0</v>
      </c>
      <c r="AP223" s="343">
        <v>0</v>
      </c>
      <c r="AQ223" s="248">
        <v>0</v>
      </c>
      <c r="AR223" s="343">
        <v>48240</v>
      </c>
      <c r="AS223" s="343"/>
      <c r="AT223" s="343">
        <v>132060</v>
      </c>
      <c r="AU223" s="343">
        <v>97820</v>
      </c>
      <c r="AV223" s="343">
        <v>165290</v>
      </c>
      <c r="AW223" s="343">
        <v>74280</v>
      </c>
      <c r="AX223" s="343">
        <v>176530</v>
      </c>
      <c r="AY223" s="343">
        <v>97090</v>
      </c>
      <c r="AZ223" s="343"/>
      <c r="BA223" s="343"/>
      <c r="BB223" s="343">
        <v>35570</v>
      </c>
      <c r="BC223" s="343"/>
      <c r="BD223" s="343"/>
      <c r="BE223" s="343"/>
      <c r="BF223" s="222">
        <f t="shared" si="82"/>
        <v>1267050</v>
      </c>
      <c r="BG223" s="896">
        <f t="shared" si="76"/>
        <v>15</v>
      </c>
      <c r="BH223" s="896">
        <f t="shared" si="77"/>
        <v>84470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96">
        <f t="shared" si="80"/>
        <v>0</v>
      </c>
      <c r="V224" s="997"/>
      <c r="W224" s="254"/>
      <c r="X224" s="254"/>
      <c r="Y224" s="983" t="str">
        <f t="shared" si="81"/>
        <v>552FBigbag</v>
      </c>
      <c r="Z224" s="938">
        <v>321101</v>
      </c>
      <c r="AA224" s="248">
        <v>0</v>
      </c>
      <c r="AB224" s="343">
        <v>0</v>
      </c>
      <c r="AC224" s="343">
        <v>0</v>
      </c>
      <c r="AD224" s="343">
        <v>0</v>
      </c>
      <c r="AE224" s="343"/>
      <c r="AF224" s="343">
        <v>0</v>
      </c>
      <c r="AG224" s="343">
        <v>0</v>
      </c>
      <c r="AH224" s="343">
        <v>0</v>
      </c>
      <c r="AI224" s="343">
        <v>0</v>
      </c>
      <c r="AJ224" s="343">
        <v>0</v>
      </c>
      <c r="AK224" s="343">
        <v>0</v>
      </c>
      <c r="AL224" s="343"/>
      <c r="AM224" s="343">
        <v>0</v>
      </c>
      <c r="AN224" s="248">
        <v>0</v>
      </c>
      <c r="AO224" s="343">
        <v>0</v>
      </c>
      <c r="AP224" s="343">
        <v>0</v>
      </c>
      <c r="AQ224" s="248">
        <v>0</v>
      </c>
      <c r="AR224" s="343">
        <v>0</v>
      </c>
      <c r="AS224" s="343"/>
      <c r="AT224" s="343">
        <v>0</v>
      </c>
      <c r="AU224" s="343">
        <v>0</v>
      </c>
      <c r="AV224" s="343">
        <v>0</v>
      </c>
      <c r="AW224" s="343">
        <v>0</v>
      </c>
      <c r="AX224" s="343">
        <v>0</v>
      </c>
      <c r="AY224" s="343">
        <v>0</v>
      </c>
      <c r="AZ224" s="343"/>
      <c r="BA224" s="343"/>
      <c r="BB224" s="343">
        <v>0</v>
      </c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96">
        <f t="shared" si="80"/>
        <v>0</v>
      </c>
      <c r="V225" s="997"/>
      <c r="W225" s="254"/>
      <c r="X225" s="254"/>
      <c r="Y225" s="983" t="str">
        <f t="shared" si="81"/>
        <v>552SXFBigbag</v>
      </c>
      <c r="Z225" s="938">
        <v>321101</v>
      </c>
      <c r="AA225" s="248">
        <v>0</v>
      </c>
      <c r="AB225" s="343">
        <v>0</v>
      </c>
      <c r="AC225" s="343">
        <v>0</v>
      </c>
      <c r="AD225" s="343">
        <v>0</v>
      </c>
      <c r="AE225" s="343"/>
      <c r="AF225" s="343">
        <v>0</v>
      </c>
      <c r="AG225" s="343">
        <v>0</v>
      </c>
      <c r="AH225" s="343">
        <v>0</v>
      </c>
      <c r="AI225" s="343">
        <v>0</v>
      </c>
      <c r="AJ225" s="343">
        <v>0</v>
      </c>
      <c r="AK225" s="343">
        <v>0</v>
      </c>
      <c r="AL225" s="343"/>
      <c r="AM225" s="343">
        <v>0</v>
      </c>
      <c r="AN225" s="248">
        <v>0</v>
      </c>
      <c r="AO225" s="343">
        <v>0</v>
      </c>
      <c r="AP225" s="343">
        <v>0</v>
      </c>
      <c r="AQ225" s="248">
        <v>0</v>
      </c>
      <c r="AR225" s="343">
        <v>0</v>
      </c>
      <c r="AS225" s="343"/>
      <c r="AT225" s="343">
        <v>0</v>
      </c>
      <c r="AU225" s="343">
        <v>0</v>
      </c>
      <c r="AV225" s="343">
        <v>0</v>
      </c>
      <c r="AW225" s="343">
        <v>0</v>
      </c>
      <c r="AX225" s="343">
        <v>0</v>
      </c>
      <c r="AY225" s="343">
        <v>0</v>
      </c>
      <c r="AZ225" s="343"/>
      <c r="BA225" s="343"/>
      <c r="BB225" s="343">
        <v>0</v>
      </c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96">
        <f t="shared" si="80"/>
        <v>0</v>
      </c>
      <c r="V226" s="997"/>
      <c r="W226" s="254"/>
      <c r="X226" s="254"/>
      <c r="Y226" s="983" t="str">
        <f t="shared" si="81"/>
        <v>552FS10SILO</v>
      </c>
      <c r="Z226" s="938">
        <v>32110810</v>
      </c>
      <c r="AA226" s="248">
        <v>0</v>
      </c>
      <c r="AB226" s="343">
        <v>0</v>
      </c>
      <c r="AC226" s="343">
        <v>0</v>
      </c>
      <c r="AD226" s="343">
        <v>0</v>
      </c>
      <c r="AE226" s="343"/>
      <c r="AF226" s="343">
        <v>0</v>
      </c>
      <c r="AG226" s="343">
        <v>0</v>
      </c>
      <c r="AH226" s="343">
        <v>0</v>
      </c>
      <c r="AI226" s="343">
        <v>0</v>
      </c>
      <c r="AJ226" s="343">
        <v>0</v>
      </c>
      <c r="AK226" s="343">
        <v>0</v>
      </c>
      <c r="AL226" s="343"/>
      <c r="AM226" s="343">
        <v>0</v>
      </c>
      <c r="AN226" s="248">
        <v>0</v>
      </c>
      <c r="AO226" s="343">
        <v>0</v>
      </c>
      <c r="AP226" s="343">
        <v>0</v>
      </c>
      <c r="AQ226" s="248">
        <v>0</v>
      </c>
      <c r="AR226" s="343">
        <v>0</v>
      </c>
      <c r="AS226" s="343"/>
      <c r="AT226" s="343">
        <v>0</v>
      </c>
      <c r="AU226" s="343">
        <v>0</v>
      </c>
      <c r="AV226" s="343">
        <v>0</v>
      </c>
      <c r="AW226" s="343">
        <v>0</v>
      </c>
      <c r="AX226" s="343">
        <v>0</v>
      </c>
      <c r="AY226" s="343">
        <v>0</v>
      </c>
      <c r="AZ226" s="343"/>
      <c r="BA226" s="343"/>
      <c r="BB226" s="343">
        <v>0</v>
      </c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96">
        <f t="shared" si="80"/>
        <v>0</v>
      </c>
      <c r="V227" s="997"/>
      <c r="W227" s="254"/>
      <c r="X227" s="254"/>
      <c r="Y227" s="983" t="str">
        <f t="shared" si="81"/>
        <v>552FS11SILO</v>
      </c>
      <c r="Z227" s="938">
        <v>32110811</v>
      </c>
      <c r="AA227" s="248">
        <v>0</v>
      </c>
      <c r="AB227" s="343">
        <v>0</v>
      </c>
      <c r="AC227" s="343">
        <v>0</v>
      </c>
      <c r="AD227" s="343">
        <v>0</v>
      </c>
      <c r="AE227" s="343"/>
      <c r="AF227" s="343">
        <v>0</v>
      </c>
      <c r="AG227" s="343">
        <v>0</v>
      </c>
      <c r="AH227" s="343">
        <v>0</v>
      </c>
      <c r="AI227" s="343">
        <v>0</v>
      </c>
      <c r="AJ227" s="343">
        <v>0</v>
      </c>
      <c r="AK227" s="343">
        <v>0</v>
      </c>
      <c r="AL227" s="343"/>
      <c r="AM227" s="343">
        <v>0</v>
      </c>
      <c r="AN227" s="248">
        <v>0</v>
      </c>
      <c r="AO227" s="343">
        <v>0</v>
      </c>
      <c r="AP227" s="343">
        <v>0</v>
      </c>
      <c r="AQ227" s="248">
        <v>0</v>
      </c>
      <c r="AR227" s="343">
        <v>0</v>
      </c>
      <c r="AS227" s="343"/>
      <c r="AT227" s="343">
        <v>0</v>
      </c>
      <c r="AU227" s="343">
        <v>0</v>
      </c>
      <c r="AV227" s="343">
        <v>0</v>
      </c>
      <c r="AW227" s="343">
        <v>0</v>
      </c>
      <c r="AX227" s="343">
        <v>0</v>
      </c>
      <c r="AY227" s="343">
        <v>0</v>
      </c>
      <c r="AZ227" s="343"/>
      <c r="BA227" s="343"/>
      <c r="BB227" s="343">
        <v>0</v>
      </c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96">
        <f t="shared" si="80"/>
        <v>0</v>
      </c>
      <c r="V228" s="997"/>
      <c r="W228" s="254"/>
      <c r="X228" s="254"/>
      <c r="Y228" s="983" t="str">
        <f>B228&amp;D228</f>
        <v>552FS13SILO</v>
      </c>
      <c r="Z228" s="938">
        <v>32110813</v>
      </c>
      <c r="AA228" s="248">
        <v>0</v>
      </c>
      <c r="AB228" s="343">
        <v>0</v>
      </c>
      <c r="AC228" s="343">
        <v>0</v>
      </c>
      <c r="AD228" s="343">
        <v>0</v>
      </c>
      <c r="AE228" s="343"/>
      <c r="AF228" s="343">
        <v>0</v>
      </c>
      <c r="AG228" s="343">
        <v>0</v>
      </c>
      <c r="AH228" s="343">
        <v>0</v>
      </c>
      <c r="AI228" s="343">
        <v>0</v>
      </c>
      <c r="AJ228" s="343">
        <v>0</v>
      </c>
      <c r="AK228" s="343">
        <v>0</v>
      </c>
      <c r="AL228" s="343"/>
      <c r="AM228" s="343">
        <v>0</v>
      </c>
      <c r="AN228" s="248">
        <v>0</v>
      </c>
      <c r="AO228" s="343">
        <v>0</v>
      </c>
      <c r="AP228" s="343">
        <v>0</v>
      </c>
      <c r="AQ228" s="248">
        <v>0</v>
      </c>
      <c r="AR228" s="343">
        <v>0</v>
      </c>
      <c r="AS228" s="343"/>
      <c r="AT228" s="343">
        <v>0</v>
      </c>
      <c r="AU228" s="343">
        <v>0</v>
      </c>
      <c r="AV228" s="343">
        <v>0</v>
      </c>
      <c r="AW228" s="343">
        <v>0</v>
      </c>
      <c r="AX228" s="343">
        <v>0</v>
      </c>
      <c r="AY228" s="343">
        <v>0</v>
      </c>
      <c r="AZ228" s="343"/>
      <c r="BA228" s="343"/>
      <c r="BB228" s="343">
        <v>0</v>
      </c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96">
        <f t="shared" si="80"/>
        <v>0</v>
      </c>
      <c r="V229" s="997"/>
      <c r="W229" s="254"/>
      <c r="X229" s="254"/>
      <c r="Y229" s="983" t="str">
        <f>B229&amp;D229</f>
        <v>552FS31SILO</v>
      </c>
      <c r="Z229" s="938">
        <v>32110831</v>
      </c>
      <c r="AA229" s="248">
        <v>0</v>
      </c>
      <c r="AB229" s="343">
        <v>0</v>
      </c>
      <c r="AC229" s="343">
        <v>0</v>
      </c>
      <c r="AD229" s="343">
        <v>0</v>
      </c>
      <c r="AE229" s="343"/>
      <c r="AF229" s="343">
        <v>0</v>
      </c>
      <c r="AG229" s="343">
        <v>0</v>
      </c>
      <c r="AH229" s="343">
        <v>0</v>
      </c>
      <c r="AI229" s="343">
        <v>0</v>
      </c>
      <c r="AJ229" s="343">
        <v>0</v>
      </c>
      <c r="AK229" s="343">
        <v>0</v>
      </c>
      <c r="AL229" s="343"/>
      <c r="AM229" s="343">
        <v>0</v>
      </c>
      <c r="AN229" s="248">
        <v>0</v>
      </c>
      <c r="AO229" s="343">
        <v>0</v>
      </c>
      <c r="AP229" s="343">
        <v>0</v>
      </c>
      <c r="AQ229" s="248">
        <v>0</v>
      </c>
      <c r="AR229" s="343">
        <v>0</v>
      </c>
      <c r="AS229" s="343"/>
      <c r="AT229" s="343">
        <v>0</v>
      </c>
      <c r="AU229" s="343">
        <v>0</v>
      </c>
      <c r="AV229" s="343">
        <v>0</v>
      </c>
      <c r="AW229" s="343">
        <v>0</v>
      </c>
      <c r="AX229" s="343">
        <v>0</v>
      </c>
      <c r="AY229" s="343">
        <v>0</v>
      </c>
      <c r="AZ229" s="343"/>
      <c r="BA229" s="343"/>
      <c r="BB229" s="343">
        <v>0</v>
      </c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96">
        <f t="shared" si="80"/>
        <v>0</v>
      </c>
      <c r="V230" s="997"/>
      <c r="W230" s="254"/>
      <c r="X230" s="254"/>
      <c r="Y230" s="983" t="str">
        <f t="shared" si="81"/>
        <v>552FS34SILO</v>
      </c>
      <c r="Z230" s="938">
        <v>32110834</v>
      </c>
      <c r="AA230" s="248">
        <v>0</v>
      </c>
      <c r="AB230" s="343">
        <v>0</v>
      </c>
      <c r="AC230" s="343">
        <v>0</v>
      </c>
      <c r="AD230" s="343">
        <v>0</v>
      </c>
      <c r="AE230" s="343"/>
      <c r="AF230" s="343">
        <v>0</v>
      </c>
      <c r="AG230" s="343">
        <v>0</v>
      </c>
      <c r="AH230" s="343">
        <v>0</v>
      </c>
      <c r="AI230" s="343">
        <v>0</v>
      </c>
      <c r="AJ230" s="343">
        <v>0</v>
      </c>
      <c r="AK230" s="343">
        <v>0</v>
      </c>
      <c r="AL230" s="343"/>
      <c r="AM230" s="343">
        <v>0</v>
      </c>
      <c r="AN230" s="248">
        <v>0</v>
      </c>
      <c r="AO230" s="343">
        <v>0</v>
      </c>
      <c r="AP230" s="343">
        <v>0</v>
      </c>
      <c r="AQ230" s="248">
        <v>0</v>
      </c>
      <c r="AR230" s="343">
        <v>0</v>
      </c>
      <c r="AS230" s="343"/>
      <c r="AT230" s="343">
        <v>0</v>
      </c>
      <c r="AU230" s="343">
        <v>0</v>
      </c>
      <c r="AV230" s="343">
        <v>0</v>
      </c>
      <c r="AW230" s="343">
        <v>0</v>
      </c>
      <c r="AX230" s="343">
        <v>0</v>
      </c>
      <c r="AY230" s="343">
        <v>0</v>
      </c>
      <c r="AZ230" s="343"/>
      <c r="BA230" s="343"/>
      <c r="BB230" s="343">
        <v>0</v>
      </c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96">
        <f t="shared" si="80"/>
        <v>0</v>
      </c>
      <c r="V231" s="997"/>
      <c r="W231" s="254"/>
      <c r="X231" s="254"/>
      <c r="Y231" s="983" t="str">
        <f t="shared" si="81"/>
        <v>552FS37SILO</v>
      </c>
      <c r="Z231" s="938">
        <v>32110837</v>
      </c>
      <c r="AA231" s="248">
        <v>0</v>
      </c>
      <c r="AB231" s="343">
        <v>0</v>
      </c>
      <c r="AC231" s="343">
        <v>0</v>
      </c>
      <c r="AD231" s="343">
        <v>0</v>
      </c>
      <c r="AE231" s="343"/>
      <c r="AF231" s="343">
        <v>0</v>
      </c>
      <c r="AG231" s="343">
        <v>0</v>
      </c>
      <c r="AH231" s="343">
        <v>0</v>
      </c>
      <c r="AI231" s="343">
        <v>0</v>
      </c>
      <c r="AJ231" s="343">
        <v>0</v>
      </c>
      <c r="AK231" s="343">
        <v>0</v>
      </c>
      <c r="AL231" s="343"/>
      <c r="AM231" s="343">
        <v>0</v>
      </c>
      <c r="AN231" s="248">
        <v>0</v>
      </c>
      <c r="AO231" s="343">
        <v>0</v>
      </c>
      <c r="AP231" s="343">
        <v>0</v>
      </c>
      <c r="AQ231" s="248">
        <v>0</v>
      </c>
      <c r="AR231" s="343">
        <v>0</v>
      </c>
      <c r="AS231" s="343"/>
      <c r="AT231" s="343">
        <v>0</v>
      </c>
      <c r="AU231" s="343">
        <v>0</v>
      </c>
      <c r="AV231" s="343">
        <v>0</v>
      </c>
      <c r="AW231" s="343">
        <v>0</v>
      </c>
      <c r="AX231" s="343">
        <v>0</v>
      </c>
      <c r="AY231" s="343">
        <v>0</v>
      </c>
      <c r="AZ231" s="343"/>
      <c r="BA231" s="343"/>
      <c r="BB231" s="343">
        <v>0</v>
      </c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96">
        <f>IF(T232=0,0,P232/T232)</f>
        <v>0</v>
      </c>
      <c r="V232" s="997"/>
      <c r="W232" s="254"/>
      <c r="X232" s="254"/>
      <c r="Y232" s="983" t="str">
        <f>B232&amp;D232</f>
        <v>552FS73SILO</v>
      </c>
      <c r="Z232" s="938">
        <v>32110873</v>
      </c>
      <c r="AA232" s="248">
        <v>0</v>
      </c>
      <c r="AB232" s="343">
        <v>0</v>
      </c>
      <c r="AC232" s="343">
        <v>0</v>
      </c>
      <c r="AD232" s="343">
        <v>0</v>
      </c>
      <c r="AE232" s="343"/>
      <c r="AF232" s="343">
        <v>0</v>
      </c>
      <c r="AG232" s="343">
        <v>0</v>
      </c>
      <c r="AH232" s="343">
        <v>0</v>
      </c>
      <c r="AI232" s="343">
        <v>0</v>
      </c>
      <c r="AJ232" s="343">
        <v>0</v>
      </c>
      <c r="AK232" s="343">
        <v>0</v>
      </c>
      <c r="AL232" s="343"/>
      <c r="AM232" s="343">
        <v>0</v>
      </c>
      <c r="AN232" s="248">
        <v>0</v>
      </c>
      <c r="AO232" s="343">
        <v>0</v>
      </c>
      <c r="AP232" s="343">
        <v>0</v>
      </c>
      <c r="AQ232" s="248">
        <v>0</v>
      </c>
      <c r="AR232" s="343">
        <v>0</v>
      </c>
      <c r="AS232" s="343"/>
      <c r="AT232" s="343">
        <v>0</v>
      </c>
      <c r="AU232" s="343">
        <v>0</v>
      </c>
      <c r="AV232" s="343">
        <v>0</v>
      </c>
      <c r="AW232" s="343">
        <v>0</v>
      </c>
      <c r="AX232" s="343">
        <v>0</v>
      </c>
      <c r="AY232" s="343">
        <v>0</v>
      </c>
      <c r="AZ232" s="343"/>
      <c r="BA232" s="343"/>
      <c r="BB232" s="343">
        <v>0</v>
      </c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83000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83000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889910</v>
      </c>
      <c r="R233" s="222"/>
      <c r="S233" s="222"/>
      <c r="T233" s="363">
        <f t="shared" si="83"/>
        <v>38691.739130434784</v>
      </c>
      <c r="U233" s="996">
        <f t="shared" si="80"/>
        <v>0</v>
      </c>
      <c r="V233" s="997"/>
      <c r="W233" s="254"/>
      <c r="X233" s="254"/>
      <c r="Y233" s="983" t="str">
        <f t="shared" si="81"/>
        <v>552FS90SILO</v>
      </c>
      <c r="Z233" s="938">
        <v>32110890</v>
      </c>
      <c r="AA233" s="248">
        <v>75620</v>
      </c>
      <c r="AB233" s="343">
        <v>57410</v>
      </c>
      <c r="AC233" s="343">
        <v>93190</v>
      </c>
      <c r="AD233" s="343">
        <v>14380</v>
      </c>
      <c r="AE233" s="343"/>
      <c r="AF233" s="343">
        <v>30190</v>
      </c>
      <c r="AG233" s="343">
        <v>0</v>
      </c>
      <c r="AH233" s="343">
        <v>0</v>
      </c>
      <c r="AI233" s="343">
        <v>0</v>
      </c>
      <c r="AJ233" s="343">
        <v>0</v>
      </c>
      <c r="AK233" s="343">
        <v>0</v>
      </c>
      <c r="AL233" s="343"/>
      <c r="AM233" s="343">
        <v>75390</v>
      </c>
      <c r="AN233" s="248">
        <v>134310</v>
      </c>
      <c r="AO233" s="343">
        <v>111070</v>
      </c>
      <c r="AP233" s="343">
        <v>76230</v>
      </c>
      <c r="AQ233" s="248">
        <v>90590</v>
      </c>
      <c r="AR233" s="343">
        <v>48530</v>
      </c>
      <c r="AS233" s="343"/>
      <c r="AT233" s="343">
        <v>0</v>
      </c>
      <c r="AU233" s="343">
        <v>0</v>
      </c>
      <c r="AV233" s="343">
        <v>0</v>
      </c>
      <c r="AW233" s="343">
        <v>0</v>
      </c>
      <c r="AX233" s="343">
        <v>0</v>
      </c>
      <c r="AY233" s="343">
        <v>0</v>
      </c>
      <c r="AZ233" s="343"/>
      <c r="BA233" s="343"/>
      <c r="BB233" s="343">
        <v>83000</v>
      </c>
      <c r="BC233" s="343"/>
      <c r="BD233" s="343"/>
      <c r="BE233" s="343"/>
      <c r="BF233" s="222">
        <f t="shared" si="82"/>
        <v>889910</v>
      </c>
      <c r="BG233" s="896">
        <f t="shared" si="76"/>
        <v>12</v>
      </c>
      <c r="BH233" s="896">
        <f t="shared" si="77"/>
        <v>74159.166666666672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96">
        <f t="shared" si="80"/>
        <v>0</v>
      </c>
      <c r="V234" s="997"/>
      <c r="W234" s="254"/>
      <c r="X234" s="254"/>
      <c r="Y234" s="983" t="str">
        <f t="shared" si="81"/>
        <v>553BFSILO</v>
      </c>
      <c r="Z234" s="938" t="s">
        <v>777</v>
      </c>
      <c r="AA234" s="248">
        <v>0</v>
      </c>
      <c r="AB234" s="343">
        <v>0</v>
      </c>
      <c r="AC234" s="343">
        <v>0</v>
      </c>
      <c r="AD234" s="343">
        <v>0</v>
      </c>
      <c r="AE234" s="343"/>
      <c r="AF234" s="343">
        <v>0</v>
      </c>
      <c r="AG234" s="343">
        <v>0</v>
      </c>
      <c r="AH234" s="343">
        <v>0</v>
      </c>
      <c r="AI234" s="343">
        <v>0</v>
      </c>
      <c r="AJ234" s="343">
        <v>0</v>
      </c>
      <c r="AK234" s="343">
        <v>0</v>
      </c>
      <c r="AL234" s="343"/>
      <c r="AM234" s="343">
        <v>0</v>
      </c>
      <c r="AN234" s="248">
        <v>0</v>
      </c>
      <c r="AO234" s="343">
        <v>0</v>
      </c>
      <c r="AP234" s="343">
        <v>0</v>
      </c>
      <c r="AQ234" s="248">
        <v>0</v>
      </c>
      <c r="AR234" s="343">
        <v>0</v>
      </c>
      <c r="AS234" s="343"/>
      <c r="AT234" s="343">
        <v>0</v>
      </c>
      <c r="AU234" s="343">
        <v>0</v>
      </c>
      <c r="AV234" s="343">
        <v>0</v>
      </c>
      <c r="AW234" s="343">
        <v>0</v>
      </c>
      <c r="AX234" s="343">
        <v>0</v>
      </c>
      <c r="AY234" s="343">
        <v>0</v>
      </c>
      <c r="AZ234" s="343"/>
      <c r="BA234" s="343"/>
      <c r="BB234" s="343">
        <v>0</v>
      </c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96">
        <f t="shared" si="80"/>
        <v>0</v>
      </c>
      <c r="V235" s="997"/>
      <c r="W235" s="254"/>
      <c r="X235" s="254"/>
      <c r="Y235" s="983" t="str">
        <f t="shared" si="81"/>
        <v>553SFBigbag</v>
      </c>
      <c r="Z235" s="938">
        <v>332101</v>
      </c>
      <c r="AA235" s="248">
        <v>0</v>
      </c>
      <c r="AB235" s="343">
        <v>0</v>
      </c>
      <c r="AC235" s="343">
        <v>0</v>
      </c>
      <c r="AD235" s="343">
        <v>0</v>
      </c>
      <c r="AE235" s="343"/>
      <c r="AF235" s="343">
        <v>0</v>
      </c>
      <c r="AG235" s="343">
        <v>0</v>
      </c>
      <c r="AH235" s="343">
        <v>0</v>
      </c>
      <c r="AI235" s="343">
        <v>0</v>
      </c>
      <c r="AJ235" s="343">
        <v>0</v>
      </c>
      <c r="AK235" s="343">
        <v>0</v>
      </c>
      <c r="AL235" s="343"/>
      <c r="AM235" s="343">
        <v>0</v>
      </c>
      <c r="AN235" s="248">
        <v>0</v>
      </c>
      <c r="AO235" s="343">
        <v>0</v>
      </c>
      <c r="AP235" s="343">
        <v>0</v>
      </c>
      <c r="AQ235" s="248">
        <v>0</v>
      </c>
      <c r="AR235" s="343">
        <v>0</v>
      </c>
      <c r="AS235" s="343"/>
      <c r="AT235" s="343">
        <v>0</v>
      </c>
      <c r="AU235" s="343">
        <v>0</v>
      </c>
      <c r="AV235" s="343">
        <v>0</v>
      </c>
      <c r="AW235" s="343">
        <v>0</v>
      </c>
      <c r="AX235" s="343">
        <v>0</v>
      </c>
      <c r="AY235" s="343">
        <v>0</v>
      </c>
      <c r="AZ235" s="343"/>
      <c r="BA235" s="343"/>
      <c r="BB235" s="343">
        <v>0</v>
      </c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156160</v>
      </c>
      <c r="R236" s="222"/>
      <c r="S236" s="222"/>
      <c r="T236" s="363">
        <f t="shared" si="83"/>
        <v>6789.565217391304</v>
      </c>
      <c r="U236" s="996">
        <f t="shared" si="80"/>
        <v>0</v>
      </c>
      <c r="V236" s="997"/>
      <c r="W236" s="254"/>
      <c r="X236" s="254"/>
      <c r="Y236" s="983" t="str">
        <f t="shared" si="81"/>
        <v>553MFSILO</v>
      </c>
      <c r="Z236" s="938" t="s">
        <v>778</v>
      </c>
      <c r="AA236" s="248">
        <v>13230</v>
      </c>
      <c r="AB236" s="343">
        <v>0</v>
      </c>
      <c r="AC236" s="343">
        <v>0</v>
      </c>
      <c r="AD236" s="343">
        <v>36120</v>
      </c>
      <c r="AE236" s="343"/>
      <c r="AF236" s="343">
        <v>0</v>
      </c>
      <c r="AG236" s="343">
        <v>13350</v>
      </c>
      <c r="AH236" s="343">
        <v>0</v>
      </c>
      <c r="AI236" s="343">
        <v>13540</v>
      </c>
      <c r="AJ236" s="343">
        <v>0</v>
      </c>
      <c r="AK236" s="343">
        <v>0</v>
      </c>
      <c r="AL236" s="343"/>
      <c r="AM236" s="343">
        <v>14890</v>
      </c>
      <c r="AN236" s="248">
        <v>0</v>
      </c>
      <c r="AO236" s="343">
        <v>0</v>
      </c>
      <c r="AP236" s="343">
        <v>0</v>
      </c>
      <c r="AQ236" s="248">
        <v>14780</v>
      </c>
      <c r="AR236" s="343">
        <v>13930</v>
      </c>
      <c r="AS236" s="343"/>
      <c r="AT236" s="343">
        <v>0</v>
      </c>
      <c r="AU236" s="343">
        <v>0</v>
      </c>
      <c r="AV236" s="343">
        <v>11780</v>
      </c>
      <c r="AW236" s="343">
        <v>14530</v>
      </c>
      <c r="AX236" s="343">
        <v>0</v>
      </c>
      <c r="AY236" s="343">
        <v>10010</v>
      </c>
      <c r="AZ236" s="343"/>
      <c r="BA236" s="343"/>
      <c r="BB236" s="343">
        <v>0</v>
      </c>
      <c r="BC236" s="343"/>
      <c r="BD236" s="343"/>
      <c r="BE236" s="343"/>
      <c r="BF236" s="222">
        <f t="shared" si="82"/>
        <v>156160</v>
      </c>
      <c r="BG236" s="896">
        <f t="shared" si="76"/>
        <v>10</v>
      </c>
      <c r="BH236" s="896">
        <f t="shared" si="77"/>
        <v>15616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96">
        <f t="shared" si="80"/>
        <v>0</v>
      </c>
      <c r="V237" s="997"/>
      <c r="W237" s="254"/>
      <c r="X237" s="254"/>
      <c r="Y237" s="983" t="str">
        <f t="shared" si="81"/>
        <v>553MFS34SILO</v>
      </c>
      <c r="Z237" s="938">
        <v>33221834</v>
      </c>
      <c r="AA237" s="248">
        <v>0</v>
      </c>
      <c r="AB237" s="343">
        <v>0</v>
      </c>
      <c r="AC237" s="343">
        <v>0</v>
      </c>
      <c r="AD237" s="343">
        <v>0</v>
      </c>
      <c r="AE237" s="343"/>
      <c r="AF237" s="343">
        <v>0</v>
      </c>
      <c r="AG237" s="343">
        <v>0</v>
      </c>
      <c r="AH237" s="343">
        <v>0</v>
      </c>
      <c r="AI237" s="343">
        <v>0</v>
      </c>
      <c r="AJ237" s="343">
        <v>0</v>
      </c>
      <c r="AK237" s="343">
        <v>0</v>
      </c>
      <c r="AL237" s="343"/>
      <c r="AM237" s="343">
        <v>0</v>
      </c>
      <c r="AN237" s="248">
        <v>0</v>
      </c>
      <c r="AO237" s="343">
        <v>0</v>
      </c>
      <c r="AP237" s="343">
        <v>0</v>
      </c>
      <c r="AQ237" s="248">
        <v>0</v>
      </c>
      <c r="AR237" s="343">
        <v>0</v>
      </c>
      <c r="AS237" s="343"/>
      <c r="AT237" s="343">
        <v>0</v>
      </c>
      <c r="AU237" s="343">
        <v>0</v>
      </c>
      <c r="AV237" s="343">
        <v>0</v>
      </c>
      <c r="AW237" s="343">
        <v>0</v>
      </c>
      <c r="AX237" s="343">
        <v>0</v>
      </c>
      <c r="AY237" s="343">
        <v>0</v>
      </c>
      <c r="AZ237" s="343"/>
      <c r="BA237" s="343"/>
      <c r="BB237" s="343">
        <v>0</v>
      </c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96">
        <f t="shared" si="80"/>
        <v>0</v>
      </c>
      <c r="V238" s="997"/>
      <c r="W238" s="254"/>
      <c r="X238" s="254"/>
      <c r="Y238" s="983" t="str">
        <f t="shared" si="81"/>
        <v>553MFS73SILO</v>
      </c>
      <c r="Z238" s="938">
        <v>33221873</v>
      </c>
      <c r="AA238" s="248">
        <v>0</v>
      </c>
      <c r="AB238" s="343">
        <v>0</v>
      </c>
      <c r="AC238" s="343">
        <v>0</v>
      </c>
      <c r="AD238" s="343">
        <v>0</v>
      </c>
      <c r="AE238" s="343"/>
      <c r="AF238" s="343">
        <v>0</v>
      </c>
      <c r="AG238" s="343">
        <v>0</v>
      </c>
      <c r="AH238" s="343">
        <v>0</v>
      </c>
      <c r="AI238" s="343">
        <v>0</v>
      </c>
      <c r="AJ238" s="343">
        <v>0</v>
      </c>
      <c r="AK238" s="343">
        <v>0</v>
      </c>
      <c r="AL238" s="343"/>
      <c r="AM238" s="343">
        <v>0</v>
      </c>
      <c r="AN238" s="248">
        <v>0</v>
      </c>
      <c r="AO238" s="343">
        <v>0</v>
      </c>
      <c r="AP238" s="343">
        <v>0</v>
      </c>
      <c r="AQ238" s="248">
        <v>0</v>
      </c>
      <c r="AR238" s="343">
        <v>0</v>
      </c>
      <c r="AS238" s="343"/>
      <c r="AT238" s="343">
        <v>0</v>
      </c>
      <c r="AU238" s="343">
        <v>0</v>
      </c>
      <c r="AV238" s="343">
        <v>0</v>
      </c>
      <c r="AW238" s="343">
        <v>0</v>
      </c>
      <c r="AX238" s="343">
        <v>0</v>
      </c>
      <c r="AY238" s="343">
        <v>0</v>
      </c>
      <c r="AZ238" s="343"/>
      <c r="BA238" s="343"/>
      <c r="BB238" s="343">
        <v>0</v>
      </c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96">
        <f t="shared" si="80"/>
        <v>0</v>
      </c>
      <c r="V239" s="997"/>
      <c r="W239" s="254"/>
      <c r="X239" s="254"/>
      <c r="Y239" s="983" t="str">
        <f t="shared" si="81"/>
        <v>553MFS90SILO</v>
      </c>
      <c r="Z239" s="938">
        <v>33221890</v>
      </c>
      <c r="AA239" s="248">
        <v>0</v>
      </c>
      <c r="AB239" s="343">
        <v>0</v>
      </c>
      <c r="AC239" s="343">
        <v>0</v>
      </c>
      <c r="AD239" s="343">
        <v>0</v>
      </c>
      <c r="AE239" s="343"/>
      <c r="AF239" s="343">
        <v>0</v>
      </c>
      <c r="AG239" s="343">
        <v>0</v>
      </c>
      <c r="AH239" s="343">
        <v>0</v>
      </c>
      <c r="AI239" s="343">
        <v>0</v>
      </c>
      <c r="AJ239" s="343">
        <v>0</v>
      </c>
      <c r="AK239" s="343">
        <v>0</v>
      </c>
      <c r="AL239" s="343"/>
      <c r="AM239" s="343">
        <v>0</v>
      </c>
      <c r="AN239" s="248">
        <v>0</v>
      </c>
      <c r="AO239" s="343">
        <v>0</v>
      </c>
      <c r="AP239" s="343">
        <v>0</v>
      </c>
      <c r="AQ239" s="248">
        <v>0</v>
      </c>
      <c r="AR239" s="343">
        <v>0</v>
      </c>
      <c r="AS239" s="343"/>
      <c r="AT239" s="343">
        <v>0</v>
      </c>
      <c r="AU239" s="343">
        <v>0</v>
      </c>
      <c r="AV239" s="343">
        <v>0</v>
      </c>
      <c r="AW239" s="343">
        <v>0</v>
      </c>
      <c r="AX239" s="343">
        <v>0</v>
      </c>
      <c r="AY239" s="343">
        <v>0</v>
      </c>
      <c r="AZ239" s="343"/>
      <c r="BA239" s="343"/>
      <c r="BB239" s="343">
        <v>0</v>
      </c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96">
        <f t="shared" si="80"/>
        <v>0</v>
      </c>
      <c r="V240" s="997"/>
      <c r="W240" s="254"/>
      <c r="X240" s="254"/>
      <c r="Y240" s="983" t="str">
        <f t="shared" si="81"/>
        <v>553WDFSILO</v>
      </c>
      <c r="Z240" s="938">
        <v>332481</v>
      </c>
      <c r="AA240" s="248">
        <v>0</v>
      </c>
      <c r="AB240" s="343">
        <v>0</v>
      </c>
      <c r="AC240" s="343">
        <v>0</v>
      </c>
      <c r="AD240" s="343">
        <v>0</v>
      </c>
      <c r="AE240" s="343"/>
      <c r="AF240" s="343">
        <v>0</v>
      </c>
      <c r="AG240" s="343">
        <v>0</v>
      </c>
      <c r="AH240" s="343">
        <v>0</v>
      </c>
      <c r="AI240" s="343">
        <v>0</v>
      </c>
      <c r="AJ240" s="343">
        <v>0</v>
      </c>
      <c r="AK240" s="343">
        <v>0</v>
      </c>
      <c r="AL240" s="343"/>
      <c r="AM240" s="343">
        <v>0</v>
      </c>
      <c r="AN240" s="248">
        <v>0</v>
      </c>
      <c r="AO240" s="343">
        <v>0</v>
      </c>
      <c r="AP240" s="343">
        <v>0</v>
      </c>
      <c r="AQ240" s="248">
        <v>0</v>
      </c>
      <c r="AR240" s="343">
        <v>0</v>
      </c>
      <c r="AS240" s="343"/>
      <c r="AT240" s="343">
        <v>0</v>
      </c>
      <c r="AU240" s="343">
        <v>0</v>
      </c>
      <c r="AV240" s="343">
        <v>0</v>
      </c>
      <c r="AW240" s="343">
        <v>0</v>
      </c>
      <c r="AX240" s="343">
        <v>0</v>
      </c>
      <c r="AY240" s="343">
        <v>0</v>
      </c>
      <c r="AZ240" s="343"/>
      <c r="BA240" s="343"/>
      <c r="BB240" s="343">
        <v>0</v>
      </c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96">
        <f t="shared" si="80"/>
        <v>0</v>
      </c>
      <c r="V241" s="997"/>
      <c r="W241" s="345"/>
      <c r="X241" s="345"/>
      <c r="Y241" s="983" t="str">
        <f t="shared" si="81"/>
        <v>562FSILO</v>
      </c>
      <c r="Z241" s="938" t="s">
        <v>784</v>
      </c>
      <c r="AA241" s="418">
        <v>0</v>
      </c>
      <c r="AB241" s="343">
        <v>0</v>
      </c>
      <c r="AC241" s="343">
        <v>0</v>
      </c>
      <c r="AD241" s="343">
        <v>0</v>
      </c>
      <c r="AE241" s="343"/>
      <c r="AF241" s="343">
        <v>0</v>
      </c>
      <c r="AG241" s="343">
        <v>0</v>
      </c>
      <c r="AH241" s="343">
        <v>0</v>
      </c>
      <c r="AI241" s="343">
        <v>0</v>
      </c>
      <c r="AJ241" s="343">
        <v>0</v>
      </c>
      <c r="AK241" s="343">
        <v>0</v>
      </c>
      <c r="AL241" s="343"/>
      <c r="AM241" s="343">
        <v>0</v>
      </c>
      <c r="AN241" s="248">
        <v>0</v>
      </c>
      <c r="AO241" s="343">
        <v>0</v>
      </c>
      <c r="AP241" s="343">
        <v>0</v>
      </c>
      <c r="AQ241" s="248">
        <v>0</v>
      </c>
      <c r="AR241" s="343">
        <v>0</v>
      </c>
      <c r="AS241" s="343"/>
      <c r="AT241" s="343">
        <v>0</v>
      </c>
      <c r="AU241" s="343">
        <v>0</v>
      </c>
      <c r="AV241" s="343">
        <v>0</v>
      </c>
      <c r="AW241" s="343">
        <v>0</v>
      </c>
      <c r="AX241" s="343">
        <v>0</v>
      </c>
      <c r="AY241" s="343">
        <v>0</v>
      </c>
      <c r="AZ241" s="343"/>
      <c r="BA241" s="343"/>
      <c r="BB241" s="343">
        <v>0</v>
      </c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96">
        <f t="shared" si="80"/>
        <v>0</v>
      </c>
      <c r="V242" s="997"/>
      <c r="W242" s="345"/>
      <c r="X242" s="345"/>
      <c r="Y242" s="983" t="str">
        <f t="shared" si="81"/>
        <v>562PFSILO</v>
      </c>
      <c r="Z242" s="938" t="s">
        <v>780</v>
      </c>
      <c r="AA242" s="418">
        <v>0</v>
      </c>
      <c r="AB242" s="343">
        <v>0</v>
      </c>
      <c r="AC242" s="343">
        <v>0</v>
      </c>
      <c r="AD242" s="343">
        <v>0</v>
      </c>
      <c r="AE242" s="343"/>
      <c r="AF242" s="343">
        <v>0</v>
      </c>
      <c r="AG242" s="343">
        <v>0</v>
      </c>
      <c r="AH242" s="343">
        <v>0</v>
      </c>
      <c r="AI242" s="343">
        <v>0</v>
      </c>
      <c r="AJ242" s="343">
        <v>0</v>
      </c>
      <c r="AK242" s="343">
        <v>0</v>
      </c>
      <c r="AL242" s="343"/>
      <c r="AM242" s="343">
        <v>0</v>
      </c>
      <c r="AN242" s="248">
        <v>0</v>
      </c>
      <c r="AO242" s="343">
        <v>0</v>
      </c>
      <c r="AP242" s="343">
        <v>0</v>
      </c>
      <c r="AQ242" s="248">
        <v>0</v>
      </c>
      <c r="AR242" s="343">
        <v>0</v>
      </c>
      <c r="AS242" s="343"/>
      <c r="AT242" s="343">
        <v>0</v>
      </c>
      <c r="AU242" s="343">
        <v>0</v>
      </c>
      <c r="AV242" s="343">
        <v>0</v>
      </c>
      <c r="AW242" s="343">
        <v>0</v>
      </c>
      <c r="AX242" s="343">
        <v>0</v>
      </c>
      <c r="AY242" s="343">
        <v>0</v>
      </c>
      <c r="AZ242" s="343"/>
      <c r="BA242" s="343"/>
      <c r="BB242" s="343">
        <v>0</v>
      </c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0</v>
      </c>
      <c r="G243" s="372"/>
      <c r="H243" s="344"/>
      <c r="I243" s="248"/>
      <c r="J243" s="248"/>
      <c r="K243" s="248"/>
      <c r="L243" s="248">
        <f>SUMIF(data!$D:$D,INTGRATE!$B243&amp;INTGRATE!$D243,data!$K:$K)</f>
        <v>0</v>
      </c>
      <c r="M243" s="344"/>
      <c r="N243" s="356"/>
      <c r="O243" s="554"/>
      <c r="P243" s="248">
        <f>F243-L243</f>
        <v>0</v>
      </c>
      <c r="Q243" s="388">
        <f t="shared" si="74"/>
        <v>0</v>
      </c>
      <c r="R243" s="222"/>
      <c r="S243" s="222"/>
      <c r="T243" s="363">
        <f t="shared" si="83"/>
        <v>0</v>
      </c>
      <c r="U243" s="996">
        <f t="shared" si="80"/>
        <v>0</v>
      </c>
      <c r="V243" s="997"/>
      <c r="W243" s="345"/>
      <c r="X243" s="345"/>
      <c r="Y243" s="983" t="str">
        <f t="shared" si="81"/>
        <v>562PFS90SILO</v>
      </c>
      <c r="Z243" s="938">
        <v>36430837</v>
      </c>
      <c r="AA243" s="418">
        <v>0</v>
      </c>
      <c r="AB243" s="343">
        <v>0</v>
      </c>
      <c r="AC243" s="343">
        <v>0</v>
      </c>
      <c r="AD243" s="343">
        <v>0</v>
      </c>
      <c r="AE243" s="343"/>
      <c r="AF243" s="343">
        <v>0</v>
      </c>
      <c r="AG243" s="343">
        <v>0</v>
      </c>
      <c r="AH243" s="343">
        <v>0</v>
      </c>
      <c r="AI243" s="343">
        <v>0</v>
      </c>
      <c r="AJ243" s="343">
        <v>0</v>
      </c>
      <c r="AK243" s="343">
        <v>0</v>
      </c>
      <c r="AL243" s="343"/>
      <c r="AM243" s="343">
        <v>0</v>
      </c>
      <c r="AN243" s="248">
        <v>0</v>
      </c>
      <c r="AO243" s="343">
        <v>0</v>
      </c>
      <c r="AP243" s="343">
        <v>0</v>
      </c>
      <c r="AQ243" s="248">
        <v>0</v>
      </c>
      <c r="AR243" s="343">
        <v>0</v>
      </c>
      <c r="AS243" s="343"/>
      <c r="AT243" s="343">
        <v>0</v>
      </c>
      <c r="AU243" s="343">
        <v>0</v>
      </c>
      <c r="AV243" s="343">
        <v>0</v>
      </c>
      <c r="AW243" s="343">
        <v>0</v>
      </c>
      <c r="AX243" s="343">
        <v>0</v>
      </c>
      <c r="AY243" s="343">
        <v>0</v>
      </c>
      <c r="AZ243" s="343"/>
      <c r="BA243" s="343"/>
      <c r="BB243" s="343">
        <v>0</v>
      </c>
      <c r="BC243" s="343"/>
      <c r="BD243" s="343"/>
      <c r="BE243" s="343"/>
      <c r="BF243" s="222">
        <f t="shared" si="82"/>
        <v>0</v>
      </c>
      <c r="BG243" s="896">
        <f t="shared" si="76"/>
        <v>0</v>
      </c>
      <c r="BH243" s="896">
        <f t="shared" si="77"/>
        <v>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20210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20210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817890</v>
      </c>
      <c r="R244" s="222"/>
      <c r="S244" s="222"/>
      <c r="T244" s="363">
        <f t="shared" si="83"/>
        <v>35560.434782608696</v>
      </c>
      <c r="U244" s="996">
        <f t="shared" si="80"/>
        <v>0</v>
      </c>
      <c r="V244" s="997"/>
      <c r="W244" s="345"/>
      <c r="X244" s="345"/>
      <c r="Y244" s="983" t="str">
        <f t="shared" si="81"/>
        <v>566FSILO</v>
      </c>
      <c r="Z244" s="938" t="s">
        <v>785</v>
      </c>
      <c r="AA244" s="418">
        <v>0</v>
      </c>
      <c r="AB244" s="343">
        <v>0</v>
      </c>
      <c r="AC244" s="343">
        <v>0</v>
      </c>
      <c r="AD244" s="343">
        <v>5500</v>
      </c>
      <c r="AE244" s="343"/>
      <c r="AF244" s="343">
        <v>115220</v>
      </c>
      <c r="AG244" s="343">
        <v>115950</v>
      </c>
      <c r="AH244" s="343">
        <v>14030</v>
      </c>
      <c r="AI244" s="343">
        <v>71220</v>
      </c>
      <c r="AJ244" s="343">
        <v>43760</v>
      </c>
      <c r="AK244" s="343">
        <v>4780</v>
      </c>
      <c r="AL244" s="343"/>
      <c r="AM244" s="343">
        <v>14570</v>
      </c>
      <c r="AN244" s="248">
        <v>0</v>
      </c>
      <c r="AO244" s="343">
        <v>0</v>
      </c>
      <c r="AP244" s="343">
        <v>0</v>
      </c>
      <c r="AQ244" s="248">
        <v>0</v>
      </c>
      <c r="AR244" s="343">
        <v>0</v>
      </c>
      <c r="AS244" s="343"/>
      <c r="AT244" s="343">
        <v>138940</v>
      </c>
      <c r="AU244" s="343">
        <v>29390</v>
      </c>
      <c r="AV244" s="343">
        <v>84250</v>
      </c>
      <c r="AW244" s="343">
        <v>57410</v>
      </c>
      <c r="AX244" s="343">
        <v>42630</v>
      </c>
      <c r="AY244" s="343">
        <v>60030</v>
      </c>
      <c r="AZ244" s="343"/>
      <c r="BA244" s="343"/>
      <c r="BB244" s="343">
        <v>20210</v>
      </c>
      <c r="BC244" s="343"/>
      <c r="BD244" s="343"/>
      <c r="BE244" s="343"/>
      <c r="BF244" s="222">
        <f t="shared" si="82"/>
        <v>817890</v>
      </c>
      <c r="BG244" s="896">
        <f t="shared" si="76"/>
        <v>15</v>
      </c>
      <c r="BH244" s="896">
        <f t="shared" si="77"/>
        <v>54526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96">
        <f t="shared" si="80"/>
        <v>0</v>
      </c>
      <c r="V245" s="997"/>
      <c r="W245" s="345"/>
      <c r="X245" s="345"/>
      <c r="Y245" s="983" t="str">
        <f>B245&amp;D245</f>
        <v>566FBigbag</v>
      </c>
      <c r="Z245" s="938">
        <v>366201</v>
      </c>
      <c r="AA245" s="418">
        <v>0</v>
      </c>
      <c r="AB245" s="343">
        <v>0</v>
      </c>
      <c r="AC245" s="343">
        <v>0</v>
      </c>
      <c r="AD245" s="343">
        <v>0</v>
      </c>
      <c r="AE245" s="343"/>
      <c r="AF245" s="343">
        <v>0</v>
      </c>
      <c r="AG245" s="343">
        <v>0</v>
      </c>
      <c r="AH245" s="343">
        <v>0</v>
      </c>
      <c r="AI245" s="343">
        <v>0</v>
      </c>
      <c r="AJ245" s="343">
        <v>0</v>
      </c>
      <c r="AK245" s="343">
        <v>0</v>
      </c>
      <c r="AL245" s="343"/>
      <c r="AM245" s="343">
        <v>0</v>
      </c>
      <c r="AN245" s="248">
        <v>0</v>
      </c>
      <c r="AO245" s="343">
        <v>0</v>
      </c>
      <c r="AP245" s="343">
        <v>0</v>
      </c>
      <c r="AQ245" s="248">
        <v>0</v>
      </c>
      <c r="AR245" s="343">
        <v>0</v>
      </c>
      <c r="AS245" s="343"/>
      <c r="AT245" s="343">
        <v>0</v>
      </c>
      <c r="AU245" s="343">
        <v>0</v>
      </c>
      <c r="AV245" s="343">
        <v>0</v>
      </c>
      <c r="AW245" s="343">
        <v>0</v>
      </c>
      <c r="AX245" s="343">
        <v>0</v>
      </c>
      <c r="AY245" s="343">
        <v>0</v>
      </c>
      <c r="AZ245" s="343"/>
      <c r="BA245" s="343"/>
      <c r="BB245" s="343">
        <v>0</v>
      </c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96">
        <f t="shared" si="80"/>
        <v>0</v>
      </c>
      <c r="V246" s="997"/>
      <c r="W246" s="345"/>
      <c r="X246" s="345"/>
      <c r="Y246" s="983" t="str">
        <f t="shared" si="81"/>
        <v>566FS34SILO</v>
      </c>
      <c r="Z246" s="938">
        <v>36630834</v>
      </c>
      <c r="AA246" s="418">
        <v>0</v>
      </c>
      <c r="AB246" s="343">
        <v>0</v>
      </c>
      <c r="AC246" s="343">
        <v>0</v>
      </c>
      <c r="AD246" s="343">
        <v>0</v>
      </c>
      <c r="AE246" s="343"/>
      <c r="AF246" s="343">
        <v>0</v>
      </c>
      <c r="AG246" s="343">
        <v>0</v>
      </c>
      <c r="AH246" s="343">
        <v>0</v>
      </c>
      <c r="AI246" s="343">
        <v>0</v>
      </c>
      <c r="AJ246" s="343">
        <v>0</v>
      </c>
      <c r="AK246" s="343">
        <v>0</v>
      </c>
      <c r="AL246" s="343"/>
      <c r="AM246" s="343">
        <v>0</v>
      </c>
      <c r="AN246" s="248">
        <v>0</v>
      </c>
      <c r="AO246" s="343">
        <v>0</v>
      </c>
      <c r="AP246" s="343">
        <v>0</v>
      </c>
      <c r="AQ246" s="248">
        <v>0</v>
      </c>
      <c r="AR246" s="343">
        <v>0</v>
      </c>
      <c r="AS246" s="343"/>
      <c r="AT246" s="343">
        <v>0</v>
      </c>
      <c r="AU246" s="343">
        <v>0</v>
      </c>
      <c r="AV246" s="343">
        <v>0</v>
      </c>
      <c r="AW246" s="343">
        <v>0</v>
      </c>
      <c r="AX246" s="343">
        <v>0</v>
      </c>
      <c r="AY246" s="343">
        <v>0</v>
      </c>
      <c r="AZ246" s="343"/>
      <c r="BA246" s="343"/>
      <c r="BB246" s="343">
        <v>0</v>
      </c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150540</v>
      </c>
      <c r="R247" s="222"/>
      <c r="S247" s="222"/>
      <c r="T247" s="363">
        <f t="shared" si="83"/>
        <v>6545.217391304348</v>
      </c>
      <c r="U247" s="996">
        <f t="shared" si="80"/>
        <v>0</v>
      </c>
      <c r="V247" s="997"/>
      <c r="W247" s="345"/>
      <c r="X247" s="345"/>
      <c r="Y247" s="983" t="str">
        <f t="shared" si="81"/>
        <v>566FS25SILO</v>
      </c>
      <c r="Z247" s="938">
        <v>36630825</v>
      </c>
      <c r="AA247" s="418">
        <v>41570</v>
      </c>
      <c r="AB247" s="343">
        <v>0</v>
      </c>
      <c r="AC247" s="343">
        <v>0</v>
      </c>
      <c r="AD247" s="343">
        <v>29700</v>
      </c>
      <c r="AE247" s="343"/>
      <c r="AF247" s="343">
        <v>0</v>
      </c>
      <c r="AG247" s="343">
        <v>0</v>
      </c>
      <c r="AH247" s="343">
        <v>0</v>
      </c>
      <c r="AI247" s="343">
        <v>0</v>
      </c>
      <c r="AJ247" s="343">
        <v>0</v>
      </c>
      <c r="AK247" s="343">
        <v>0</v>
      </c>
      <c r="AL247" s="343"/>
      <c r="AM247" s="343">
        <v>39980</v>
      </c>
      <c r="AN247" s="248">
        <v>13910</v>
      </c>
      <c r="AO247" s="343">
        <v>13910</v>
      </c>
      <c r="AP247" s="343">
        <v>11470</v>
      </c>
      <c r="AQ247" s="248">
        <v>0</v>
      </c>
      <c r="AR247" s="343">
        <v>0</v>
      </c>
      <c r="AS247" s="343"/>
      <c r="AT247" s="343">
        <v>0</v>
      </c>
      <c r="AU247" s="343">
        <v>0</v>
      </c>
      <c r="AV247" s="343">
        <v>0</v>
      </c>
      <c r="AW247" s="343">
        <v>0</v>
      </c>
      <c r="AX247" s="343">
        <v>0</v>
      </c>
      <c r="AY247" s="343">
        <v>0</v>
      </c>
      <c r="AZ247" s="343"/>
      <c r="BA247" s="343"/>
      <c r="BB247" s="343">
        <v>0</v>
      </c>
      <c r="BC247" s="343"/>
      <c r="BD247" s="343"/>
      <c r="BE247" s="343"/>
      <c r="BF247" s="222">
        <f t="shared" si="82"/>
        <v>150540</v>
      </c>
      <c r="BG247" s="896">
        <f t="shared" si="76"/>
        <v>6</v>
      </c>
      <c r="BH247" s="896">
        <f t="shared" si="77"/>
        <v>25090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124100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124100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499180</v>
      </c>
      <c r="R248" s="222"/>
      <c r="S248" s="222"/>
      <c r="T248" s="363">
        <f t="shared" ref="T248:T260" si="87">Q248/$N$293</f>
        <v>21703.478260869564</v>
      </c>
      <c r="U248" s="996">
        <f t="shared" si="80"/>
        <v>0</v>
      </c>
      <c r="V248" s="997"/>
      <c r="W248" s="345"/>
      <c r="X248" s="345"/>
      <c r="Y248" s="983" t="str">
        <f t="shared" si="81"/>
        <v>566FS31SILO</v>
      </c>
      <c r="Z248" s="938">
        <v>36630831</v>
      </c>
      <c r="AA248" s="418">
        <v>28270</v>
      </c>
      <c r="AB248" s="343">
        <v>101940</v>
      </c>
      <c r="AC248" s="343">
        <v>0</v>
      </c>
      <c r="AD248" s="343">
        <v>21280</v>
      </c>
      <c r="AE248" s="343"/>
      <c r="AF248" s="343">
        <v>0</v>
      </c>
      <c r="AG248" s="343">
        <v>0</v>
      </c>
      <c r="AH248" s="343">
        <v>0</v>
      </c>
      <c r="AI248" s="343">
        <v>0</v>
      </c>
      <c r="AJ248" s="343">
        <v>0</v>
      </c>
      <c r="AK248" s="343">
        <v>0</v>
      </c>
      <c r="AL248" s="343"/>
      <c r="AM248" s="343">
        <v>1080</v>
      </c>
      <c r="AN248" s="248">
        <v>115170</v>
      </c>
      <c r="AO248" s="343">
        <v>29290</v>
      </c>
      <c r="AP248" s="343">
        <v>29050</v>
      </c>
      <c r="AQ248" s="248">
        <v>13860</v>
      </c>
      <c r="AR248" s="343">
        <v>14990</v>
      </c>
      <c r="AS248" s="343"/>
      <c r="AT248" s="343">
        <v>20150</v>
      </c>
      <c r="AU248" s="343">
        <v>0</v>
      </c>
      <c r="AV248" s="343">
        <v>0</v>
      </c>
      <c r="AW248" s="343">
        <v>0</v>
      </c>
      <c r="AX248" s="343">
        <v>0</v>
      </c>
      <c r="AY248" s="343">
        <v>0</v>
      </c>
      <c r="AZ248" s="343"/>
      <c r="BA248" s="343"/>
      <c r="BB248" s="343">
        <v>124100</v>
      </c>
      <c r="BC248" s="343"/>
      <c r="BD248" s="343"/>
      <c r="BE248" s="343"/>
      <c r="BF248" s="222">
        <f t="shared" si="82"/>
        <v>499180</v>
      </c>
      <c r="BG248" s="896">
        <f t="shared" si="76"/>
        <v>11</v>
      </c>
      <c r="BH248" s="896">
        <f t="shared" si="77"/>
        <v>45380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96">
        <f t="shared" si="80"/>
        <v>0</v>
      </c>
      <c r="V249" s="997"/>
      <c r="W249" s="345"/>
      <c r="X249" s="345"/>
      <c r="Y249" s="983" t="str">
        <f>B249&amp;D249</f>
        <v>566FS90SILO</v>
      </c>
      <c r="Z249" s="938">
        <v>36630890</v>
      </c>
      <c r="AA249" s="418">
        <v>0</v>
      </c>
      <c r="AB249" s="343">
        <v>0</v>
      </c>
      <c r="AC249" s="343">
        <v>0</v>
      </c>
      <c r="AD249" s="343">
        <v>0</v>
      </c>
      <c r="AE249" s="343"/>
      <c r="AF249" s="343">
        <v>0</v>
      </c>
      <c r="AG249" s="343">
        <v>0</v>
      </c>
      <c r="AH249" s="343">
        <v>0</v>
      </c>
      <c r="AI249" s="343">
        <v>0</v>
      </c>
      <c r="AJ249" s="343">
        <v>0</v>
      </c>
      <c r="AK249" s="343">
        <v>0</v>
      </c>
      <c r="AL249" s="343"/>
      <c r="AM249" s="343">
        <v>0</v>
      </c>
      <c r="AN249" s="248">
        <v>0</v>
      </c>
      <c r="AO249" s="343">
        <v>0</v>
      </c>
      <c r="AP249" s="343">
        <v>0</v>
      </c>
      <c r="AQ249" s="248">
        <v>0</v>
      </c>
      <c r="AR249" s="343">
        <v>0</v>
      </c>
      <c r="AS249" s="343"/>
      <c r="AT249" s="343">
        <v>0</v>
      </c>
      <c r="AU249" s="343">
        <v>0</v>
      </c>
      <c r="AV249" s="343">
        <v>0</v>
      </c>
      <c r="AW249" s="343">
        <v>0</v>
      </c>
      <c r="AX249" s="343">
        <v>0</v>
      </c>
      <c r="AY249" s="343">
        <v>0</v>
      </c>
      <c r="AZ249" s="343"/>
      <c r="BA249" s="343"/>
      <c r="BB249" s="343">
        <v>0</v>
      </c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96">
        <f t="shared" si="80"/>
        <v>0</v>
      </c>
      <c r="V250" s="997"/>
      <c r="W250" s="345"/>
      <c r="X250" s="345"/>
      <c r="Y250" s="983" t="str">
        <f t="shared" si="81"/>
        <v>566FS72SILO</v>
      </c>
      <c r="Z250" s="938">
        <v>36630172</v>
      </c>
      <c r="AA250" s="418">
        <v>0</v>
      </c>
      <c r="AB250" s="343">
        <v>0</v>
      </c>
      <c r="AC250" s="343">
        <v>0</v>
      </c>
      <c r="AD250" s="343">
        <v>0</v>
      </c>
      <c r="AE250" s="343"/>
      <c r="AF250" s="343">
        <v>0</v>
      </c>
      <c r="AG250" s="343">
        <v>0</v>
      </c>
      <c r="AH250" s="343">
        <v>0</v>
      </c>
      <c r="AI250" s="343">
        <v>0</v>
      </c>
      <c r="AJ250" s="343">
        <v>0</v>
      </c>
      <c r="AK250" s="343">
        <v>0</v>
      </c>
      <c r="AL250" s="343"/>
      <c r="AM250" s="343">
        <v>0</v>
      </c>
      <c r="AN250" s="248">
        <v>0</v>
      </c>
      <c r="AO250" s="343">
        <v>0</v>
      </c>
      <c r="AP250" s="343">
        <v>0</v>
      </c>
      <c r="AQ250" s="248">
        <v>0</v>
      </c>
      <c r="AR250" s="343">
        <v>0</v>
      </c>
      <c r="AS250" s="343"/>
      <c r="AT250" s="343">
        <v>0</v>
      </c>
      <c r="AU250" s="343">
        <v>0</v>
      </c>
      <c r="AV250" s="343">
        <v>0</v>
      </c>
      <c r="AW250" s="343">
        <v>0</v>
      </c>
      <c r="AX250" s="343">
        <v>0</v>
      </c>
      <c r="AY250" s="343">
        <v>0</v>
      </c>
      <c r="AZ250" s="343"/>
      <c r="BA250" s="343"/>
      <c r="BB250" s="343">
        <v>0</v>
      </c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9520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9520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686800</v>
      </c>
      <c r="R251" s="222"/>
      <c r="S251" s="222"/>
      <c r="T251" s="363">
        <f t="shared" si="87"/>
        <v>29860.869565217392</v>
      </c>
      <c r="U251" s="996">
        <f t="shared" si="80"/>
        <v>0</v>
      </c>
      <c r="V251" s="997"/>
      <c r="W251" s="345"/>
      <c r="X251" s="345"/>
      <c r="Y251" s="983" t="str">
        <f t="shared" si="81"/>
        <v>567SFSILO</v>
      </c>
      <c r="Z251" s="938" t="s">
        <v>786</v>
      </c>
      <c r="AA251" s="418">
        <v>0</v>
      </c>
      <c r="AB251" s="343">
        <v>0</v>
      </c>
      <c r="AC251" s="343">
        <v>0</v>
      </c>
      <c r="AD251" s="343">
        <v>0</v>
      </c>
      <c r="AE251" s="343"/>
      <c r="AF251" s="343">
        <v>62590</v>
      </c>
      <c r="AG251" s="343">
        <v>31160</v>
      </c>
      <c r="AH251" s="343">
        <v>53190</v>
      </c>
      <c r="AI251" s="343">
        <v>34640</v>
      </c>
      <c r="AJ251" s="343">
        <v>72810</v>
      </c>
      <c r="AK251" s="343">
        <v>56640</v>
      </c>
      <c r="AL251" s="343"/>
      <c r="AM251" s="343">
        <v>0</v>
      </c>
      <c r="AN251" s="248">
        <v>0</v>
      </c>
      <c r="AO251" s="343">
        <v>0</v>
      </c>
      <c r="AP251" s="343">
        <v>0</v>
      </c>
      <c r="AQ251" s="248">
        <v>0</v>
      </c>
      <c r="AR251" s="343">
        <v>0</v>
      </c>
      <c r="AS251" s="343"/>
      <c r="AT251" s="343">
        <v>57210</v>
      </c>
      <c r="AU251" s="343">
        <v>27310</v>
      </c>
      <c r="AV251" s="343">
        <v>47440</v>
      </c>
      <c r="AW251" s="343">
        <v>100220</v>
      </c>
      <c r="AX251" s="343">
        <v>62690</v>
      </c>
      <c r="AY251" s="343">
        <v>71380</v>
      </c>
      <c r="AZ251" s="343"/>
      <c r="BA251" s="343"/>
      <c r="BB251" s="343">
        <v>9520</v>
      </c>
      <c r="BC251" s="343"/>
      <c r="BD251" s="343"/>
      <c r="BE251" s="343"/>
      <c r="BF251" s="222">
        <f t="shared" si="82"/>
        <v>686800</v>
      </c>
      <c r="BG251" s="896">
        <f t="shared" si="88"/>
        <v>13</v>
      </c>
      <c r="BH251" s="896">
        <f t="shared" si="89"/>
        <v>52830.769230769234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96">
        <f t="shared" si="80"/>
        <v>0</v>
      </c>
      <c r="V252" s="997"/>
      <c r="W252" s="345"/>
      <c r="X252" s="345"/>
      <c r="Y252" s="983" t="str">
        <f>B252&amp;D252</f>
        <v>567SFBigbag</v>
      </c>
      <c r="Z252" s="938">
        <v>367101</v>
      </c>
      <c r="AA252" s="418">
        <v>0</v>
      </c>
      <c r="AB252" s="343">
        <v>0</v>
      </c>
      <c r="AC252" s="343">
        <v>0</v>
      </c>
      <c r="AD252" s="343">
        <v>0</v>
      </c>
      <c r="AE252" s="343"/>
      <c r="AF252" s="343">
        <v>0</v>
      </c>
      <c r="AG252" s="343">
        <v>0</v>
      </c>
      <c r="AH252" s="343">
        <v>0</v>
      </c>
      <c r="AI252" s="343">
        <v>0</v>
      </c>
      <c r="AJ252" s="343">
        <v>0</v>
      </c>
      <c r="AK252" s="343">
        <v>0</v>
      </c>
      <c r="AL252" s="343"/>
      <c r="AM252" s="343">
        <v>0</v>
      </c>
      <c r="AN252" s="248">
        <v>0</v>
      </c>
      <c r="AO252" s="343">
        <v>0</v>
      </c>
      <c r="AP252" s="343">
        <v>0</v>
      </c>
      <c r="AQ252" s="248">
        <v>0</v>
      </c>
      <c r="AR252" s="343">
        <v>0</v>
      </c>
      <c r="AS252" s="343"/>
      <c r="AT252" s="343">
        <v>0</v>
      </c>
      <c r="AU252" s="343">
        <v>0</v>
      </c>
      <c r="AV252" s="343">
        <v>0</v>
      </c>
      <c r="AW252" s="343">
        <v>0</v>
      </c>
      <c r="AX252" s="343">
        <v>0</v>
      </c>
      <c r="AY252" s="343">
        <v>0</v>
      </c>
      <c r="AZ252" s="343"/>
      <c r="BA252" s="343"/>
      <c r="BB252" s="343">
        <v>0</v>
      </c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4980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4980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626270</v>
      </c>
      <c r="R253" s="222"/>
      <c r="S253" s="222"/>
      <c r="T253" s="363">
        <f t="shared" si="87"/>
        <v>27229.130434782608</v>
      </c>
      <c r="U253" s="996">
        <f t="shared" si="80"/>
        <v>0</v>
      </c>
      <c r="V253" s="997"/>
      <c r="W253" s="345"/>
      <c r="X253" s="345"/>
      <c r="Y253" s="983" t="str">
        <f>B253&amp;D253</f>
        <v>567SFS31SILO</v>
      </c>
      <c r="Z253" s="938">
        <v>36730831</v>
      </c>
      <c r="AA253" s="418">
        <v>54750</v>
      </c>
      <c r="AB253" s="343">
        <v>88740</v>
      </c>
      <c r="AC253" s="343">
        <v>41640</v>
      </c>
      <c r="AD253" s="343">
        <v>58720</v>
      </c>
      <c r="AE253" s="343"/>
      <c r="AF253" s="343">
        <v>8410</v>
      </c>
      <c r="AG253" s="343">
        <v>0</v>
      </c>
      <c r="AH253" s="343">
        <v>0</v>
      </c>
      <c r="AI253" s="343">
        <v>0</v>
      </c>
      <c r="AJ253" s="343">
        <v>0</v>
      </c>
      <c r="AK253" s="343">
        <v>23380</v>
      </c>
      <c r="AL253" s="343"/>
      <c r="AM253" s="343">
        <v>58640</v>
      </c>
      <c r="AN253" s="248">
        <v>50320</v>
      </c>
      <c r="AO253" s="343">
        <v>29690</v>
      </c>
      <c r="AP253" s="343">
        <v>108170</v>
      </c>
      <c r="AQ253" s="248">
        <v>69850</v>
      </c>
      <c r="AR253" s="343">
        <v>28010</v>
      </c>
      <c r="AS253" s="343"/>
      <c r="AT253" s="343">
        <v>0</v>
      </c>
      <c r="AU253" s="343">
        <v>970</v>
      </c>
      <c r="AV253" s="343">
        <v>0</v>
      </c>
      <c r="AW253" s="343">
        <v>0</v>
      </c>
      <c r="AX253" s="343">
        <v>0</v>
      </c>
      <c r="AY253" s="343">
        <v>0</v>
      </c>
      <c r="AZ253" s="343"/>
      <c r="BA253" s="343"/>
      <c r="BB253" s="343">
        <v>4980</v>
      </c>
      <c r="BC253" s="343"/>
      <c r="BD253" s="343"/>
      <c r="BE253" s="343"/>
      <c r="BF253" s="222">
        <f t="shared" si="82"/>
        <v>626270</v>
      </c>
      <c r="BG253" s="896">
        <f t="shared" si="88"/>
        <v>14</v>
      </c>
      <c r="BH253" s="896">
        <f t="shared" si="89"/>
        <v>44733.571428571428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43180</v>
      </c>
      <c r="G254" s="372"/>
      <c r="H254" s="344"/>
      <c r="I254" s="248"/>
      <c r="J254" s="248"/>
      <c r="K254" s="248"/>
      <c r="L254" s="248">
        <f>SUMIF(data!$D:$D,INTGRATE!$B254&amp;INTGRATE!$D254,data!$K:$K)</f>
        <v>43180</v>
      </c>
      <c r="M254" s="344"/>
      <c r="N254" s="356"/>
      <c r="O254" s="554"/>
      <c r="P254" s="248"/>
      <c r="Q254" s="388">
        <f t="shared" si="86"/>
        <v>253430</v>
      </c>
      <c r="R254" s="222"/>
      <c r="S254" s="222"/>
      <c r="T254" s="363">
        <f t="shared" si="87"/>
        <v>11018.695652173914</v>
      </c>
      <c r="U254" s="996">
        <f t="shared" si="80"/>
        <v>0</v>
      </c>
      <c r="V254" s="997"/>
      <c r="W254" s="345"/>
      <c r="X254" s="345"/>
      <c r="Y254" s="983" t="str">
        <f>B254&amp;D254</f>
        <v>567SFS25SILO</v>
      </c>
      <c r="Z254" s="938">
        <v>36730825</v>
      </c>
      <c r="AA254" s="418">
        <v>30080</v>
      </c>
      <c r="AB254" s="343">
        <v>27990</v>
      </c>
      <c r="AC254" s="343">
        <v>17460</v>
      </c>
      <c r="AD254" s="343">
        <v>0</v>
      </c>
      <c r="AE254" s="343"/>
      <c r="AF254" s="343">
        <v>0</v>
      </c>
      <c r="AG254" s="343">
        <v>0</v>
      </c>
      <c r="AH254" s="343">
        <v>0</v>
      </c>
      <c r="AI254" s="343">
        <v>0</v>
      </c>
      <c r="AJ254" s="343">
        <v>0</v>
      </c>
      <c r="AK254" s="343">
        <v>0</v>
      </c>
      <c r="AL254" s="343"/>
      <c r="AM254" s="343">
        <v>0</v>
      </c>
      <c r="AN254" s="248">
        <v>39910</v>
      </c>
      <c r="AO254" s="343">
        <v>28070</v>
      </c>
      <c r="AP254" s="343">
        <v>37660</v>
      </c>
      <c r="AQ254" s="248">
        <v>0</v>
      </c>
      <c r="AR254" s="343">
        <v>0</v>
      </c>
      <c r="AS254" s="343"/>
      <c r="AT254" s="343">
        <v>29080</v>
      </c>
      <c r="AU254" s="343">
        <v>0</v>
      </c>
      <c r="AV254" s="343">
        <v>0</v>
      </c>
      <c r="AW254" s="343">
        <v>0</v>
      </c>
      <c r="AX254" s="343">
        <v>0</v>
      </c>
      <c r="AY254" s="343">
        <v>0</v>
      </c>
      <c r="AZ254" s="343"/>
      <c r="BA254" s="343"/>
      <c r="BB254" s="343">
        <v>43180</v>
      </c>
      <c r="BC254" s="343"/>
      <c r="BD254" s="343"/>
      <c r="BE254" s="343"/>
      <c r="BF254" s="222">
        <f t="shared" si="82"/>
        <v>253430</v>
      </c>
      <c r="BG254" s="896">
        <f t="shared" si="88"/>
        <v>8</v>
      </c>
      <c r="BH254" s="896">
        <f t="shared" si="89"/>
        <v>31678.75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96">
        <f t="shared" si="80"/>
        <v>0</v>
      </c>
      <c r="V255" s="997"/>
      <c r="W255" s="345"/>
      <c r="X255" s="345"/>
      <c r="Y255" s="983" t="str">
        <f t="shared" si="81"/>
        <v>567SFS49SILO</v>
      </c>
      <c r="Z255" s="938">
        <v>36730849</v>
      </c>
      <c r="AA255" s="418">
        <v>0</v>
      </c>
      <c r="AB255" s="343">
        <v>0</v>
      </c>
      <c r="AC255" s="343">
        <v>0</v>
      </c>
      <c r="AD255" s="343">
        <v>0</v>
      </c>
      <c r="AE255" s="343"/>
      <c r="AF255" s="343">
        <v>0</v>
      </c>
      <c r="AG255" s="343">
        <v>0</v>
      </c>
      <c r="AH255" s="343">
        <v>0</v>
      </c>
      <c r="AI255" s="343">
        <v>0</v>
      </c>
      <c r="AJ255" s="343">
        <v>0</v>
      </c>
      <c r="AK255" s="343">
        <v>0</v>
      </c>
      <c r="AL255" s="343"/>
      <c r="AM255" s="343">
        <v>0</v>
      </c>
      <c r="AN255" s="248">
        <v>0</v>
      </c>
      <c r="AO255" s="343">
        <v>0</v>
      </c>
      <c r="AP255" s="343">
        <v>0</v>
      </c>
      <c r="AQ255" s="248">
        <v>0</v>
      </c>
      <c r="AR255" s="343">
        <v>0</v>
      </c>
      <c r="AS255" s="343"/>
      <c r="AT255" s="343">
        <v>0</v>
      </c>
      <c r="AU255" s="343">
        <v>0</v>
      </c>
      <c r="AV255" s="343">
        <v>0</v>
      </c>
      <c r="AW255" s="343">
        <v>0</v>
      </c>
      <c r="AX255" s="343">
        <v>0</v>
      </c>
      <c r="AY255" s="343">
        <v>0</v>
      </c>
      <c r="AZ255" s="343"/>
      <c r="BA255" s="343"/>
      <c r="BB255" s="343">
        <v>0</v>
      </c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96">
        <f t="shared" si="80"/>
        <v>0</v>
      </c>
      <c r="V256" s="997"/>
      <c r="W256" s="345"/>
      <c r="X256" s="345"/>
      <c r="Y256" s="983" t="str">
        <f t="shared" si="81"/>
        <v>567SFS50SILO</v>
      </c>
      <c r="Z256" s="938">
        <v>36730850</v>
      </c>
      <c r="AA256" s="418">
        <v>0</v>
      </c>
      <c r="AB256" s="343">
        <v>0</v>
      </c>
      <c r="AC256" s="343">
        <v>0</v>
      </c>
      <c r="AD256" s="343">
        <v>0</v>
      </c>
      <c r="AE256" s="343"/>
      <c r="AF256" s="343">
        <v>0</v>
      </c>
      <c r="AG256" s="343">
        <v>0</v>
      </c>
      <c r="AH256" s="343">
        <v>0</v>
      </c>
      <c r="AI256" s="343">
        <v>0</v>
      </c>
      <c r="AJ256" s="343">
        <v>0</v>
      </c>
      <c r="AK256" s="343">
        <v>0</v>
      </c>
      <c r="AL256" s="343"/>
      <c r="AM256" s="343">
        <v>0</v>
      </c>
      <c r="AN256" s="248">
        <v>0</v>
      </c>
      <c r="AO256" s="343">
        <v>0</v>
      </c>
      <c r="AP256" s="343">
        <v>0</v>
      </c>
      <c r="AQ256" s="248">
        <v>0</v>
      </c>
      <c r="AR256" s="343">
        <v>0</v>
      </c>
      <c r="AS256" s="343"/>
      <c r="AT256" s="343">
        <v>0</v>
      </c>
      <c r="AU256" s="343">
        <v>0</v>
      </c>
      <c r="AV256" s="343">
        <v>0</v>
      </c>
      <c r="AW256" s="343">
        <v>0</v>
      </c>
      <c r="AX256" s="343">
        <v>0</v>
      </c>
      <c r="AY256" s="343">
        <v>0</v>
      </c>
      <c r="AZ256" s="343"/>
      <c r="BA256" s="343"/>
      <c r="BB256" s="343">
        <v>0</v>
      </c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96">
        <f t="shared" si="80"/>
        <v>0</v>
      </c>
      <c r="V257" s="997"/>
      <c r="W257" s="345"/>
      <c r="X257" s="345"/>
      <c r="Y257" s="983" t="str">
        <f>B257&amp;D257</f>
        <v>567SFS53SILO</v>
      </c>
      <c r="Z257" s="938">
        <v>36730853</v>
      </c>
      <c r="AA257" s="418">
        <v>0</v>
      </c>
      <c r="AB257" s="343">
        <v>0</v>
      </c>
      <c r="AC257" s="343">
        <v>0</v>
      </c>
      <c r="AD257" s="343">
        <v>0</v>
      </c>
      <c r="AE257" s="343"/>
      <c r="AF257" s="343">
        <v>0</v>
      </c>
      <c r="AG257" s="343">
        <v>0</v>
      </c>
      <c r="AH257" s="343">
        <v>0</v>
      </c>
      <c r="AI257" s="343">
        <v>0</v>
      </c>
      <c r="AJ257" s="343">
        <v>0</v>
      </c>
      <c r="AK257" s="343">
        <v>0</v>
      </c>
      <c r="AL257" s="343"/>
      <c r="AM257" s="343">
        <v>0</v>
      </c>
      <c r="AN257" s="248">
        <v>0</v>
      </c>
      <c r="AO257" s="343">
        <v>0</v>
      </c>
      <c r="AP257" s="343">
        <v>0</v>
      </c>
      <c r="AQ257" s="248">
        <v>0</v>
      </c>
      <c r="AR257" s="343">
        <v>0</v>
      </c>
      <c r="AS257" s="343"/>
      <c r="AT257" s="343">
        <v>0</v>
      </c>
      <c r="AU257" s="343">
        <v>0</v>
      </c>
      <c r="AV257" s="343">
        <v>0</v>
      </c>
      <c r="AW257" s="343">
        <v>0</v>
      </c>
      <c r="AX257" s="343">
        <v>0</v>
      </c>
      <c r="AY257" s="343">
        <v>0</v>
      </c>
      <c r="AZ257" s="343"/>
      <c r="BA257" s="343"/>
      <c r="BB257" s="343">
        <v>0</v>
      </c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96">
        <f t="shared" si="80"/>
        <v>0</v>
      </c>
      <c r="V258" s="997"/>
      <c r="W258" s="345"/>
      <c r="X258" s="345"/>
      <c r="Y258" s="983" t="str">
        <f>B258&amp;D258</f>
        <v>567SFS72SILO</v>
      </c>
      <c r="Z258" s="938">
        <v>36730872</v>
      </c>
      <c r="AA258" s="418">
        <v>0</v>
      </c>
      <c r="AB258" s="343">
        <v>0</v>
      </c>
      <c r="AC258" s="343">
        <v>0</v>
      </c>
      <c r="AD258" s="343">
        <v>0</v>
      </c>
      <c r="AE258" s="343"/>
      <c r="AF258" s="343">
        <v>0</v>
      </c>
      <c r="AG258" s="343">
        <v>0</v>
      </c>
      <c r="AH258" s="343">
        <v>0</v>
      </c>
      <c r="AI258" s="343">
        <v>0</v>
      </c>
      <c r="AJ258" s="343">
        <v>0</v>
      </c>
      <c r="AK258" s="343">
        <v>0</v>
      </c>
      <c r="AL258" s="343"/>
      <c r="AM258" s="343">
        <v>0</v>
      </c>
      <c r="AN258" s="248">
        <v>0</v>
      </c>
      <c r="AO258" s="343">
        <v>0</v>
      </c>
      <c r="AP258" s="343">
        <v>0</v>
      </c>
      <c r="AQ258" s="248">
        <v>0</v>
      </c>
      <c r="AR258" s="343">
        <v>0</v>
      </c>
      <c r="AS258" s="343"/>
      <c r="AT258" s="343">
        <v>0</v>
      </c>
      <c r="AU258" s="343">
        <v>0</v>
      </c>
      <c r="AV258" s="343">
        <v>0</v>
      </c>
      <c r="AW258" s="343">
        <v>0</v>
      </c>
      <c r="AX258" s="343">
        <v>0</v>
      </c>
      <c r="AY258" s="343">
        <v>0</v>
      </c>
      <c r="AZ258" s="343"/>
      <c r="BA258" s="343"/>
      <c r="BB258" s="343">
        <v>0</v>
      </c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96">
        <f t="shared" si="80"/>
        <v>0</v>
      </c>
      <c r="V259" s="997"/>
      <c r="W259" s="345"/>
      <c r="X259" s="345"/>
      <c r="Y259" s="983" t="str">
        <f>B259&amp;D259</f>
        <v>567SFS90SILO</v>
      </c>
      <c r="Z259" s="938">
        <v>36730890</v>
      </c>
      <c r="AA259" s="418">
        <v>0</v>
      </c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>
        <v>0</v>
      </c>
      <c r="AK259" s="343">
        <v>0</v>
      </c>
      <c r="AL259" s="343"/>
      <c r="AM259" s="343">
        <v>0</v>
      </c>
      <c r="AN259" s="248">
        <v>0</v>
      </c>
      <c r="AO259" s="343">
        <v>0</v>
      </c>
      <c r="AP259" s="343">
        <v>0</v>
      </c>
      <c r="AQ259" s="248">
        <v>0</v>
      </c>
      <c r="AR259" s="343">
        <v>0</v>
      </c>
      <c r="AS259" s="343"/>
      <c r="AT259" s="343">
        <v>0</v>
      </c>
      <c r="AU259" s="343">
        <v>0</v>
      </c>
      <c r="AV259" s="343">
        <v>0</v>
      </c>
      <c r="AW259" s="343">
        <v>0</v>
      </c>
      <c r="AX259" s="343">
        <v>0</v>
      </c>
      <c r="AY259" s="343">
        <v>0</v>
      </c>
      <c r="AZ259" s="343"/>
      <c r="BA259" s="343"/>
      <c r="BB259" s="343">
        <v>0</v>
      </c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96">
        <f t="shared" si="80"/>
        <v>0</v>
      </c>
      <c r="V260" s="997"/>
      <c r="W260" s="345"/>
      <c r="X260" s="345"/>
      <c r="Y260" s="983" t="str">
        <f t="shared" si="81"/>
        <v>567SFS32SILO</v>
      </c>
      <c r="Z260" s="938">
        <v>36730832</v>
      </c>
      <c r="AA260" s="418">
        <v>0</v>
      </c>
      <c r="AB260" s="343"/>
      <c r="AC260" s="343">
        <v>0</v>
      </c>
      <c r="AD260" s="343">
        <v>0</v>
      </c>
      <c r="AE260" s="343"/>
      <c r="AF260" s="343">
        <v>0</v>
      </c>
      <c r="AG260" s="343">
        <v>0</v>
      </c>
      <c r="AH260" s="343">
        <v>0</v>
      </c>
      <c r="AI260" s="343"/>
      <c r="AJ260" s="343">
        <v>0</v>
      </c>
      <c r="AK260" s="343">
        <v>0</v>
      </c>
      <c r="AL260" s="343"/>
      <c r="AM260" s="343">
        <v>0</v>
      </c>
      <c r="AN260" s="343">
        <v>0</v>
      </c>
      <c r="AO260" s="343"/>
      <c r="AP260" s="343">
        <v>0</v>
      </c>
      <c r="AQ260" s="248">
        <v>0</v>
      </c>
      <c r="AR260" s="343">
        <v>0</v>
      </c>
      <c r="AS260" s="343"/>
      <c r="AT260" s="343">
        <v>0</v>
      </c>
      <c r="AU260" s="343">
        <v>0</v>
      </c>
      <c r="AV260" s="343">
        <v>0</v>
      </c>
      <c r="AW260" s="343">
        <v>0</v>
      </c>
      <c r="AX260" s="343"/>
      <c r="AY260" s="343">
        <v>0</v>
      </c>
      <c r="AZ260" s="343"/>
      <c r="BA260" s="343"/>
      <c r="BB260" s="343">
        <v>0</v>
      </c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993" t="s">
        <v>1739</v>
      </c>
      <c r="B261" s="994"/>
      <c r="C261" s="994"/>
      <c r="D261" s="995"/>
      <c r="E261" s="232">
        <f>E118+E125+E127+E126</f>
        <v>11950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3300</v>
      </c>
      <c r="I261" s="232">
        <f t="shared" si="90"/>
        <v>2240</v>
      </c>
      <c r="J261" s="232">
        <f t="shared" si="90"/>
        <v>0</v>
      </c>
      <c r="K261" s="232">
        <f t="shared" si="90"/>
        <v>0</v>
      </c>
      <c r="L261" s="232">
        <f t="shared" si="90"/>
        <v>22400</v>
      </c>
      <c r="M261" s="232">
        <f t="shared" si="90"/>
        <v>0</v>
      </c>
      <c r="N261" s="232">
        <f t="shared" si="90"/>
        <v>0</v>
      </c>
      <c r="O261" s="232">
        <f t="shared" si="90"/>
        <v>13010</v>
      </c>
      <c r="P261" s="232">
        <f t="shared" si="90"/>
        <v>130100</v>
      </c>
      <c r="Q261" s="232">
        <f t="shared" ref="Q261" si="91">Q118+Q125+Q127+Q126</f>
        <v>363400</v>
      </c>
      <c r="R261" s="232"/>
      <c r="S261" s="232"/>
      <c r="T261" s="232">
        <f>T118+T125+T127</f>
        <v>15800</v>
      </c>
      <c r="U261" s="1013">
        <f>IF(T261=0,0,P261/T261)</f>
        <v>8.2341772151898738</v>
      </c>
      <c r="V261" s="1014"/>
      <c r="W261" s="1069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>
        <v>12000</v>
      </c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12000</v>
      </c>
      <c r="BG261" s="896">
        <f t="shared" si="88"/>
        <v>1</v>
      </c>
      <c r="BH261" s="896">
        <f t="shared" si="89"/>
        <v>12000</v>
      </c>
    </row>
    <row r="262" spans="1:108" s="235" customFormat="1" ht="15.75" customHeight="1">
      <c r="A262" s="993" t="s">
        <v>1740</v>
      </c>
      <c r="B262" s="994"/>
      <c r="C262" s="994"/>
      <c r="D262" s="995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2826750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122902.17391304349</v>
      </c>
      <c r="U262" s="1013">
        <f>IF(T262=0,0,P262/T262)</f>
        <v>0</v>
      </c>
      <c r="V262" s="1014"/>
      <c r="W262" s="1070"/>
      <c r="X262" s="232">
        <f>+SUM(X119:X125)*25</f>
        <v>0</v>
      </c>
      <c r="Y262" s="977"/>
      <c r="Z262" s="939"/>
      <c r="AA262" s="234">
        <f t="shared" ref="AA262:BE262" si="93">SUM(AA118:AA260)</f>
        <v>1261210</v>
      </c>
      <c r="AB262" s="234">
        <f t="shared" si="93"/>
        <v>1509520</v>
      </c>
      <c r="AC262" s="234">
        <f t="shared" si="93"/>
        <v>1645740</v>
      </c>
      <c r="AD262" s="234">
        <f t="shared" si="93"/>
        <v>1621920</v>
      </c>
      <c r="AE262" s="234">
        <f t="shared" si="93"/>
        <v>0</v>
      </c>
      <c r="AF262" s="234">
        <f t="shared" si="93"/>
        <v>1945020</v>
      </c>
      <c r="AG262" s="234">
        <f t="shared" si="93"/>
        <v>1727700</v>
      </c>
      <c r="AH262" s="234">
        <f t="shared" si="93"/>
        <v>1581770</v>
      </c>
      <c r="AI262" s="234">
        <f t="shared" si="93"/>
        <v>1427870</v>
      </c>
      <c r="AJ262" s="234">
        <f t="shared" si="93"/>
        <v>1385400</v>
      </c>
      <c r="AK262" s="234">
        <f t="shared" si="93"/>
        <v>1177580</v>
      </c>
      <c r="AL262" s="234">
        <f t="shared" si="93"/>
        <v>0</v>
      </c>
      <c r="AM262" s="234">
        <f t="shared" si="93"/>
        <v>1767900</v>
      </c>
      <c r="AN262" s="234">
        <f t="shared" si="93"/>
        <v>1616070</v>
      </c>
      <c r="AO262" s="234">
        <f t="shared" si="93"/>
        <v>1683270</v>
      </c>
      <c r="AP262" s="234">
        <f t="shared" si="93"/>
        <v>1486620</v>
      </c>
      <c r="AQ262" s="234">
        <f t="shared" si="93"/>
        <v>1542750</v>
      </c>
      <c r="AR262" s="234">
        <f t="shared" si="93"/>
        <v>1334230</v>
      </c>
      <c r="AS262" s="234">
        <f t="shared" si="93"/>
        <v>0</v>
      </c>
      <c r="AT262" s="234">
        <f t="shared" si="93"/>
        <v>1729320</v>
      </c>
      <c r="AU262" s="234">
        <f>SUM(AU118:AU260)</f>
        <v>1468780</v>
      </c>
      <c r="AV262" s="234">
        <f t="shared" si="93"/>
        <v>1709220</v>
      </c>
      <c r="AW262" s="234">
        <f t="shared" si="93"/>
        <v>1650820</v>
      </c>
      <c r="AX262" s="234">
        <f t="shared" si="93"/>
        <v>1428920</v>
      </c>
      <c r="AY262" s="234">
        <f t="shared" si="93"/>
        <v>1426470</v>
      </c>
      <c r="AZ262" s="234">
        <f t="shared" si="93"/>
        <v>0</v>
      </c>
      <c r="BA262" s="234">
        <f t="shared" si="93"/>
        <v>0</v>
      </c>
      <c r="BB262" s="234">
        <f>SUM(BB118:BB260)</f>
        <v>2122240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36262340</v>
      </c>
      <c r="BG262" s="240"/>
      <c r="BH262" s="240"/>
      <c r="BI262" s="519"/>
    </row>
    <row r="263" spans="1:108" s="235" customFormat="1" ht="15.75" customHeight="1">
      <c r="A263" s="993" t="s">
        <v>1741</v>
      </c>
      <c r="B263" s="994"/>
      <c r="C263" s="994"/>
      <c r="D263" s="995"/>
      <c r="E263" s="232">
        <f>SUM(E128:E195,E121:E123,E119)-E135-E147-E158-E159-E170-E172</f>
        <v>69050</v>
      </c>
      <c r="F263" s="232">
        <f>SUM(F128:F195,F121:F123,F119)-F135-F147-F158-F159-F170-F172</f>
        <v>16358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31470</v>
      </c>
      <c r="J263" s="232">
        <f t="shared" si="94"/>
        <v>0</v>
      </c>
      <c r="K263" s="232">
        <f t="shared" si="94"/>
        <v>0</v>
      </c>
      <c r="L263" s="232">
        <f t="shared" si="94"/>
        <v>1573500</v>
      </c>
      <c r="M263" s="232">
        <f t="shared" si="94"/>
        <v>0</v>
      </c>
      <c r="N263" s="232">
        <f t="shared" si="94"/>
        <v>0</v>
      </c>
      <c r="O263" s="232">
        <f t="shared" si="94"/>
        <v>53938</v>
      </c>
      <c r="P263" s="232">
        <f t="shared" si="94"/>
        <v>2696900</v>
      </c>
      <c r="Q263" s="232">
        <f>+SUM(Q128:Q195)-Q135-Q129-Q158-Q147-Q170+Q123+Q119</f>
        <v>22352000</v>
      </c>
      <c r="R263" s="232">
        <f>+SUM(R128:R195)-R135-R129-R158-R147-R170+R123+R119</f>
        <v>2827000</v>
      </c>
      <c r="S263" s="232">
        <f>+SUM(S128:S195)-S135-S129-S158-S147-S170+S123+S119</f>
        <v>36250340</v>
      </c>
      <c r="T263" s="232">
        <f>+SUM(T128:T195)-T135-T129-T158-T147-T170+T123+T119</f>
        <v>971826.08695652196</v>
      </c>
      <c r="U263" s="1013">
        <f>IF(T263=0,0,P263/T263)</f>
        <v>2.7750850035790973</v>
      </c>
      <c r="V263" s="1014"/>
      <c r="W263" s="1070"/>
      <c r="X263" s="232">
        <f>+SUM(X128:X195)*50</f>
        <v>0</v>
      </c>
      <c r="Y263" s="977"/>
      <c r="Z263" s="939"/>
      <c r="AA263" s="214">
        <f>+AA262+AA103+BRAN!X150+BRAN!X193+BRAN!X276+BRAN!X300+BRAN!X331</f>
        <v>1725845</v>
      </c>
      <c r="AB263" s="214">
        <f>+AB262+AB103+BRAN!Y150+BRAN!Y193+BRAN!Y276+BRAN!Y300+BRAN!Y331</f>
        <v>2127350</v>
      </c>
      <c r="AC263" s="214">
        <f>+AC262+AC103+BRAN!Z150+BRAN!Z193+BRAN!Z276+BRAN!Z300+BRAN!Z331</f>
        <v>2409280</v>
      </c>
      <c r="AD263" s="214">
        <f>+AD262+AD103+BRAN!AA150+BRAN!AA193+BRAN!AA276+BRAN!AA300+BRAN!AA331</f>
        <v>2440050</v>
      </c>
      <c r="AE263" s="214">
        <f>+AE262+AE103+BRAN!AB150+BRAN!AB193+BRAN!AB276+BRAN!AB300+BRAN!AB331</f>
        <v>0</v>
      </c>
      <c r="AF263" s="214">
        <f>+AF262+AF103+BRAN!AC150+BRAN!AC193+BRAN!AC276+BRAN!AC300+BRAN!AC331</f>
        <v>2542660</v>
      </c>
      <c r="AG263" s="214">
        <f>+AG262+AG103+BRAN!AD150+BRAN!AD193+BRAN!AD276+BRAN!AD300+BRAN!AD331</f>
        <v>2348400</v>
      </c>
      <c r="AH263" s="214">
        <f>+AH262+AH103+BRAN!AE150+BRAN!AE193+BRAN!AE276+BRAN!AE300+BRAN!AE331</f>
        <v>2141210</v>
      </c>
      <c r="AI263" s="214">
        <f>+AI262+AI103+BRAN!AF150+BRAN!AF193+BRAN!AF276+BRAN!AF300+BRAN!AF331</f>
        <v>1905185</v>
      </c>
      <c r="AJ263" s="214">
        <f>+AJ262+AJ103+BRAN!AG150+BRAN!AG193+BRAN!AG276+BRAN!AG300+BRAN!AG331</f>
        <v>1975370</v>
      </c>
      <c r="AK263" s="214">
        <f>+AK262+AK103+BRAN!AH150+BRAN!AH193+BRAN!AH276+BRAN!AH300+BRAN!AH331</f>
        <v>1855230</v>
      </c>
      <c r="AL263" s="214">
        <f>+AL262+AL103+BRAN!AI150+BRAN!AI193+BRAN!AI276+BRAN!AI300+BRAN!AI331</f>
        <v>0</v>
      </c>
      <c r="AM263" s="214">
        <f>+AM262+AM103+BRAN!AJ150+BRAN!AJ193+BRAN!AJ276+BRAN!AJ300+BRAN!AJ331</f>
        <v>2277985</v>
      </c>
      <c r="AN263" s="214">
        <f>+AN262+AN103+BRAN!AK150+BRAN!AK193+BRAN!AK276+BRAN!AK300+BRAN!AK331</f>
        <v>2267115</v>
      </c>
      <c r="AO263" s="214">
        <f>+AO262+AO103+BRAN!AL150+BRAN!AL193+BRAN!AL276+BRAN!AL300+BRAN!AL331</f>
        <v>2123985</v>
      </c>
      <c r="AP263" s="214">
        <f>+AP262+AP103+BRAN!AM150+BRAN!AM193+BRAN!AM276+BRAN!AM300+BRAN!AM331</f>
        <v>1958030</v>
      </c>
      <c r="AQ263" s="214">
        <f>+AQ262+AQ103+BRAN!AN150+BRAN!AN193+BRAN!AN276+BRAN!AN300+BRAN!AN331</f>
        <v>2180610</v>
      </c>
      <c r="AR263" s="214">
        <f>+AR262+AR103+BRAN!AO150+BRAN!AO193+BRAN!AO276+BRAN!AO300+BRAN!AO331</f>
        <v>1990700</v>
      </c>
      <c r="AS263" s="214">
        <f>+AS262+AS103+BRAN!AP150+BRAN!AP193+BRAN!AP276+BRAN!AP300+BRAN!AP331</f>
        <v>0</v>
      </c>
      <c r="AT263" s="214">
        <f>+AT262+AT103+BRAN!AQ150+BRAN!AQ193+BRAN!AQ276+BRAN!AQ300+BRAN!AQ331</f>
        <v>2336075</v>
      </c>
      <c r="AU263" s="214">
        <f>+AU262+AU103+BRAN!AR150+BRAN!AR193+BRAN!AR276+BRAN!AR300+BRAN!AR331</f>
        <v>2053865</v>
      </c>
      <c r="AV263" s="214">
        <f>+AV262+AV103+BRAN!AS150+BRAN!AS193+BRAN!AS276+BRAN!AS300+BRAN!AS331</f>
        <v>2307325</v>
      </c>
      <c r="AW263" s="214">
        <f>+AW262+AW103+BRAN!AT150+BRAN!AT193+BRAN!AT276+BRAN!AT300+BRAN!AT331</f>
        <v>2095890</v>
      </c>
      <c r="AX263" s="214">
        <f>+AX262+AX103+BRAN!AU150+BRAN!AU193+BRAN!AU276+BRAN!AU300+BRAN!AU331</f>
        <v>2089775</v>
      </c>
      <c r="AY263" s="214">
        <f>+AY262+AY103+BRAN!AV150+BRAN!AV193+BRAN!AV276+BRAN!AV300+BRAN!AV331</f>
        <v>2399865</v>
      </c>
      <c r="AZ263" s="214">
        <f>+AZ262+AZ103+BRAN!AW150+BRAN!AW193+BRAN!AW276+BRAN!AW300+BRAN!AW331</f>
        <v>0</v>
      </c>
      <c r="BA263" s="214">
        <f>+BA262+BA103+BRAN!AX150+BRAN!AX193+BRAN!AX276+BRAN!AX300+BRAN!AX331</f>
        <v>0</v>
      </c>
      <c r="BB263" s="214">
        <f>+BB262+BB103+BRAN!AY150+BRAN!AY193+BRAN!AY276+BRAN!AY300+BRAN!AY331</f>
        <v>3149520</v>
      </c>
      <c r="BC263" s="214">
        <f>+BC262+BC103+BRAN!AZ150+BRAN!AZ193+BRAN!AZ276+BRAN!AZ300+BRAN!AZ331</f>
        <v>0</v>
      </c>
      <c r="BD263" s="214">
        <f>+BD262+BD103+BRAN!BA150+BRAN!BA193+BRAN!BA276+BRAN!BA300+BRAN!BA331</f>
        <v>0</v>
      </c>
      <c r="BE263" s="214">
        <f>+BE262+BE103+BRAN!BB150+BRAN!BB193+BRAN!BB276+BRAN!BB300+BRAN!BB331</f>
        <v>0</v>
      </c>
      <c r="BF263" s="214">
        <f>SUM(AA263:BE263)</f>
        <v>50701320</v>
      </c>
      <c r="BG263" s="214"/>
      <c r="BH263" s="214"/>
      <c r="BI263" s="209">
        <f>+BF262+BF103</f>
        <v>39024610</v>
      </c>
    </row>
    <row r="264" spans="1:108" s="235" customFormat="1" ht="15.75" customHeight="1">
      <c r="A264" s="993" t="s">
        <v>1766</v>
      </c>
      <c r="B264" s="994"/>
      <c r="C264" s="994"/>
      <c r="D264" s="995"/>
      <c r="E264" s="255"/>
      <c r="F264" s="255">
        <f>SUM(F196:F260)</f>
        <v>526340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526340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10708190</v>
      </c>
      <c r="R264" s="255">
        <f t="shared" si="95"/>
        <v>0</v>
      </c>
      <c r="S264" s="255">
        <f t="shared" si="95"/>
        <v>0</v>
      </c>
      <c r="T264" s="255">
        <f t="shared" si="95"/>
        <v>465573.47826086951</v>
      </c>
      <c r="U264" s="1013"/>
      <c r="V264" s="1014"/>
      <c r="W264" s="1070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+BF262+BF103+BRAN!BC332</f>
        <v>50713320</v>
      </c>
      <c r="BG264" s="519"/>
      <c r="BH264" s="519"/>
    </row>
    <row r="265" spans="1:108" s="893" customFormat="1" ht="15.75" customHeight="1">
      <c r="A265" s="990" t="s">
        <v>1742</v>
      </c>
      <c r="B265" s="991"/>
      <c r="C265" s="991"/>
      <c r="D265" s="992"/>
      <c r="E265" s="238">
        <f>SUM(E118:E195)</f>
        <v>81000</v>
      </c>
      <c r="F265" s="238">
        <f t="shared" ref="F265:O265" si="96">SUM(F261:F264)</f>
        <v>542698</v>
      </c>
      <c r="G265" s="238">
        <f t="shared" si="96"/>
        <v>0</v>
      </c>
      <c r="H265" s="238">
        <f t="shared" si="96"/>
        <v>3300</v>
      </c>
      <c r="I265" s="238">
        <f t="shared" si="96"/>
        <v>33710</v>
      </c>
      <c r="J265" s="238">
        <f t="shared" si="96"/>
        <v>0</v>
      </c>
      <c r="K265" s="238">
        <f t="shared" si="96"/>
        <v>0</v>
      </c>
      <c r="L265" s="238">
        <f>+L266-L264</f>
        <v>1595900</v>
      </c>
      <c r="M265" s="238">
        <f>SUM(M261:M264)</f>
        <v>0</v>
      </c>
      <c r="N265" s="238">
        <f t="shared" si="96"/>
        <v>0</v>
      </c>
      <c r="O265" s="238">
        <f t="shared" si="96"/>
        <v>66948</v>
      </c>
      <c r="P265" s="238">
        <f>SUM(P261:P264)</f>
        <v>2827000</v>
      </c>
      <c r="Q265" s="1055">
        <f>SUM(Q261:Q264)</f>
        <v>36250340</v>
      </c>
      <c r="R265" s="236">
        <f>SUM(R119:R260)</f>
        <v>2827000</v>
      </c>
      <c r="S265" s="236"/>
      <c r="T265" s="1055">
        <f>Q265/$N$293</f>
        <v>1576101.7391304348</v>
      </c>
      <c r="U265" s="1011" t="s">
        <v>1761</v>
      </c>
      <c r="V265" s="1012"/>
      <c r="W265" s="1070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993" t="s">
        <v>1743</v>
      </c>
      <c r="B266" s="994"/>
      <c r="C266" s="994"/>
      <c r="D266" s="995"/>
      <c r="E266" s="231">
        <f>+E261*10+E262*25+E263*50</f>
        <v>3572000</v>
      </c>
      <c r="F266" s="231">
        <f t="shared" ref="F266:O266" si="97">+F261*10+F262*25+F263*50</f>
        <v>817900</v>
      </c>
      <c r="G266" s="231">
        <f>+G261*10+G262*25+G263*50</f>
        <v>0</v>
      </c>
      <c r="H266" s="231">
        <f>+H261*10+H262*25+H263*50</f>
        <v>33000</v>
      </c>
      <c r="I266" s="231">
        <f>+I261*10+I262*25+I263*50</f>
        <v>1595900</v>
      </c>
      <c r="J266" s="231">
        <f t="shared" si="97"/>
        <v>0</v>
      </c>
      <c r="K266" s="231">
        <f t="shared" si="97"/>
        <v>0</v>
      </c>
      <c r="L266" s="231">
        <f>SUM(L118:L260)</f>
        <v>2122240</v>
      </c>
      <c r="M266" s="231">
        <f>+M261*10+M262*25+M263*50</f>
        <v>0</v>
      </c>
      <c r="N266" s="231">
        <f t="shared" si="97"/>
        <v>0</v>
      </c>
      <c r="O266" s="231">
        <f t="shared" si="97"/>
        <v>2827000</v>
      </c>
      <c r="P266" s="231">
        <f>SUM(P261:P264)</f>
        <v>2827000</v>
      </c>
      <c r="Q266" s="1056"/>
      <c r="R266" s="242"/>
      <c r="S266" s="242"/>
      <c r="T266" s="1056"/>
      <c r="U266" s="1011"/>
      <c r="V266" s="1012"/>
      <c r="W266" s="1071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080" t="s">
        <v>2471</v>
      </c>
      <c r="B267" s="1081"/>
      <c r="C267" s="1072" t="s">
        <v>1753</v>
      </c>
      <c r="D267" s="1073"/>
      <c r="E267" s="238">
        <f>+E265+E107</f>
        <v>94235</v>
      </c>
      <c r="F267" s="238"/>
      <c r="G267" s="238"/>
      <c r="H267" s="238">
        <f>SUM(H107,H265)</f>
        <v>3300</v>
      </c>
      <c r="I267" s="238">
        <f>SUM(I107,I265)</f>
        <v>36069</v>
      </c>
      <c r="J267" s="238">
        <f>SUM(J107,J265)</f>
        <v>0</v>
      </c>
      <c r="K267" s="238">
        <f>SUM(K107,K265)</f>
        <v>0</v>
      </c>
      <c r="L267" s="238">
        <f>SUM(L107,L265)</f>
        <v>1595900</v>
      </c>
      <c r="M267" s="238"/>
      <c r="N267" s="238">
        <f>SUM(N107,N265)</f>
        <v>0</v>
      </c>
      <c r="O267" s="557">
        <f>+SUM(O261:O264)+SUM(O103:O106)</f>
        <v>80715</v>
      </c>
      <c r="P267" s="238">
        <f>SUM(P107,P265)</f>
        <v>3428000</v>
      </c>
      <c r="Q267" s="1060" t="s">
        <v>1691</v>
      </c>
      <c r="R267" s="1061"/>
      <c r="S267" s="1061"/>
      <c r="T267" s="1061"/>
      <c r="U267" s="1061"/>
      <c r="V267" s="1061"/>
      <c r="W267" s="1062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082"/>
      <c r="B268" s="1083"/>
      <c r="C268" s="1000" t="s">
        <v>101</v>
      </c>
      <c r="D268" s="1001"/>
      <c r="E268" s="221">
        <f>+E266+E108</f>
        <v>4146400</v>
      </c>
      <c r="F268" s="221">
        <f>+F266+F108</f>
        <v>992440</v>
      </c>
      <c r="G268" s="221">
        <f>+G266+G108</f>
        <v>0</v>
      </c>
      <c r="H268" s="221">
        <f>SUM(H108,H266)</f>
        <v>33000</v>
      </c>
      <c r="I268" s="221">
        <f>SUM(I108,I266)</f>
        <v>1743840</v>
      </c>
      <c r="J268" s="370"/>
      <c r="K268" s="370"/>
      <c r="L268" s="221">
        <f>SUM(L108,L266)</f>
        <v>2270180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3428000</v>
      </c>
      <c r="P268" s="670">
        <f>+P266+P108</f>
        <v>3428000</v>
      </c>
      <c r="Q268" s="1063"/>
      <c r="R268" s="1064"/>
      <c r="S268" s="1064"/>
      <c r="T268" s="1064"/>
      <c r="U268" s="1064"/>
      <c r="V268" s="1064"/>
      <c r="W268" s="1065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074" t="s">
        <v>1745</v>
      </c>
      <c r="B269" s="1075"/>
      <c r="C269" s="998" t="s">
        <v>1746</v>
      </c>
      <c r="D269" s="999"/>
      <c r="E269" s="221">
        <f>SUM(BRAN!E152,BRAN!E193,BRAN!E276,BRAN!E300,BRAN!E331)</f>
        <v>8</v>
      </c>
      <c r="F269" s="221">
        <f>SUM(BRAN!F152,BRAN!F193,BRAN!F276,BRAN!F300,BRAN!F331)</f>
        <v>0</v>
      </c>
      <c r="G269" s="221">
        <f>SUM(BRAN!G152,BRAN!G193,BRAN!G276,BRAN!G300,BRAN!G331)</f>
        <v>0</v>
      </c>
      <c r="H269" s="221">
        <f>SUM(BRAN!H152,BRAN!H193,BRAN!H276,BRAN!H300,BRAN!H331)</f>
        <v>0</v>
      </c>
      <c r="I269" s="221">
        <f>SUM(BRAN!I152,BRAN!I193,BRAN!I276,BRAN!I300,BRAN!I331)</f>
        <v>6</v>
      </c>
      <c r="J269" s="221"/>
      <c r="K269" s="221"/>
      <c r="L269" s="221">
        <f>SUM(BRAN!J152,BRAN!J193,BRAN!J276,BRAN!J300,BRAN!J331)</f>
        <v>150</v>
      </c>
      <c r="M269" s="221">
        <f>SUM(BRAN!K152,BRAN!K193,BRAN!K276,BRAN!K300,BRAN!K331)</f>
        <v>0</v>
      </c>
      <c r="N269" s="221">
        <f>SUM(BRAN!L152,BRAN!L193,BRAN!L276,BRAN!L300,BRAN!L331)</f>
        <v>0</v>
      </c>
      <c r="O269" s="669">
        <f>SUM(BRAN!M152,BRAN!M193,BRAN!M276,BRAN!M300,BRAN!M331)</f>
        <v>2</v>
      </c>
      <c r="P269" s="669">
        <f>+O269*25</f>
        <v>50</v>
      </c>
      <c r="Q269" s="1063"/>
      <c r="R269" s="1064"/>
      <c r="S269" s="1064"/>
      <c r="T269" s="1064"/>
      <c r="U269" s="1064"/>
      <c r="V269" s="1064"/>
      <c r="W269" s="1065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076"/>
      <c r="B270" s="1077"/>
      <c r="C270" s="998" t="s">
        <v>1748</v>
      </c>
      <c r="D270" s="999"/>
      <c r="E270" s="221">
        <f>+E261+BRAN!E151</f>
        <v>12063</v>
      </c>
      <c r="F270" s="221">
        <f>+F261</f>
        <v>0</v>
      </c>
      <c r="G270" s="221">
        <f>+G261</f>
        <v>0</v>
      </c>
      <c r="H270" s="221">
        <f>+H261+BRAN!H151</f>
        <v>3300</v>
      </c>
      <c r="I270" s="221">
        <f>+I261+BRAN!I151</f>
        <v>2245</v>
      </c>
      <c r="J270" s="221"/>
      <c r="K270" s="221"/>
      <c r="L270" s="221">
        <f>+I270*10</f>
        <v>22450</v>
      </c>
      <c r="M270" s="221">
        <f>+M261+BRAN!K151</f>
        <v>0</v>
      </c>
      <c r="N270" s="221">
        <f>+N261+BRAN!L151</f>
        <v>0</v>
      </c>
      <c r="O270" s="669">
        <f>+E270+F270+G270+H270-I270-M270-N270</f>
        <v>13118</v>
      </c>
      <c r="P270" s="670">
        <f>+O270*10</f>
        <v>131180</v>
      </c>
      <c r="Q270" s="1063"/>
      <c r="R270" s="1064"/>
      <c r="S270" s="1064"/>
      <c r="T270" s="1064"/>
      <c r="U270" s="1064"/>
      <c r="V270" s="1064"/>
      <c r="W270" s="1065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078"/>
      <c r="B271" s="1079"/>
      <c r="C271" s="998" t="s">
        <v>1749</v>
      </c>
      <c r="D271" s="999"/>
      <c r="E271" s="220">
        <f>SUM(BRAN!E153,BRAN!E194,BRAN!E277,BRAN!E301,BRAN!E332)+SUM(INTGRATE!E103,INTGRATE!E262)</f>
        <v>71547</v>
      </c>
      <c r="F271" s="220">
        <f>SUM(BRAN!F153,BRAN!F194,BRAN!F277,BRAN!F301,BRAN!F332)+SUM(INTGRATE!F103,INTGRATE!F262)</f>
        <v>9055</v>
      </c>
      <c r="G271" s="220">
        <f>SUM(BRAN!G153,BRAN!G194,BRAN!G277,BRAN!G301,BRAN!G332)+SUM(INTGRATE!G103,INTGRATE!G262)</f>
        <v>0</v>
      </c>
      <c r="H271" s="220">
        <f>SUM(BRAN!H153,BRAN!H194,BRAN!H277,BRAN!H301,BRAN!H332)+SUM(INTGRATE!H103,INTGRATE!H262)</f>
        <v>0</v>
      </c>
      <c r="I271" s="220">
        <f>SUM(BRAN!I153,BRAN!I194,BRAN!I277,BRAN!I301,BRAN!I332)+SUM(INTGRATE!I103,INTGRATE!I262)+I158</f>
        <v>28590</v>
      </c>
      <c r="J271" s="220"/>
      <c r="K271" s="220"/>
      <c r="L271" s="220">
        <f>SUM(BRAN!J153,BRAN!J194,BRAN!J277,BRAN!J301,BRAN!J332)+SUM(INTGRATE!L103,INTGRATE!L262)+L158</f>
        <v>714750</v>
      </c>
      <c r="M271" s="562">
        <f>SUM(BRAN!K153,BRAN!K194,BRAN!K277,BRAN!K301,BRAN!K332)+SUM(INTGRATE!M103,INTGRATE!M262)</f>
        <v>0</v>
      </c>
      <c r="N271" s="562">
        <f>SUM(BRAN!L153,BRAN!L194,BRAN!L277,BRAN!L301,BRAN!L332)+SUM(INTGRATE!N103,INTGRATE!N262)</f>
        <v>0</v>
      </c>
      <c r="O271" s="671">
        <f>+O262+O103+BRAN!M153+BRAN!M194+BRAN!M277+BRAN!M332+BRAN!M301</f>
        <v>52012</v>
      </c>
      <c r="P271" s="672">
        <f>+O271*25</f>
        <v>1300300</v>
      </c>
      <c r="Q271" s="1063"/>
      <c r="R271" s="1064"/>
      <c r="S271" s="1064"/>
      <c r="T271" s="1064"/>
      <c r="U271" s="1064"/>
      <c r="V271" s="1064"/>
      <c r="W271" s="1065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25" t="s">
        <v>1744</v>
      </c>
      <c r="B272" s="1126"/>
      <c r="C272" s="998" t="s">
        <v>1750</v>
      </c>
      <c r="D272" s="999"/>
      <c r="E272" s="220">
        <f>SUM(BRAN!E154,BRAN!E195,BRAN!E278,BRAN!E302,BRAN!E333)+E104</f>
        <v>0</v>
      </c>
      <c r="F272" s="220">
        <f>SUM(BRAN!F154,BRAN!F195,BRAN!F278,BRAN!F302,BRAN!F333)+F104</f>
        <v>0</v>
      </c>
      <c r="G272" s="220">
        <f>SUM(BRAN!G154,BRAN!G195,BRAN!G278,BRAN!G302,BRAN!G333)+G104</f>
        <v>0</v>
      </c>
      <c r="H272" s="220">
        <f>SUM(BRAN!H154,BRAN!H195,BRAN!H278,BRAN!H302)+H104</f>
        <v>0</v>
      </c>
      <c r="I272" s="220">
        <f>SUM(BRAN!I154,BRAN!I195,BRAN!I278,BRAN!I302,BRAN!I333)+I104</f>
        <v>0</v>
      </c>
      <c r="J272" s="220">
        <f>SUM(BRAN!J154,BRAN!J195,BRAN!J278,BRAN!J302,BRAN!J333)+J104</f>
        <v>0</v>
      </c>
      <c r="K272" s="220">
        <f>SUM(BRAN!K154,BRAN!K195,BRAN!K278,BRAN!K302,BRAN!K333)+K104</f>
        <v>0</v>
      </c>
      <c r="L272" s="220">
        <f>+I272*40</f>
        <v>0</v>
      </c>
      <c r="M272" s="220">
        <f>+M104+BRAN!K195+BRAN!K154+BRAN!K278+BRAN!K302+BRAN!K333</f>
        <v>0</v>
      </c>
      <c r="N272" s="220">
        <f>+N104+BRAN!L195+BRAN!L154</f>
        <v>0</v>
      </c>
      <c r="O272" s="220">
        <f>+BRAN!M154+BRAN!M195+BRAN!M278+BRAN!M302+BRAN!M333</f>
        <v>0</v>
      </c>
      <c r="P272" s="220">
        <f>+O272*40</f>
        <v>0</v>
      </c>
      <c r="Q272" s="1063"/>
      <c r="R272" s="1064"/>
      <c r="S272" s="1064"/>
      <c r="T272" s="1064"/>
      <c r="U272" s="1064"/>
      <c r="V272" s="1064"/>
      <c r="W272" s="1065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27"/>
      <c r="B273" s="1128"/>
      <c r="C273" s="998" t="s">
        <v>1751</v>
      </c>
      <c r="D273" s="999"/>
      <c r="E273" s="220">
        <f>SUM(E105,E263)</f>
        <v>78791</v>
      </c>
      <c r="F273" s="220">
        <f>SUM(F105,F263)</f>
        <v>19249</v>
      </c>
      <c r="G273" s="220">
        <f>SUM(G105,G263)</f>
        <v>0</v>
      </c>
      <c r="H273" s="220">
        <f>SUM(H105,H106,H263,H264)</f>
        <v>0</v>
      </c>
      <c r="I273" s="220">
        <f>SUM(I105,I263)-I158</f>
        <v>33829</v>
      </c>
      <c r="J273" s="220">
        <f>SUM(J105,J263)-J158</f>
        <v>0</v>
      </c>
      <c r="K273" s="220">
        <f>SUM(K105,K263)-K158</f>
        <v>0</v>
      </c>
      <c r="L273" s="220">
        <f>SUM(L105,L263)-L158</f>
        <v>1691450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64211</v>
      </c>
      <c r="P273" s="672">
        <f>+O273*50</f>
        <v>3210550</v>
      </c>
      <c r="Q273" s="1063"/>
      <c r="R273" s="1064"/>
      <c r="S273" s="1064"/>
      <c r="T273" s="1064"/>
      <c r="U273" s="1064"/>
      <c r="V273" s="1064"/>
      <c r="W273" s="1065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29"/>
      <c r="B274" s="1130"/>
      <c r="C274" s="1000" t="s">
        <v>1752</v>
      </c>
      <c r="D274" s="1001"/>
      <c r="E274" s="220">
        <f>+E269*25+E270*10+E271*25+E272*40+E273*50</f>
        <v>5849055</v>
      </c>
      <c r="F274" s="322">
        <f>+F271*25+F269*25+F270*10+F272*40+F273*50+F264+F106+BRAN!F155+BRAN!F280+BRAN!F334+BRAN!F304</f>
        <v>1909545</v>
      </c>
      <c r="G274" s="322">
        <f>SUM(BRAN!G157,BRAN!G197,BRAN!G281,BRAN!G305,BRAN!G336)+SUM(G266,G108)</f>
        <v>0</v>
      </c>
      <c r="H274" s="322">
        <f>SUM(BRAN!H157,BRAN!H197,BRAN!H281,BRAN!H305,BRAN!H336)+SUM(H266,H108)</f>
        <v>33000</v>
      </c>
      <c r="I274" s="322">
        <f>+L274</f>
        <v>3149520</v>
      </c>
      <c r="J274" s="322"/>
      <c r="K274" s="322"/>
      <c r="L274" s="412">
        <f>+L266+L108+BRAN!J336+BRAN!J305+BRAN!J281+BRAN!J197+BRAN!J157</f>
        <v>3149520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4642080</v>
      </c>
      <c r="P274" s="667">
        <f>SUM(P269:P273)</f>
        <v>4642080</v>
      </c>
      <c r="Q274" s="1066"/>
      <c r="R274" s="1067"/>
      <c r="S274" s="1067"/>
      <c r="T274" s="1067"/>
      <c r="U274" s="1067"/>
      <c r="V274" s="1067"/>
      <c r="W274" s="1068"/>
      <c r="X274" s="466">
        <f>+X265+X108+BRAN!U157+BRAN!U197+BRAN!U281+BRAN!U305+BRAN!U336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4642080</v>
      </c>
      <c r="P275" s="675">
        <f>+E274+F274+H274-I274-M274-N274</f>
        <v>4642080</v>
      </c>
      <c r="Q275" s="256">
        <f>SUM(Q119:Q260)</f>
        <v>35886940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07"/>
      <c r="U276" s="1007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212">
        <f>P274+REMIX!O24+X274</f>
        <v>4642080</v>
      </c>
      <c r="R281" s="1213"/>
      <c r="S281" s="1213"/>
      <c r="T281" s="1213"/>
      <c r="U281" s="1214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033" t="s">
        <v>1755</v>
      </c>
      <c r="P282" s="1034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033" t="s">
        <v>1756</v>
      </c>
      <c r="P283" s="1034"/>
      <c r="Q283" s="265">
        <f>SUM(R128)+BRAN!P14+BRAN!P167+BRAN!P206</f>
        <v>233805</v>
      </c>
      <c r="R283" s="233"/>
      <c r="S283" s="233"/>
      <c r="T283" s="265">
        <f>Q283/Q281*100</f>
        <v>5.0366430565608518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033" t="s">
        <v>1757</v>
      </c>
      <c r="P284" s="1034"/>
      <c r="Q284" s="265">
        <f>+Q281-Q282-Q283</f>
        <v>4408275</v>
      </c>
      <c r="R284" s="233"/>
      <c r="S284" s="233"/>
      <c r="T284" s="265">
        <f>Q284/Q281*100</f>
        <v>94.963356943439152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19" t="s">
        <v>1758</v>
      </c>
      <c r="P285" s="1121"/>
      <c r="Q285" s="1209">
        <v>595370</v>
      </c>
      <c r="R285" s="1210"/>
      <c r="S285" s="1210"/>
      <c r="T285" s="1210"/>
      <c r="U285" s="1211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19" t="s">
        <v>1776</v>
      </c>
      <c r="P286" s="1120"/>
      <c r="Q286" s="1209">
        <v>0</v>
      </c>
      <c r="R286" s="1210"/>
      <c r="S286" s="1210"/>
      <c r="T286" s="1210"/>
      <c r="U286" s="1211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028" t="s">
        <v>1759</v>
      </c>
      <c r="P287" s="1009"/>
      <c r="Q287" s="1008">
        <f>+Q281+Q285+Q286</f>
        <v>5237450</v>
      </c>
      <c r="R287" s="1009"/>
      <c r="S287" s="1009"/>
      <c r="T287" s="1009"/>
      <c r="U287" s="1010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084" t="s">
        <v>1777</v>
      </c>
      <c r="P288" s="1085"/>
      <c r="Q288" s="1086"/>
      <c r="R288" s="269"/>
      <c r="S288" s="270"/>
      <c r="T288" s="1219">
        <f>Q281/O311</f>
        <v>2.1058197301372035</v>
      </c>
      <c r="U288" s="1220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031" t="s">
        <v>1778</v>
      </c>
      <c r="P289" s="1032"/>
      <c r="Q289" s="271">
        <f>+BRAN!N157+BRAN!N197+BRAN!N281+BRAN!N305+BRAN!N336</f>
        <v>1214080</v>
      </c>
      <c r="R289" s="272"/>
      <c r="S289" s="272"/>
      <c r="T289" s="567">
        <f>+Q289/Q287*100</f>
        <v>23.180746355573799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029" t="s">
        <v>1779</v>
      </c>
      <c r="P290" s="1030"/>
      <c r="Q290" s="271">
        <f>+Q281-Q289</f>
        <v>3428000</v>
      </c>
      <c r="R290" s="269"/>
      <c r="S290" s="269"/>
      <c r="T290" s="568">
        <f>+Q290/$Q$287*100</f>
        <v>65.451698822900468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026" t="s">
        <v>1780</v>
      </c>
      <c r="P291" s="1027"/>
      <c r="Q291" s="775">
        <v>322000</v>
      </c>
      <c r="R291" s="515"/>
      <c r="S291" s="515"/>
      <c r="T291" s="568">
        <f>+Q291/$Q$287*100</f>
        <v>6.1480300527928664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202"/>
      <c r="P292" s="1202"/>
      <c r="Q292" s="1202"/>
      <c r="T292" s="245"/>
      <c r="U292" s="214"/>
      <c r="V292" s="214"/>
    </row>
    <row r="293" spans="1:26" ht="17.25" customHeight="1" thickBot="1">
      <c r="A293" s="1059" t="s">
        <v>1697</v>
      </c>
      <c r="B293" s="1059"/>
      <c r="C293" s="295">
        <v>23.5</v>
      </c>
      <c r="D293" s="1058" t="s">
        <v>1698</v>
      </c>
      <c r="E293" s="1058"/>
      <c r="F293" s="1058"/>
      <c r="G293" s="1058"/>
      <c r="H293" s="1058"/>
      <c r="I293" s="1103"/>
      <c r="J293" s="1103"/>
      <c r="L293" s="1059" t="s">
        <v>1711</v>
      </c>
      <c r="M293" s="1059"/>
      <c r="N293" s="296">
        <v>23</v>
      </c>
      <c r="O293" s="1218" t="s">
        <v>1712</v>
      </c>
      <c r="P293" s="1218"/>
      <c r="Q293" s="1218"/>
      <c r="R293" s="1218"/>
      <c r="S293" s="1218"/>
      <c r="T293" s="1218"/>
      <c r="U293" s="1218"/>
      <c r="V293" s="210"/>
    </row>
    <row r="294" spans="1:26" ht="21.75" customHeight="1">
      <c r="A294" s="1133" t="s">
        <v>1696</v>
      </c>
      <c r="B294" s="1122" t="s">
        <v>2674</v>
      </c>
      <c r="C294" s="1123"/>
      <c r="D294" s="1123"/>
      <c r="E294" s="1123"/>
      <c r="F294" s="1123"/>
      <c r="G294" s="1123"/>
      <c r="H294" s="1124"/>
      <c r="I294" s="1111"/>
      <c r="J294" s="1111"/>
      <c r="K294" s="279"/>
      <c r="L294" s="1193" t="s">
        <v>1696</v>
      </c>
      <c r="M294" s="1194"/>
      <c r="N294" s="1094" t="s">
        <v>2673</v>
      </c>
      <c r="O294" s="1095"/>
      <c r="P294" s="1095"/>
      <c r="Q294" s="1095"/>
      <c r="R294" s="1095"/>
      <c r="S294" s="1095"/>
      <c r="T294" s="1095"/>
      <c r="U294" s="1096"/>
      <c r="V294" s="333"/>
      <c r="W294" s="332"/>
      <c r="X294" s="267"/>
      <c r="Y294" s="882"/>
      <c r="Z294" s="945"/>
    </row>
    <row r="295" spans="1:26" ht="25.5" customHeight="1">
      <c r="A295" s="1134"/>
      <c r="B295" s="789" t="s">
        <v>1704</v>
      </c>
      <c r="C295" s="789" t="s">
        <v>901</v>
      </c>
      <c r="D295" s="1112" t="s">
        <v>62</v>
      </c>
      <c r="E295" s="1113"/>
      <c r="F295" s="1112" t="s">
        <v>63</v>
      </c>
      <c r="G295" s="1135"/>
      <c r="H295" s="1136"/>
      <c r="I295" s="1103"/>
      <c r="J295" s="1103"/>
      <c r="K295" s="275"/>
      <c r="L295" s="1195"/>
      <c r="M295" s="1196"/>
      <c r="N295" s="789" t="s">
        <v>901</v>
      </c>
      <c r="O295" s="790" t="s">
        <v>48</v>
      </c>
      <c r="P295" s="1087" t="s">
        <v>902</v>
      </c>
      <c r="Q295" s="1197"/>
      <c r="R295" s="791"/>
      <c r="S295" s="791"/>
      <c r="T295" s="1087" t="s">
        <v>41</v>
      </c>
      <c r="U295" s="1088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BRAN!F152*25+9075</f>
        <v>9075</v>
      </c>
      <c r="C296" s="839">
        <f>+BRAN!F155+929900</f>
        <v>1008560</v>
      </c>
      <c r="D296" s="1131">
        <f>BRAN!F153*25+BRAN!F154*40+7021550</f>
        <v>7139875</v>
      </c>
      <c r="E296" s="1132"/>
      <c r="F296" s="1105"/>
      <c r="G296" s="1106"/>
      <c r="H296" s="1107"/>
      <c r="I296" s="1110"/>
      <c r="J296" s="1111"/>
      <c r="K296" s="276"/>
      <c r="L296" s="792" t="s">
        <v>1705</v>
      </c>
      <c r="M296" s="793"/>
      <c r="N296" s="794">
        <f>+C296</f>
        <v>1008560</v>
      </c>
      <c r="O296" s="795">
        <f>BRAN!O150+BRAN!O152</f>
        <v>11300</v>
      </c>
      <c r="P296" s="1114">
        <f>+BRAN!BC150-INTGRATE!O296-N296</f>
        <v>7491125</v>
      </c>
      <c r="Q296" s="1115"/>
      <c r="R296" s="796"/>
      <c r="S296" s="796"/>
      <c r="T296" s="1097"/>
      <c r="U296" s="1097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7.6951307255119037</v>
      </c>
      <c r="D297" s="1108">
        <f>D296/D308*100</f>
        <v>76.8167506483544</v>
      </c>
      <c r="E297" s="1109"/>
      <c r="F297" s="1089"/>
      <c r="G297" s="1100"/>
      <c r="H297" s="1101"/>
      <c r="I297" s="1102"/>
      <c r="J297" s="1103"/>
      <c r="K297" s="278"/>
      <c r="L297" s="797" t="s">
        <v>26</v>
      </c>
      <c r="M297" s="798"/>
      <c r="N297" s="799">
        <f>+N296/N308</f>
        <v>7.6951307255119034E-2</v>
      </c>
      <c r="O297" s="800">
        <f>O296/O308*100</f>
        <v>100</v>
      </c>
      <c r="P297" s="1104">
        <f>P296/P308*100</f>
        <v>58.31075979419159</v>
      </c>
      <c r="Q297" s="1098"/>
      <c r="R297" s="801"/>
      <c r="S297" s="801"/>
      <c r="T297" s="1023"/>
      <c r="U297" s="1023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BRAN!F193*25</f>
        <v>0</v>
      </c>
      <c r="C298" s="842"/>
      <c r="D298" s="1091">
        <f>BRAN!F194*25+BRAN!F195*40+434975</f>
        <v>445900</v>
      </c>
      <c r="E298" s="1099"/>
      <c r="F298" s="1091"/>
      <c r="G298" s="1092"/>
      <c r="H298" s="1093"/>
      <c r="I298" s="724"/>
      <c r="J298" s="724"/>
      <c r="K298" s="723"/>
      <c r="L298" s="797" t="s">
        <v>1706</v>
      </c>
      <c r="M298" s="798"/>
      <c r="N298" s="802">
        <f>BRAN!O193</f>
        <v>0</v>
      </c>
      <c r="O298" s="803">
        <f>BRAN!O193</f>
        <v>0</v>
      </c>
      <c r="P298" s="1024">
        <f>BRAN!O194+BRAN!O195</f>
        <v>490625</v>
      </c>
      <c r="Q298" s="1025"/>
      <c r="R298" s="801"/>
      <c r="S298" s="801"/>
      <c r="T298" s="1217"/>
      <c r="U298" s="1217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89">
        <f>D298/D308*100</f>
        <v>4.7973653760186599</v>
      </c>
      <c r="E299" s="1090"/>
      <c r="F299" s="1089"/>
      <c r="G299" s="1100"/>
      <c r="H299" s="1101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04">
        <f>P298/P308*100</f>
        <v>3.8190147039363582</v>
      </c>
      <c r="Q299" s="1098"/>
      <c r="R299" s="801"/>
      <c r="S299" s="801"/>
      <c r="T299" s="1023"/>
      <c r="U299" s="1023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BRAN!F276*25</f>
        <v>0</v>
      </c>
      <c r="C300" s="842">
        <f>+BRAN!F280+926370</f>
        <v>1012100</v>
      </c>
      <c r="D300" s="1091">
        <f>BRAN!F277*25+BRAN!F278*40+1183960</f>
        <v>1223535</v>
      </c>
      <c r="E300" s="1099"/>
      <c r="F300" s="1091"/>
      <c r="G300" s="1092"/>
      <c r="H300" s="1093"/>
      <c r="I300" s="569"/>
      <c r="J300" s="279"/>
      <c r="K300" s="279"/>
      <c r="L300" s="797" t="s">
        <v>1707</v>
      </c>
      <c r="M300" s="798"/>
      <c r="N300" s="802">
        <f>C300</f>
        <v>1012100</v>
      </c>
      <c r="O300" s="803">
        <f>BRAN!O276</f>
        <v>0</v>
      </c>
      <c r="P300" s="1024">
        <f>+BRAN!O277-N300</f>
        <v>1309050</v>
      </c>
      <c r="Q300" s="1025"/>
      <c r="R300" s="801"/>
      <c r="S300" s="801"/>
      <c r="T300" s="1217"/>
      <c r="U300" s="1217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7.7221402864386821</v>
      </c>
      <c r="D301" s="1089">
        <f>D300/D308*100</f>
        <v>13.163813512776388</v>
      </c>
      <c r="E301" s="1090"/>
      <c r="F301" s="1089"/>
      <c r="G301" s="1100"/>
      <c r="H301" s="1101"/>
      <c r="I301" s="569"/>
      <c r="J301" s="213"/>
      <c r="K301" s="213"/>
      <c r="L301" s="797" t="s">
        <v>26</v>
      </c>
      <c r="M301" s="798"/>
      <c r="N301" s="799">
        <f>+N300/N308</f>
        <v>7.7221402864386821E-2</v>
      </c>
      <c r="O301" s="800">
        <v>0</v>
      </c>
      <c r="P301" s="1104">
        <f>P300/P308*100</f>
        <v>10.189617728790603</v>
      </c>
      <c r="Q301" s="1098"/>
      <c r="R301" s="801"/>
      <c r="S301" s="801"/>
      <c r="T301" s="1023"/>
      <c r="U301" s="1023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BRAN!F300*25</f>
        <v>0</v>
      </c>
      <c r="C302" s="842">
        <f>+BRAN!F304</f>
        <v>0</v>
      </c>
      <c r="D302" s="1091">
        <f>BRAN!F301*25+BRAN!F302*40</f>
        <v>0</v>
      </c>
      <c r="E302" s="1099"/>
      <c r="F302" s="1091"/>
      <c r="G302" s="1092"/>
      <c r="H302" s="1093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BRAN!O300</f>
        <v>0</v>
      </c>
      <c r="P302" s="1024">
        <f>+BRAN!O301+BRAN!O302</f>
        <v>0</v>
      </c>
      <c r="Q302" s="1025"/>
      <c r="R302" s="801"/>
      <c r="S302" s="801"/>
      <c r="T302" s="1025"/>
      <c r="U302" s="1025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89">
        <f>D302/D308*100</f>
        <v>0</v>
      </c>
      <c r="E303" s="1090"/>
      <c r="F303" s="1089"/>
      <c r="G303" s="1100"/>
      <c r="H303" s="1101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04">
        <f>P302/P308*100</f>
        <v>0</v>
      </c>
      <c r="Q303" s="1098"/>
      <c r="R303" s="801"/>
      <c r="S303" s="801"/>
      <c r="T303" s="1098"/>
      <c r="U303" s="1098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BRAN!F331*25</f>
        <v>0</v>
      </c>
      <c r="C304" s="842">
        <f>+BRAN!J334</f>
        <v>0</v>
      </c>
      <c r="D304" s="1091">
        <f>BRAN!F332*25+BRAN!F333*40+340475</f>
        <v>398025</v>
      </c>
      <c r="E304" s="1099"/>
      <c r="F304" s="1091"/>
      <c r="G304" s="1092"/>
      <c r="H304" s="1093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BRAN!O331</f>
        <v>0</v>
      </c>
      <c r="P304" s="1024">
        <f>+BRAN!O332+BRAN!O333</f>
        <v>365950</v>
      </c>
      <c r="Q304" s="1025"/>
      <c r="R304" s="801"/>
      <c r="S304" s="801"/>
      <c r="T304" s="1025"/>
      <c r="U304" s="1025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89">
        <f>D304/D308*100</f>
        <v>4.2822860591832859</v>
      </c>
      <c r="E305" s="1090"/>
      <c r="F305" s="1089"/>
      <c r="G305" s="1100"/>
      <c r="H305" s="1101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04">
        <f>P304/P308*100</f>
        <v>2.8485471203169634</v>
      </c>
      <c r="Q305" s="1098"/>
      <c r="R305" s="801"/>
      <c r="S305" s="801"/>
      <c r="T305" s="1098"/>
      <c r="U305" s="1098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+F264+F106+10529480</f>
        <v>11085810</v>
      </c>
      <c r="D306" s="1091">
        <f>F103*25+F262*25+87350</f>
        <v>87350</v>
      </c>
      <c r="E306" s="1099"/>
      <c r="F306" s="1137">
        <f>F105*50+F263*50+F104*40+25215400</f>
        <v>26177850</v>
      </c>
      <c r="G306" s="1138"/>
      <c r="H306" s="1139"/>
      <c r="I306" s="570"/>
      <c r="J306" s="279"/>
      <c r="K306" s="279"/>
      <c r="L306" s="797" t="s">
        <v>1709</v>
      </c>
      <c r="M306" s="798"/>
      <c r="N306" s="802">
        <f>+Q264+Q106</f>
        <v>11085810</v>
      </c>
      <c r="O306" s="803">
        <v>0</v>
      </c>
      <c r="P306" s="1024">
        <f>Q262+Q103+Q261+Q104</f>
        <v>3190150</v>
      </c>
      <c r="Q306" s="1025"/>
      <c r="R306" s="801"/>
      <c r="S306" s="801"/>
      <c r="T306" s="1025">
        <f>Q263+Q105</f>
        <v>24736650</v>
      </c>
      <c r="U306" s="1025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84.582728988049411</v>
      </c>
      <c r="D307" s="1155">
        <f>+D306/D308*100</f>
        <v>0.93978440366725724</v>
      </c>
      <c r="E307" s="1156"/>
      <c r="F307" s="1155">
        <f>+F306/F308*100</f>
        <v>100</v>
      </c>
      <c r="G307" s="1190"/>
      <c r="H307" s="1191"/>
      <c r="I307" s="569"/>
      <c r="J307" s="279"/>
      <c r="K307" s="435"/>
      <c r="L307" s="805" t="s">
        <v>26</v>
      </c>
      <c r="M307" s="806"/>
      <c r="N307" s="807">
        <f>+N306/N308</f>
        <v>0.84582728988049416</v>
      </c>
      <c r="O307" s="800"/>
      <c r="P307" s="1157">
        <f>P306/P308*100</f>
        <v>24.832060652764479</v>
      </c>
      <c r="Q307" s="1158"/>
      <c r="R307" s="808"/>
      <c r="S307" s="808"/>
      <c r="T307" s="1158">
        <f>T306/T308*100</f>
        <v>100</v>
      </c>
      <c r="U307" s="1158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9075</v>
      </c>
      <c r="C308" s="850">
        <f>+C296+C298+C300+C302+C304+C306</f>
        <v>13106470</v>
      </c>
      <c r="D308" s="1167">
        <f>SUM(D296,D298,D300,D302,D304,D306)</f>
        <v>9294685</v>
      </c>
      <c r="E308" s="1168"/>
      <c r="F308" s="1167">
        <f>+F306</f>
        <v>26177850</v>
      </c>
      <c r="G308" s="1169"/>
      <c r="H308" s="1170"/>
      <c r="I308" s="570"/>
      <c r="J308" s="570"/>
      <c r="K308" s="570"/>
      <c r="L308" s="1148" t="s">
        <v>1703</v>
      </c>
      <c r="M308" s="1149"/>
      <c r="N308" s="809">
        <f>SUM(N296,N298,N300,N302,N304,N306)</f>
        <v>13106470</v>
      </c>
      <c r="O308" s="810">
        <f>SUM(O296,O298,O300,O302,O304,O306)</f>
        <v>11300</v>
      </c>
      <c r="P308" s="1174">
        <f>SUM(P296,P298,P300,P302,P304,P306)</f>
        <v>12846900</v>
      </c>
      <c r="Q308" s="1175"/>
      <c r="R308" s="811"/>
      <c r="S308" s="811"/>
      <c r="T308" s="1175">
        <f>SUM(T306)</f>
        <v>24736650</v>
      </c>
      <c r="U308" s="1175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71">
        <f>+C308/D310*100</f>
        <v>26.974661274946449</v>
      </c>
      <c r="C309" s="1192"/>
      <c r="D309" s="1171">
        <f>D308/D310*100</f>
        <v>19.129558113841913</v>
      </c>
      <c r="E309" s="1192"/>
      <c r="F309" s="1171">
        <f>F308/D310*100</f>
        <v>53.877103190741437</v>
      </c>
      <c r="G309" s="1172"/>
      <c r="H309" s="1173"/>
      <c r="I309" s="571"/>
      <c r="J309" s="434"/>
      <c r="K309" s="434"/>
      <c r="L309" s="812" t="s">
        <v>1699</v>
      </c>
      <c r="M309" s="813"/>
      <c r="N309" s="814">
        <f>N308/O310*100</f>
        <v>25.850352614093673</v>
      </c>
      <c r="O309" s="815">
        <f>+O308/O310*100</f>
        <v>2.2287388178453736E-2</v>
      </c>
      <c r="P309" s="1146">
        <f>P308/O310*100</f>
        <v>25.338393556617461</v>
      </c>
      <c r="Q309" s="1147"/>
      <c r="R309" s="811"/>
      <c r="S309" s="811"/>
      <c r="T309" s="1147">
        <f>T308/O310*100</f>
        <v>48.788966441110411</v>
      </c>
      <c r="U309" s="1147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64" t="s">
        <v>1702</v>
      </c>
      <c r="B310" s="1165"/>
      <c r="C310" s="1166"/>
      <c r="D310" s="1184">
        <f>SUM(B308:F308)</f>
        <v>48588080</v>
      </c>
      <c r="E310" s="1185"/>
      <c r="F310" s="1185"/>
      <c r="G310" s="1185"/>
      <c r="H310" s="1186"/>
      <c r="I310" s="301"/>
      <c r="J310" s="301"/>
      <c r="K310" s="301"/>
      <c r="L310" s="1116" t="s">
        <v>1702</v>
      </c>
      <c r="M310" s="1117"/>
      <c r="N310" s="1118"/>
      <c r="O310" s="1018">
        <f>+N308+O308+P308+T308</f>
        <v>50701320</v>
      </c>
      <c r="P310" s="1018"/>
      <c r="Q310" s="1018"/>
      <c r="R310" s="1018"/>
      <c r="S310" s="1018"/>
      <c r="T310" s="1018"/>
      <c r="U310" s="1019"/>
      <c r="V310" s="816"/>
      <c r="W310" s="282"/>
      <c r="X310" s="218"/>
      <c r="Y310" s="977"/>
      <c r="Z310" s="939"/>
    </row>
    <row r="311" spans="1:34" s="281" customFormat="1" ht="19.5" customHeight="1" thickBot="1">
      <c r="A311" s="1181" t="s">
        <v>1701</v>
      </c>
      <c r="B311" s="1182"/>
      <c r="C311" s="1183"/>
      <c r="D311" s="1187">
        <f>D310/C293</f>
        <v>2067577.8723404256</v>
      </c>
      <c r="E311" s="1188"/>
      <c r="F311" s="1188"/>
      <c r="G311" s="1188"/>
      <c r="H311" s="1189"/>
      <c r="I311" s="280"/>
      <c r="J311" s="425"/>
      <c r="K311" s="425"/>
      <c r="L311" s="1140" t="s">
        <v>1710</v>
      </c>
      <c r="M311" s="1141"/>
      <c r="N311" s="1142"/>
      <c r="O311" s="1015">
        <f>O310/N293</f>
        <v>2204405.2173913042</v>
      </c>
      <c r="P311" s="1016"/>
      <c r="Q311" s="1016"/>
      <c r="R311" s="1016"/>
      <c r="S311" s="1016"/>
      <c r="T311" s="1016"/>
      <c r="U311" s="1017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159" t="s">
        <v>1713</v>
      </c>
      <c r="B313" s="1145" t="s">
        <v>1714</v>
      </c>
      <c r="C313" s="1145"/>
      <c r="D313" s="1145"/>
      <c r="E313" s="1152" t="s">
        <v>1718</v>
      </c>
      <c r="F313" s="1152"/>
      <c r="G313" s="1143" t="s">
        <v>1721</v>
      </c>
      <c r="H313" s="1153" t="s">
        <v>1722</v>
      </c>
      <c r="I313" s="1150" t="s">
        <v>1723</v>
      </c>
      <c r="J313" s="426"/>
      <c r="K313" s="426"/>
      <c r="M313" s="1143" t="s">
        <v>1721</v>
      </c>
      <c r="N313" s="1159" t="s">
        <v>1713</v>
      </c>
      <c r="O313" s="1145" t="s">
        <v>1714</v>
      </c>
      <c r="P313" s="1145"/>
      <c r="Q313" s="1145"/>
      <c r="R313" s="1206" t="s">
        <v>1718</v>
      </c>
      <c r="S313" s="1207"/>
      <c r="T313" s="1207"/>
      <c r="U313" s="1207"/>
      <c r="V313" s="1208"/>
      <c r="W313" s="1215" t="s">
        <v>1722</v>
      </c>
      <c r="X313" s="1204" t="s">
        <v>1826</v>
      </c>
      <c r="Y313" s="1022" t="s">
        <v>1724</v>
      </c>
      <c r="Z313" s="1020" t="s">
        <v>1827</v>
      </c>
      <c r="AA313" s="1035" t="s">
        <v>1725</v>
      </c>
      <c r="AB313" s="1004" t="s">
        <v>1726</v>
      </c>
      <c r="AC313" s="1005"/>
      <c r="AD313" s="1005"/>
      <c r="AE313" s="1006"/>
      <c r="AF313" s="935"/>
      <c r="AG313" s="935"/>
      <c r="AH313" s="935"/>
    </row>
    <row r="314" spans="1:34" s="267" customFormat="1" ht="27.75" customHeight="1">
      <c r="A314" s="1160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4"/>
      <c r="H314" s="1154"/>
      <c r="I314" s="1151"/>
      <c r="J314" s="426"/>
      <c r="K314" s="426"/>
      <c r="L314" s="882"/>
      <c r="M314" s="1144"/>
      <c r="N314" s="1160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216"/>
      <c r="X314" s="1205"/>
      <c r="Y314" s="1022"/>
      <c r="Z314" s="1021"/>
      <c r="AA314" s="1036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0</v>
      </c>
      <c r="AH314" s="967"/>
    </row>
    <row r="315" spans="1:34" s="210" customFormat="1" ht="15" customHeight="1">
      <c r="A315" s="313">
        <f>SUM(BRAN!N21,BRAN!N40:N41,BRAN!N144:N149,BRAN!N166:N167,BRAN!N187:N189,BRAN!N192)+BRAN!N233+BRAN!N234+BRAN!N235+BRAN!N236+BRAN!M244+BRAN!N329+BRAN!N326+BRAN!N327+BRAN!N328</f>
        <v>136200</v>
      </c>
      <c r="B315" s="285">
        <f>+SUM(P118:P145)+SUM(BRAN!N294,BRAN!N250:N254,BRAN!N176,BRAN!N88:N108,BRAN!N36:N38,BRAN!N16,BRAN!N18:N20)+SUM(X136:X145)*50+BRAN!N260+BRAN!N179+BRAN!N181+BRAN!N122+BRAN!N117</f>
        <v>1745080</v>
      </c>
      <c r="C315" s="285">
        <f>SUM(P146:P173)+SUM(BRAN!N23:N24,BRAN!N39,BRAN!N109:N131,BRAN!N177:N183,BRAN!N255:N264,BRAN!N295:N297,BRAN!N323:N325)-BRAN!N122-BRAN!N117-BRAN!N179-BRAN!N181-BRAN!N260</f>
        <v>1193175</v>
      </c>
      <c r="D315" s="285">
        <f>SUM(P174:P195)+SUM(BRAN!N298:N299,BRAN!N265:N273,BRAN!N184:N186,BRAN!N132:N143,BRAN!N25)+SUM(X174:X195)*50+BRAN!N13</f>
        <v>391950</v>
      </c>
      <c r="E315" s="285">
        <f>SUM(P10:P45,P62:P68)+SUM(BRAN!N42:N59,BRAN!N168,BRAN!N316,BRAN!N17)+SUM(BRAN!U42:U60)*25+BRAN!N169+BRAN!N217+BRAN!N228+BRAN!N223+BRAN!N221</f>
        <v>706850</v>
      </c>
      <c r="F315" s="285">
        <f>SUM(P46:P55)+SUM(BRAN!N206:N216,BRAN!N63:N74,BRAN!N30:N35)+BRAN!N314+BRAN!N317+BRAN!N293</f>
        <v>153700</v>
      </c>
      <c r="G315" s="285">
        <f>+SUM(BRAN!N190:N191)+BRAN!N330</f>
        <v>10875</v>
      </c>
      <c r="H315" s="285">
        <f>SUM(BRAN!N26:N29,BRAN!N232)+BRAN!N61</f>
        <v>46750</v>
      </c>
      <c r="I315" s="718">
        <f>SUM(BRAN!N75:N87,BRAN!N170:N175,BRAN!N245:N249,BRAN!N274:N275,BRAN!N319:N320)+SUM(P69:P73,P55:P61)</f>
        <v>194575</v>
      </c>
      <c r="J315" s="240"/>
      <c r="K315" s="240"/>
      <c r="L315" s="931">
        <f>SUM(A315:I315)</f>
        <v>4579155</v>
      </c>
      <c r="M315" s="284">
        <f>+BRAN!BF26</f>
        <v>18600</v>
      </c>
      <c r="N315" s="284">
        <f>+BRAN!BF25</f>
        <v>884720</v>
      </c>
      <c r="O315" s="566">
        <f>BRAN!BF15+BI135</f>
        <v>9566265</v>
      </c>
      <c r="P315" s="285">
        <f>+BI136+BRAN!BF16</f>
        <v>27149925</v>
      </c>
      <c r="Q315" s="285">
        <f>BI145+BRAN!BF17</f>
        <v>6229580</v>
      </c>
      <c r="R315" s="285"/>
      <c r="S315" s="285"/>
      <c r="T315" s="285">
        <f>BRAN!BF21+BRAN!BF18+BI10</f>
        <v>3624490</v>
      </c>
      <c r="U315" s="285">
        <f>+BRAN!BF20+BI11</f>
        <v>1149550</v>
      </c>
      <c r="V315" s="836">
        <f>+BI12</f>
        <v>0</v>
      </c>
      <c r="W315" s="285">
        <f>+BRAN!BF24</f>
        <v>357120</v>
      </c>
      <c r="X315" s="503">
        <f>BK20+BRAN!BI22</f>
        <v>1721070</v>
      </c>
      <c r="Y315" s="946">
        <f>SUM(S119)+SUM(BRAN!Q13)</f>
        <v>0</v>
      </c>
      <c r="Z315" s="946">
        <f>+BRAN!BF29</f>
        <v>0</v>
      </c>
      <c r="AA315" s="453">
        <f>+BRAN!Q206+BRAN!Q14+BRAN!Q167+BRAN!Q324</f>
        <v>815720</v>
      </c>
      <c r="AB315" s="424">
        <f>+BRAN!Q319+BRAN!Q295+BRAN!Q216+BRAN!Q217+BRAN!Q168+BRAN!Q169+BRAN!Q19+BRAN!Q15+INTGRATE!S128+INTGRATE!S13</f>
        <v>2671580</v>
      </c>
      <c r="AC315" s="424">
        <f>S131+BRAN!Q323+BRAN!Q296+BRAN!Q232+BRAN!Q170+BRAN!Q17</f>
        <v>6322940</v>
      </c>
      <c r="AD315" s="424">
        <f>BRAN!Q18+BRAN!Q325+BRAN!Q233+BRAN!Q298+S16</f>
        <v>1487145</v>
      </c>
      <c r="AE315" s="424">
        <f>S144+S19+BRAN!Q16+BRAN!Q171+BRAN!Q245+BRAN!Q297+BRAN!Q320</f>
        <v>39403935</v>
      </c>
      <c r="AF315" s="675">
        <f>SUM(M315:X315)</f>
        <v>50701320</v>
      </c>
      <c r="AG315" s="968">
        <f>SUM(Y315:AE315)</f>
        <v>50701320</v>
      </c>
      <c r="AH315" s="968">
        <f>AG315-AF315</f>
        <v>0</v>
      </c>
    </row>
    <row r="316" spans="1:34" s="830" customFormat="1" ht="15" customHeight="1" thickBot="1">
      <c r="A316" s="827">
        <f>A315/$L$315</f>
        <v>2.9743478873285573E-2</v>
      </c>
      <c r="B316" s="827">
        <f t="shared" ref="B316:I316" si="98">B315/$L$315</f>
        <v>0.38109214472975911</v>
      </c>
      <c r="C316" s="827">
        <f t="shared" si="98"/>
        <v>0.26056663292681731</v>
      </c>
      <c r="D316" s="827">
        <f t="shared" si="98"/>
        <v>8.5594394599003532E-2</v>
      </c>
      <c r="E316" s="827">
        <f t="shared" si="98"/>
        <v>0.15436254068709182</v>
      </c>
      <c r="F316" s="827">
        <f t="shared" si="98"/>
        <v>3.3565144660969111E-2</v>
      </c>
      <c r="G316" s="827">
        <f t="shared" si="98"/>
        <v>2.3748923109176258E-3</v>
      </c>
      <c r="H316" s="827">
        <f t="shared" si="98"/>
        <v>1.0209307175668873E-2</v>
      </c>
      <c r="I316" s="827">
        <f t="shared" si="98"/>
        <v>4.2491464036487084E-2</v>
      </c>
      <c r="J316" s="828"/>
      <c r="K316" s="828"/>
      <c r="L316" s="883"/>
      <c r="M316" s="827">
        <f>M315/$O$310</f>
        <v>3.6685435408782255E-4</v>
      </c>
      <c r="N316" s="827">
        <f t="shared" ref="N316:X316" si="99">N315/$O$310</f>
        <v>1.7449644309063355E-2</v>
      </c>
      <c r="O316" s="827">
        <f t="shared" si="99"/>
        <v>0.18867881546279269</v>
      </c>
      <c r="P316" s="827">
        <f t="shared" si="99"/>
        <v>0.53548753760257128</v>
      </c>
      <c r="Q316" s="827">
        <f t="shared" si="99"/>
        <v>0.12286820145905472</v>
      </c>
      <c r="R316" s="827">
        <f t="shared" si="99"/>
        <v>0</v>
      </c>
      <c r="S316" s="827">
        <f t="shared" si="99"/>
        <v>0</v>
      </c>
      <c r="T316" s="827">
        <f t="shared" si="99"/>
        <v>7.1487093432675911E-2</v>
      </c>
      <c r="U316" s="827">
        <f t="shared" si="99"/>
        <v>2.2672979717293356E-2</v>
      </c>
      <c r="V316" s="827">
        <f t="shared" si="99"/>
        <v>0</v>
      </c>
      <c r="W316" s="827">
        <f t="shared" si="99"/>
        <v>7.0436035984861936E-3</v>
      </c>
      <c r="X316" s="871">
        <f t="shared" si="99"/>
        <v>3.3945270063974665E-2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1.6088732995511754E-2</v>
      </c>
      <c r="AB316" s="829">
        <f t="shared" si="100"/>
        <v>5.2692513725480915E-2</v>
      </c>
      <c r="AC316" s="829">
        <f t="shared" si="100"/>
        <v>0.12470957363634715</v>
      </c>
      <c r="AD316" s="829">
        <f t="shared" si="100"/>
        <v>2.9331484860749189E-2</v>
      </c>
      <c r="AE316" s="829">
        <f t="shared" si="100"/>
        <v>0.77717769478191101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07"/>
      <c r="M317" s="1007"/>
      <c r="N317" s="1007"/>
      <c r="O317" s="1007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1383205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F108+F266+BRAN!F157+BRAN!F197+BRAN!F281+BRAN!F305+BRAN!F336</f>
        <v>1383205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P33" sqref="P33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78">
        <f>[2]BRAN!N3</f>
        <v>41756</v>
      </c>
      <c r="P3" s="1278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83" t="s">
        <v>97</v>
      </c>
      <c r="B7" s="1283"/>
      <c r="C7" s="1283"/>
      <c r="D7" s="1283"/>
      <c r="E7" s="1283"/>
      <c r="F7" s="1283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83" t="s">
        <v>98</v>
      </c>
      <c r="B8" s="1283"/>
      <c r="C8" s="1283"/>
      <c r="D8" s="1283"/>
      <c r="E8" s="1283"/>
      <c r="F8" s="1283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83" t="s">
        <v>99</v>
      </c>
      <c r="B9" s="1283"/>
      <c r="C9" s="1283"/>
      <c r="D9" s="1283"/>
      <c r="E9" s="1283"/>
      <c r="F9" s="1283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61">
        <f>+BRAN!O3</f>
        <v>46140</v>
      </c>
      <c r="Q9" s="1161"/>
      <c r="R9" s="1161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79" t="s">
        <v>1806</v>
      </c>
      <c r="B13" s="1279"/>
      <c r="C13" s="1279"/>
      <c r="D13" s="1279"/>
      <c r="E13" s="1279"/>
      <c r="F13" s="1279"/>
      <c r="G13" s="1279"/>
      <c r="H13" s="1279"/>
      <c r="I13" s="1279"/>
      <c r="J13" s="1279"/>
      <c r="K13" s="1279"/>
      <c r="L13" s="1279"/>
      <c r="M13" s="1279"/>
      <c r="N13" s="1279"/>
      <c r="O13" s="1279"/>
      <c r="P13" s="1279"/>
      <c r="Q13" s="1279"/>
      <c r="R13" s="1279"/>
    </row>
    <row r="14" spans="1:19" ht="17.25" customHeight="1">
      <c r="A14" s="1280" t="s">
        <v>1807</v>
      </c>
      <c r="B14" s="1280"/>
      <c r="C14" s="1280"/>
      <c r="D14" s="1280"/>
      <c r="E14" s="1280"/>
      <c r="F14" s="1280"/>
      <c r="G14" s="1280"/>
      <c r="H14" s="1280"/>
      <c r="I14" s="1280"/>
      <c r="J14" s="1280"/>
      <c r="K14" s="1280"/>
      <c r="L14" s="1280"/>
      <c r="M14" s="1280"/>
      <c r="N14" s="1280"/>
      <c r="O14" s="1280"/>
      <c r="P14" s="1280"/>
      <c r="Q14" s="1280"/>
      <c r="R14" s="1280"/>
    </row>
    <row r="15" spans="1:19" ht="13.7" customHeight="1">
      <c r="A15" s="303"/>
      <c r="B15" s="1281"/>
      <c r="C15" s="1281"/>
      <c r="D15" s="1281"/>
      <c r="E15" s="1281"/>
      <c r="F15" s="1281"/>
      <c r="G15" s="1282"/>
      <c r="H15" s="1282"/>
      <c r="I15" s="1282"/>
      <c r="J15" s="1282"/>
      <c r="K15" s="1282"/>
      <c r="L15" s="1282"/>
      <c r="M15" s="1282"/>
      <c r="N15" s="1282"/>
      <c r="O15" s="1282"/>
      <c r="P15" s="1281"/>
      <c r="Q15" s="1281"/>
      <c r="R15" s="1281"/>
    </row>
    <row r="16" spans="1:19" s="28" customFormat="1" ht="30.75" customHeight="1">
      <c r="A16" s="1273" t="s">
        <v>1700</v>
      </c>
      <c r="B16" s="1261" t="s">
        <v>1676</v>
      </c>
      <c r="C16" s="1261" t="s">
        <v>1677</v>
      </c>
      <c r="D16" s="1258" t="s">
        <v>1769</v>
      </c>
      <c r="E16" s="855" t="s">
        <v>0</v>
      </c>
      <c r="F16" s="1276" t="s">
        <v>1792</v>
      </c>
      <c r="G16" s="1271" t="s">
        <v>1794</v>
      </c>
      <c r="H16" s="1272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69" t="s">
        <v>1801</v>
      </c>
      <c r="R16" s="1267" t="s">
        <v>2</v>
      </c>
    </row>
    <row r="17" spans="1:254" s="28" customFormat="1" ht="30.75" customHeight="1">
      <c r="A17" s="1274"/>
      <c r="B17" s="1262"/>
      <c r="C17" s="1262"/>
      <c r="D17" s="1259" t="s">
        <v>3</v>
      </c>
      <c r="E17" s="856" t="s">
        <v>1679</v>
      </c>
      <c r="F17" s="1277"/>
      <c r="G17" s="1264" t="s">
        <v>1795</v>
      </c>
      <c r="H17" s="1265"/>
      <c r="I17" s="859" t="s">
        <v>1793</v>
      </c>
      <c r="J17" s="859"/>
      <c r="K17" s="859"/>
      <c r="L17" s="859"/>
      <c r="M17" s="860" t="s">
        <v>5</v>
      </c>
      <c r="N17" s="1264" t="s">
        <v>1798</v>
      </c>
      <c r="O17" s="1265"/>
      <c r="P17" s="863" t="s">
        <v>1799</v>
      </c>
      <c r="Q17" s="1270"/>
      <c r="R17" s="1268"/>
    </row>
    <row r="18" spans="1:254" s="28" customFormat="1" ht="30.75" customHeight="1">
      <c r="A18" s="1275"/>
      <c r="B18" s="1263"/>
      <c r="C18" s="1263"/>
      <c r="D18" s="1260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>
        <v>1</v>
      </c>
      <c r="B19" s="589" t="s">
        <v>2640</v>
      </c>
      <c r="C19" s="590" t="s">
        <v>1314</v>
      </c>
      <c r="D19" s="525">
        <v>25</v>
      </c>
      <c r="E19" s="525">
        <v>326</v>
      </c>
      <c r="F19" s="934">
        <v>46115</v>
      </c>
      <c r="G19" s="525"/>
      <c r="H19" s="525">
        <f>+G19*D19</f>
        <v>0</v>
      </c>
      <c r="I19" s="525">
        <v>326</v>
      </c>
      <c r="J19" s="525">
        <f t="shared" ref="J19:J22" si="0">+I19*D19</f>
        <v>8150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8150</v>
      </c>
      <c r="Q19" s="574"/>
      <c r="R19" s="591" t="s">
        <v>2774</v>
      </c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/>
      <c r="AH19" s="594"/>
      <c r="AI19" s="594"/>
      <c r="AJ19" s="594"/>
      <c r="AK19" s="593"/>
      <c r="AL19" s="594"/>
      <c r="AM19" s="594">
        <v>8150</v>
      </c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>
        <v>2</v>
      </c>
      <c r="B20" s="589" t="s">
        <v>2634</v>
      </c>
      <c r="C20" s="590" t="s">
        <v>39</v>
      </c>
      <c r="D20" s="525">
        <v>40</v>
      </c>
      <c r="E20" s="525">
        <v>5</v>
      </c>
      <c r="F20" s="934" t="s">
        <v>2775</v>
      </c>
      <c r="G20" s="525"/>
      <c r="H20" s="525">
        <f t="shared" ref="H20:H21" si="3">+G20*D20</f>
        <v>0</v>
      </c>
      <c r="I20" s="525">
        <v>5</v>
      </c>
      <c r="J20" s="525">
        <f t="shared" si="0"/>
        <v>200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200</v>
      </c>
      <c r="Q20" s="574"/>
      <c r="R20" s="591" t="s">
        <v>2776</v>
      </c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/>
      <c r="AH20" s="594"/>
      <c r="AI20" s="594"/>
      <c r="AJ20" s="594"/>
      <c r="AK20" s="593"/>
      <c r="AL20" s="594"/>
      <c r="AM20" s="594">
        <v>0</v>
      </c>
      <c r="AN20" s="594"/>
      <c r="AO20" s="594"/>
      <c r="AP20" s="594"/>
      <c r="AQ20" s="595"/>
      <c r="AR20" s="595"/>
      <c r="AS20" s="595"/>
      <c r="AT20" s="596"/>
      <c r="AU20" s="595">
        <v>200</v>
      </c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/>
      <c r="AH21" s="594"/>
      <c r="AI21" s="594"/>
      <c r="AJ21" s="594"/>
      <c r="AK21" s="593"/>
      <c r="AL21" s="594"/>
      <c r="AM21" s="594">
        <v>0</v>
      </c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/>
      <c r="AH22" s="594"/>
      <c r="AI22" s="594"/>
      <c r="AJ22" s="594"/>
      <c r="AK22" s="593"/>
      <c r="AL22" s="594"/>
      <c r="AM22" s="594">
        <v>0</v>
      </c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66" t="s">
        <v>1804</v>
      </c>
      <c r="B23" s="1266"/>
      <c r="C23" s="1266"/>
      <c r="D23" s="1266"/>
      <c r="E23" s="307">
        <f>SUM(E19:E21)</f>
        <v>331</v>
      </c>
      <c r="F23" s="307"/>
      <c r="G23" s="307"/>
      <c r="H23" s="307"/>
      <c r="I23" s="307">
        <f>SUM(I19:I22)</f>
        <v>331</v>
      </c>
      <c r="J23" s="307">
        <f>SUM(J19:J22)</f>
        <v>8350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8350</v>
      </c>
      <c r="Q23" s="308"/>
      <c r="R23" s="308"/>
      <c r="S23" s="118"/>
      <c r="T23" s="1255">
        <f>SUM(T19:T21)</f>
        <v>0</v>
      </c>
      <c r="U23" s="1255">
        <f>SUM(U19:U21)</f>
        <v>0</v>
      </c>
      <c r="V23" s="1255">
        <f>SUM(V19:V21)</f>
        <v>0</v>
      </c>
      <c r="W23" s="1255">
        <f>SUM(W19:W21)</f>
        <v>0</v>
      </c>
      <c r="X23" s="1255">
        <f>SUM(X19:X21)</f>
        <v>0</v>
      </c>
      <c r="Y23" s="1255">
        <f>SUM(Y19:Y21)</f>
        <v>0</v>
      </c>
      <c r="Z23" s="1255">
        <f>SUM(Z19:Z21)</f>
        <v>0</v>
      </c>
      <c r="AA23" s="1255">
        <f>SUM(AA19:AA21)</f>
        <v>0</v>
      </c>
      <c r="AB23" s="1255">
        <f>SUM(AB19:AB21)</f>
        <v>0</v>
      </c>
      <c r="AC23" s="1255">
        <f>SUM(AC19:AC21)</f>
        <v>0</v>
      </c>
      <c r="AD23" s="1255">
        <f>SUM(AD19:AD21)</f>
        <v>0</v>
      </c>
      <c r="AE23" s="1255">
        <f>SUM(AE19:AE21)</f>
        <v>0</v>
      </c>
      <c r="AF23" s="1255">
        <f>SUM(AF19:AF21)</f>
        <v>0</v>
      </c>
      <c r="AG23" s="1255">
        <f>SUM(AG19:AG21)</f>
        <v>0</v>
      </c>
      <c r="AH23" s="1255">
        <f>SUM(AH19:AH21)</f>
        <v>0</v>
      </c>
      <c r="AI23" s="1255">
        <f>SUM(AI19:AI21)</f>
        <v>0</v>
      </c>
      <c r="AJ23" s="1255">
        <f>SUM(AJ19:AJ21)</f>
        <v>0</v>
      </c>
      <c r="AK23" s="1255">
        <f>SUM(AK19:AK21)</f>
        <v>0</v>
      </c>
      <c r="AL23" s="1255">
        <f>SUM(AL19:AL21)</f>
        <v>0</v>
      </c>
      <c r="AM23" s="1255">
        <f>SUM(AM19:AM21)</f>
        <v>8150</v>
      </c>
      <c r="AN23" s="1255">
        <f>SUM(AN19:AN21)</f>
        <v>0</v>
      </c>
      <c r="AO23" s="1255">
        <f>SUM(AO19:AO21)</f>
        <v>0</v>
      </c>
      <c r="AP23" s="1255">
        <f>SUM(AP19:AP21)</f>
        <v>0</v>
      </c>
      <c r="AQ23" s="1255">
        <f>SUM(AQ19:AQ21)</f>
        <v>0</v>
      </c>
      <c r="AR23" s="1255">
        <f>SUM(AR19:AR21)</f>
        <v>0</v>
      </c>
      <c r="AS23" s="1255">
        <f>SUM(AS19:AS21)</f>
        <v>0</v>
      </c>
      <c r="AT23" s="1255">
        <f>SUM(AT19:AT21)</f>
        <v>0</v>
      </c>
      <c r="AU23" s="1255">
        <f>SUM(AU19:AU21)</f>
        <v>200</v>
      </c>
      <c r="AV23" s="1255">
        <f>SUM(AV19:AV21)</f>
        <v>0</v>
      </c>
      <c r="AW23" s="1255">
        <f>SUM(AW19:AW21)</f>
        <v>0</v>
      </c>
      <c r="AX23" s="1255">
        <f>SUM(AX19:AX21)</f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57" t="s">
        <v>1805</v>
      </c>
      <c r="B24" s="1257"/>
      <c r="C24" s="1257"/>
      <c r="D24" s="1257"/>
      <c r="E24" s="366">
        <f>+E23*D19</f>
        <v>8275</v>
      </c>
      <c r="F24" s="366"/>
      <c r="G24" s="366"/>
      <c r="H24" s="366"/>
      <c r="I24" s="366">
        <f>+I23</f>
        <v>331</v>
      </c>
      <c r="J24" s="366">
        <f>+J23</f>
        <v>8350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8350</v>
      </c>
      <c r="Q24" s="366"/>
      <c r="R24" s="366"/>
      <c r="S24" s="19"/>
      <c r="T24" s="1256"/>
      <c r="U24" s="1256"/>
      <c r="V24" s="1256"/>
      <c r="W24" s="1256"/>
      <c r="X24" s="1256"/>
      <c r="Y24" s="1256"/>
      <c r="Z24" s="1256"/>
      <c r="AA24" s="1256"/>
      <c r="AB24" s="1256"/>
      <c r="AC24" s="1256"/>
      <c r="AD24" s="1256"/>
      <c r="AE24" s="1256"/>
      <c r="AF24" s="1256"/>
      <c r="AG24" s="1256"/>
      <c r="AH24" s="1256"/>
      <c r="AI24" s="1256"/>
      <c r="AJ24" s="1256"/>
      <c r="AK24" s="1256"/>
      <c r="AL24" s="1256"/>
      <c r="AM24" s="1256"/>
      <c r="AN24" s="1256"/>
      <c r="AO24" s="1256"/>
      <c r="AP24" s="1256"/>
      <c r="AQ24" s="1256"/>
      <c r="AR24" s="1256"/>
      <c r="AS24" s="1256"/>
      <c r="AT24" s="1256"/>
      <c r="AU24" s="1256"/>
      <c r="AV24" s="1256"/>
      <c r="AW24" s="1256"/>
      <c r="AX24" s="1256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2495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2484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2478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2486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2494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2156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2493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2492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1978</v>
      </c>
      <c r="C734" s="439" t="s">
        <v>1978</v>
      </c>
      <c r="D734" s="438" t="s">
        <v>1979</v>
      </c>
      <c r="E734" s="447" t="s">
        <v>1967</v>
      </c>
      <c r="F734" s="17">
        <v>40</v>
      </c>
    </row>
    <row r="735" spans="2:6">
      <c r="B735" s="439" t="s">
        <v>1982</v>
      </c>
      <c r="C735" s="439">
        <v>21135250000125</v>
      </c>
      <c r="D735" s="438" t="s">
        <v>1980</v>
      </c>
      <c r="E735" s="448" t="s">
        <v>1981</v>
      </c>
      <c r="F735" s="17">
        <v>25</v>
      </c>
    </row>
    <row r="736" spans="2:6">
      <c r="B736" s="439" t="s">
        <v>2458</v>
      </c>
      <c r="C736" s="439">
        <v>21135240116100</v>
      </c>
      <c r="D736" s="438" t="s">
        <v>2457</v>
      </c>
      <c r="E736" s="447" t="s">
        <v>2459</v>
      </c>
      <c r="F736" s="17" t="s">
        <v>901</v>
      </c>
    </row>
    <row r="737" spans="2:6">
      <c r="B737" s="439" t="s">
        <v>2461</v>
      </c>
      <c r="C737" s="439">
        <v>21115221661100</v>
      </c>
      <c r="D737" s="438" t="s">
        <v>2460</v>
      </c>
      <c r="E737" s="448" t="s">
        <v>2462</v>
      </c>
      <c r="F737" s="17" t="s">
        <v>901</v>
      </c>
    </row>
    <row r="738" spans="2:6">
      <c r="B738" s="439" t="s">
        <v>2465</v>
      </c>
      <c r="C738" s="439">
        <v>21165510000125</v>
      </c>
      <c r="D738" s="438" t="s">
        <v>2464</v>
      </c>
      <c r="E738" s="447">
        <v>6951</v>
      </c>
      <c r="F738" s="17">
        <v>25</v>
      </c>
    </row>
    <row r="739" spans="2:6">
      <c r="B739" s="439" t="s">
        <v>2468</v>
      </c>
      <c r="C739" s="439">
        <v>21135491600125</v>
      </c>
      <c r="D739" s="438" t="s">
        <v>2467</v>
      </c>
      <c r="E739" s="447" t="s">
        <v>2466</v>
      </c>
      <c r="F739" s="17">
        <v>25</v>
      </c>
    </row>
    <row r="740" spans="2:6">
      <c r="B740" s="439" t="s">
        <v>2469</v>
      </c>
      <c r="C740" s="439">
        <v>21115510099250</v>
      </c>
      <c r="D740" s="438" t="s">
        <v>1269</v>
      </c>
      <c r="E740" s="448" t="s">
        <v>2470</v>
      </c>
      <c r="F740" s="17">
        <v>50</v>
      </c>
    </row>
    <row r="741" spans="2:6">
      <c r="B741" s="439" t="s">
        <v>2473</v>
      </c>
      <c r="C741" s="439">
        <v>21115517599250</v>
      </c>
      <c r="D741" s="438" t="s">
        <v>975</v>
      </c>
      <c r="E741" s="448" t="s">
        <v>2472</v>
      </c>
      <c r="F741" s="17">
        <v>50</v>
      </c>
    </row>
    <row r="742" spans="2:6">
      <c r="B742" s="439" t="s">
        <v>2474</v>
      </c>
      <c r="C742" s="439" t="s">
        <v>2474</v>
      </c>
      <c r="D742" s="438" t="s">
        <v>2475</v>
      </c>
      <c r="E742" s="448" t="s">
        <v>2311</v>
      </c>
      <c r="F742" s="17">
        <v>50</v>
      </c>
    </row>
    <row r="743" spans="2:6">
      <c r="B743" s="439" t="s">
        <v>2477</v>
      </c>
      <c r="C743" s="439">
        <v>21115521300100</v>
      </c>
      <c r="D743" s="438" t="s">
        <v>2476</v>
      </c>
      <c r="E743" s="448" t="s">
        <v>123</v>
      </c>
      <c r="F743" s="16" t="s">
        <v>81</v>
      </c>
    </row>
    <row r="744" spans="2:6">
      <c r="B744" s="439" t="s">
        <v>2491</v>
      </c>
      <c r="C744" s="439">
        <v>21135662400125</v>
      </c>
      <c r="D744" s="438" t="s">
        <v>2490</v>
      </c>
      <c r="E744" s="448" t="s">
        <v>1519</v>
      </c>
      <c r="F744" s="17">
        <v>25</v>
      </c>
    </row>
    <row r="745" spans="2:6">
      <c r="B745" s="439" t="s">
        <v>2611</v>
      </c>
      <c r="C745" s="439">
        <v>21115517599250</v>
      </c>
      <c r="D745" s="438" t="s">
        <v>975</v>
      </c>
      <c r="E745" s="448" t="s">
        <v>2612</v>
      </c>
      <c r="F745" s="17">
        <v>50</v>
      </c>
    </row>
    <row r="746" spans="2:6">
      <c r="B746" s="439" t="s">
        <v>2613</v>
      </c>
      <c r="C746" s="439">
        <v>21115510099250</v>
      </c>
      <c r="D746" s="438" t="s">
        <v>1269</v>
      </c>
      <c r="E746" s="448" t="s">
        <v>2615</v>
      </c>
      <c r="F746" s="17">
        <v>50</v>
      </c>
    </row>
    <row r="747" spans="2:6">
      <c r="B747" s="439" t="s">
        <v>2614</v>
      </c>
      <c r="C747" s="439">
        <v>21115521999250</v>
      </c>
      <c r="D747" s="438" t="s">
        <v>942</v>
      </c>
      <c r="E747" s="448" t="s">
        <v>2609</v>
      </c>
      <c r="F747" s="17">
        <v>50</v>
      </c>
    </row>
    <row r="748" spans="2:6">
      <c r="B748" s="439" t="s">
        <v>2618</v>
      </c>
      <c r="C748" s="439">
        <v>21165512400125</v>
      </c>
      <c r="D748" s="438" t="s">
        <v>2616</v>
      </c>
      <c r="E748" s="448" t="s">
        <v>2617</v>
      </c>
      <c r="F748" s="17">
        <v>25</v>
      </c>
    </row>
    <row r="749" spans="2:6">
      <c r="B749" s="439" t="s">
        <v>2622</v>
      </c>
      <c r="C749" s="439">
        <v>21135117216125</v>
      </c>
      <c r="D749" s="438" t="s">
        <v>2621</v>
      </c>
      <c r="E749" s="448" t="s">
        <v>2619</v>
      </c>
      <c r="F749" s="17">
        <v>25</v>
      </c>
    </row>
    <row r="750" spans="2:6">
      <c r="B750" s="439" t="s">
        <v>2623</v>
      </c>
      <c r="C750" s="439">
        <v>21115510099300</v>
      </c>
      <c r="D750" s="438" t="s">
        <v>1297</v>
      </c>
      <c r="E750" s="448" t="s">
        <v>2615</v>
      </c>
      <c r="F750" s="16" t="s">
        <v>81</v>
      </c>
    </row>
    <row r="751" spans="2:6">
      <c r="B751" s="439" t="s">
        <v>2627</v>
      </c>
      <c r="C751" s="439">
        <v>21115502416100</v>
      </c>
      <c r="D751" s="438" t="s">
        <v>2625</v>
      </c>
      <c r="E751" s="448" t="s">
        <v>2628</v>
      </c>
      <c r="F751" s="16" t="s">
        <v>81</v>
      </c>
    </row>
    <row r="752" spans="2:6">
      <c r="B752" s="439" t="s">
        <v>2629</v>
      </c>
      <c r="C752" s="439">
        <v>21115620099250</v>
      </c>
      <c r="D752" s="438" t="s">
        <v>2626</v>
      </c>
      <c r="E752" s="448" t="s">
        <v>2624</v>
      </c>
      <c r="F752" s="17">
        <v>50</v>
      </c>
    </row>
    <row r="753" spans="2:6">
      <c r="B753" s="439" t="s">
        <v>2631</v>
      </c>
      <c r="C753" s="439">
        <v>21115501600210</v>
      </c>
      <c r="D753" s="438" t="s">
        <v>2630</v>
      </c>
      <c r="E753" s="448" t="s">
        <v>2495</v>
      </c>
      <c r="F753" s="17">
        <v>10</v>
      </c>
    </row>
    <row r="754" spans="2:6">
      <c r="B754" s="439" t="s">
        <v>2635</v>
      </c>
      <c r="C754" s="439">
        <v>21115517599300</v>
      </c>
      <c r="D754" s="438" t="s">
        <v>974</v>
      </c>
      <c r="E754" s="448" t="s">
        <v>2612</v>
      </c>
      <c r="F754" s="16" t="s">
        <v>81</v>
      </c>
    </row>
    <row r="755" spans="2:6">
      <c r="B755" s="439" t="s">
        <v>2632</v>
      </c>
      <c r="C755" s="439" t="s">
        <v>2632</v>
      </c>
      <c r="D755" s="438" t="s">
        <v>2633</v>
      </c>
      <c r="E755" s="448" t="s">
        <v>2634</v>
      </c>
      <c r="F755" s="17">
        <v>40</v>
      </c>
    </row>
    <row r="756" spans="2:6">
      <c r="B756" s="439" t="s">
        <v>2636</v>
      </c>
      <c r="C756" s="439" t="s">
        <v>2636</v>
      </c>
      <c r="D756" s="438" t="s">
        <v>2637</v>
      </c>
      <c r="E756" s="448" t="s">
        <v>2641</v>
      </c>
      <c r="F756" s="16" t="s">
        <v>81</v>
      </c>
    </row>
    <row r="757" spans="2:6">
      <c r="B757" s="439" t="s">
        <v>2642</v>
      </c>
      <c r="C757" s="439">
        <v>21115507800100</v>
      </c>
      <c r="D757" s="438" t="s">
        <v>2638</v>
      </c>
      <c r="E757" s="448" t="s">
        <v>1649</v>
      </c>
      <c r="F757" s="16" t="s">
        <v>901</v>
      </c>
    </row>
    <row r="758" spans="2:6">
      <c r="B758" s="439" t="s">
        <v>2643</v>
      </c>
      <c r="C758" s="439">
        <v>21115517524125</v>
      </c>
      <c r="D758" s="438" t="s">
        <v>2639</v>
      </c>
      <c r="E758" s="448" t="s">
        <v>2640</v>
      </c>
      <c r="F758" s="17">
        <v>25</v>
      </c>
    </row>
    <row r="759" spans="2:6">
      <c r="B759" s="439" t="s">
        <v>2646</v>
      </c>
      <c r="C759" s="439">
        <v>21115501600110</v>
      </c>
      <c r="D759" s="438" t="s">
        <v>2645</v>
      </c>
      <c r="E759" s="448" t="s">
        <v>2494</v>
      </c>
      <c r="F759" s="17">
        <v>10</v>
      </c>
    </row>
    <row r="760" spans="2:6">
      <c r="B760" s="439" t="s">
        <v>2647</v>
      </c>
      <c r="C760" s="439" t="s">
        <v>2647</v>
      </c>
      <c r="D760" s="438" t="s">
        <v>2648</v>
      </c>
      <c r="E760" s="448" t="s">
        <v>2649</v>
      </c>
      <c r="F760" s="16" t="s">
        <v>901</v>
      </c>
    </row>
    <row r="761" spans="2:6">
      <c r="B761" s="439" t="s">
        <v>2651</v>
      </c>
      <c r="C761" s="439" t="s">
        <v>2651</v>
      </c>
      <c r="D761" s="438" t="s">
        <v>2650</v>
      </c>
      <c r="E761" s="448" t="s">
        <v>1651</v>
      </c>
      <c r="F761" s="16" t="s">
        <v>901</v>
      </c>
    </row>
    <row r="762" spans="2:6">
      <c r="B762" s="439" t="s">
        <v>2652</v>
      </c>
      <c r="C762" s="439" t="s">
        <v>2652</v>
      </c>
      <c r="D762" s="438" t="s">
        <v>2653</v>
      </c>
      <c r="E762" s="448" t="s">
        <v>2656</v>
      </c>
      <c r="F762" s="16" t="s">
        <v>81</v>
      </c>
    </row>
    <row r="763" spans="2:6">
      <c r="B763" s="439" t="s">
        <v>2657</v>
      </c>
      <c r="C763" s="439" t="s">
        <v>2657</v>
      </c>
      <c r="D763" s="438" t="s">
        <v>2658</v>
      </c>
      <c r="E763" s="447" t="s">
        <v>2655</v>
      </c>
      <c r="F763" s="17">
        <v>40</v>
      </c>
    </row>
    <row r="764" spans="2:6">
      <c r="B764" s="439" t="s">
        <v>2659</v>
      </c>
      <c r="C764" s="439" t="s">
        <v>2659</v>
      </c>
      <c r="D764" s="438" t="s">
        <v>2660</v>
      </c>
      <c r="E764" s="447" t="s">
        <v>2654</v>
      </c>
      <c r="F764" s="17">
        <v>40</v>
      </c>
    </row>
    <row r="765" spans="2:6">
      <c r="B765" s="439" t="s">
        <v>2662</v>
      </c>
      <c r="C765" s="439" t="s">
        <v>2662</v>
      </c>
      <c r="D765" s="438" t="s">
        <v>2663</v>
      </c>
      <c r="E765" s="448" t="s">
        <v>2661</v>
      </c>
      <c r="F765" s="17">
        <v>40</v>
      </c>
    </row>
    <row r="766" spans="2:6">
      <c r="B766" s="439" t="s">
        <v>2666</v>
      </c>
      <c r="C766" s="439">
        <v>21113021600125</v>
      </c>
      <c r="D766" s="438" t="s">
        <v>2665</v>
      </c>
      <c r="E766" s="448" t="s">
        <v>2664</v>
      </c>
      <c r="F766" s="17">
        <v>25</v>
      </c>
    </row>
    <row r="767" spans="2:6">
      <c r="B767" s="439" t="s">
        <v>2672</v>
      </c>
      <c r="C767" s="439">
        <v>21115528400250</v>
      </c>
      <c r="D767" s="438" t="s">
        <v>2671</v>
      </c>
      <c r="E767" s="448" t="s">
        <v>2667</v>
      </c>
      <c r="F767" s="17">
        <v>50</v>
      </c>
    </row>
  </sheetData>
  <autoFilter ref="B1:F744" xr:uid="{439791B8-BB43-4D18-B43F-2A1BF5B5F2A6}"/>
  <phoneticPr fontId="8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M23" sqref="M23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>
        <f>IF(F1="","",(SUMIF(INTGRATE!$Y:$Y,data!D1,INTGRATE!$L:$L)+SUMIF(BRAN!$V:$V,data!D1,BRAN!$J:$J)))</f>
        <v>6500</v>
      </c>
      <c r="C1" s="655">
        <f t="shared" ref="C1:C32" si="0">IF(F1="","",B1-K1)</f>
        <v>0</v>
      </c>
      <c r="D1" s="656" t="str">
        <f>IFERROR(VLOOKUP(E1,Map!$B:$F,4,0),"")&amp;IFERROR(VLOOKUP(E1,Map!$B:$F,5,0),"")</f>
        <v>30125</v>
      </c>
      <c r="E1" s="657" t="str">
        <f>IF(MID(F1,10,2)="99",F1&amp;H1,LEFT(F1,14))</f>
        <v>21113010000125</v>
      </c>
      <c r="F1" s="497">
        <v>21113010000125</v>
      </c>
      <c r="G1" t="s">
        <v>2675</v>
      </c>
      <c r="H1" t="s">
        <v>9</v>
      </c>
      <c r="I1">
        <v>25</v>
      </c>
      <c r="J1" s="511">
        <v>260</v>
      </c>
      <c r="K1" s="511">
        <v>6500</v>
      </c>
      <c r="L1" s="14">
        <v>76570000</v>
      </c>
      <c r="M1" s="697"/>
      <c r="N1" s="438"/>
      <c r="O1" s="438"/>
      <c r="P1" s="438"/>
      <c r="Q1" s="438"/>
      <c r="R1" s="438"/>
    </row>
    <row r="2" spans="2:18">
      <c r="B2" s="654">
        <f>IF(F2="","",(SUMIF(INTGRATE!$Y:$Y,data!D2,INTGRATE!$L:$L)+SUMIF(BRAN!$V:$V,data!D2,BRAN!$J:$J)))</f>
        <v>3550</v>
      </c>
      <c r="C2" s="655">
        <f t="shared" si="0"/>
        <v>0</v>
      </c>
      <c r="D2" s="656" t="str">
        <f>IFERROR(VLOOKUP(E2,Map!$B:$F,4,0),"")&amp;IFERROR(VLOOKUP(E2,Map!$B:$F,5,0),"")</f>
        <v>510M25</v>
      </c>
      <c r="E2" s="657" t="str">
        <f t="shared" ref="E2:E32" si="1">IF(MID(F2,10,2)="99",F2&amp;H2,LEFT(F2,14))</f>
        <v>21115101300125</v>
      </c>
      <c r="F2" s="497">
        <v>21115101300125</v>
      </c>
      <c r="G2" t="s">
        <v>2676</v>
      </c>
      <c r="H2" t="s">
        <v>9</v>
      </c>
      <c r="I2">
        <v>25</v>
      </c>
      <c r="J2" s="511">
        <v>142</v>
      </c>
      <c r="K2" s="511">
        <v>3550</v>
      </c>
      <c r="L2" s="14">
        <v>42280500</v>
      </c>
      <c r="M2" s="867"/>
      <c r="N2" s="866"/>
      <c r="O2" s="867"/>
      <c r="P2" s="866"/>
      <c r="Q2" s="867"/>
      <c r="R2" s="866"/>
    </row>
    <row r="3" spans="2:18">
      <c r="B3" s="654">
        <f>IF(F3="","",(SUMIF(INTGRATE!$Y:$Y,data!D3,INTGRATE!$L:$L)+SUMIF(BRAN!$V:$V,data!D3,BRAN!$J:$J)))</f>
        <v>22400</v>
      </c>
      <c r="C3" s="655">
        <f t="shared" si="0"/>
        <v>0</v>
      </c>
      <c r="D3" s="656" t="str">
        <f>IFERROR(VLOOKUP(E3,Map!$B:$F,4,0),"")&amp;IFERROR(VLOOKUP(E3,Map!$B:$F,5,0),"")</f>
        <v>550PF10</v>
      </c>
      <c r="E3" s="657" t="str">
        <f t="shared" si="1"/>
        <v>21115501600210</v>
      </c>
      <c r="F3" s="497">
        <v>21115501600210</v>
      </c>
      <c r="G3" t="s">
        <v>2677</v>
      </c>
      <c r="H3" t="s">
        <v>9</v>
      </c>
      <c r="I3">
        <v>10</v>
      </c>
      <c r="J3" s="511">
        <v>2240</v>
      </c>
      <c r="K3" s="511">
        <v>22400</v>
      </c>
      <c r="L3" s="14">
        <v>581504000</v>
      </c>
      <c r="M3" s="867"/>
      <c r="N3" s="866"/>
      <c r="O3" s="867"/>
      <c r="P3" s="866"/>
      <c r="Q3" s="867"/>
      <c r="R3" s="866"/>
    </row>
    <row r="4" spans="2:18">
      <c r="B4" s="654">
        <f>IF(F4="","",(SUMIF(INTGRATE!$Y:$Y,data!D4,INTGRATE!$L:$L)+SUMIF(BRAN!$V:$V,data!D4,BRAN!$J:$J)))</f>
        <v>172000</v>
      </c>
      <c r="C4" s="655">
        <f t="shared" si="0"/>
        <v>0</v>
      </c>
      <c r="D4" s="656" t="str">
        <f>IFERROR(VLOOKUP(E4,Map!$B:$F,4,0),"")&amp;IFERROR(VLOOKUP(E4,Map!$B:$F,5,0),"")</f>
        <v>552SF50</v>
      </c>
      <c r="E4" s="657" t="str">
        <f t="shared" si="1"/>
        <v>21115521900250</v>
      </c>
      <c r="F4" s="497">
        <v>21115521900250</v>
      </c>
      <c r="G4" t="s">
        <v>2678</v>
      </c>
      <c r="H4" t="s">
        <v>9</v>
      </c>
      <c r="I4">
        <v>50</v>
      </c>
      <c r="J4" s="511">
        <v>3440</v>
      </c>
      <c r="K4" s="511">
        <v>172000</v>
      </c>
      <c r="L4" s="14">
        <v>1618520000</v>
      </c>
      <c r="M4" s="867"/>
      <c r="N4" s="866"/>
      <c r="O4" s="867"/>
      <c r="P4" s="866"/>
      <c r="Q4" s="867"/>
      <c r="R4" s="866"/>
    </row>
    <row r="5" spans="2:18">
      <c r="B5" s="654">
        <f>IF(F5="","",(SUMIF(INTGRATE!$Y:$Y,data!D5,INTGRATE!$L:$L)+SUMIF(BRAN!$V:$V,data!D5,BRAN!$J:$J)))</f>
        <v>48100</v>
      </c>
      <c r="C5" s="655">
        <f t="shared" si="0"/>
        <v>0</v>
      </c>
      <c r="D5" s="656" t="str">
        <f>IFERROR(VLOOKUP(E5,Map!$B:$F,4,0),"")&amp;IFERROR(VLOOKUP(E5,Map!$B:$F,5,0),"")</f>
        <v>551GPFS1350</v>
      </c>
      <c r="E5" s="657" t="str">
        <f t="shared" si="1"/>
        <v>21115517599250S13</v>
      </c>
      <c r="F5" s="497">
        <v>21115517599250</v>
      </c>
      <c r="G5" t="s">
        <v>975</v>
      </c>
      <c r="H5" t="s">
        <v>2679</v>
      </c>
      <c r="I5">
        <v>50</v>
      </c>
      <c r="J5" s="511">
        <v>962</v>
      </c>
      <c r="K5" s="511">
        <v>48100</v>
      </c>
      <c r="L5" s="14">
        <v>517075000</v>
      </c>
      <c r="M5" s="867"/>
      <c r="N5" s="866"/>
      <c r="O5" s="867"/>
      <c r="P5" s="866"/>
      <c r="Q5" s="867"/>
      <c r="R5" s="866"/>
    </row>
    <row r="6" spans="2:18">
      <c r="B6" s="654">
        <f>IF(F6="","",(SUMIF(INTGRATE!$Y:$Y,data!D6,INTGRATE!$L:$L)+SUMIF(BRAN!$V:$V,data!D6,BRAN!$J:$J)))</f>
        <v>13550</v>
      </c>
      <c r="C6" s="655">
        <f t="shared" si="0"/>
        <v>0</v>
      </c>
      <c r="D6" s="656" t="str">
        <f>IFERROR(VLOOKUP(E6,Map!$B:$F,4,0),"")&amp;IFERROR(VLOOKUP(E6,Map!$B:$F,5,0),"")</f>
        <v>553SSilo</v>
      </c>
      <c r="E6" s="657" t="str">
        <f t="shared" si="1"/>
        <v>21115531900100</v>
      </c>
      <c r="F6" s="497">
        <v>21115531900100</v>
      </c>
      <c r="G6" t="s">
        <v>1157</v>
      </c>
      <c r="H6" t="s">
        <v>9</v>
      </c>
      <c r="I6">
        <v>0</v>
      </c>
      <c r="J6" s="511">
        <v>0</v>
      </c>
      <c r="K6" s="511">
        <v>13550</v>
      </c>
      <c r="L6" s="14">
        <v>146611000</v>
      </c>
      <c r="M6" s="867"/>
      <c r="N6" s="866"/>
      <c r="O6" s="867"/>
      <c r="P6" s="866"/>
      <c r="Q6" s="867"/>
      <c r="R6" s="866"/>
    </row>
    <row r="7" spans="2:18">
      <c r="B7" s="654">
        <f>IF(F7="","",(SUMIF(INTGRATE!$Y:$Y,data!D7,INTGRATE!$L:$L)+SUMIF(BRAN!$V:$V,data!D7,BRAN!$J:$J)))</f>
        <v>16020</v>
      </c>
      <c r="C7" s="655">
        <f t="shared" si="0"/>
        <v>0</v>
      </c>
      <c r="D7" s="656" t="str">
        <f>IFERROR(VLOOKUP(E7,Map!$B:$F,4,0),"")&amp;IFERROR(VLOOKUP(E7,Map!$B:$F,5,0),"")</f>
        <v>BS07TAsilo</v>
      </c>
      <c r="E7" s="657" t="str">
        <f t="shared" si="1"/>
        <v>211338107TA100</v>
      </c>
      <c r="F7" s="497" t="s">
        <v>2647</v>
      </c>
      <c r="G7" t="s">
        <v>2648</v>
      </c>
      <c r="H7" t="s">
        <v>9</v>
      </c>
      <c r="I7">
        <v>0</v>
      </c>
      <c r="J7" s="511">
        <v>0</v>
      </c>
      <c r="K7" s="511">
        <v>16020</v>
      </c>
      <c r="L7" s="14">
        <v>163035540</v>
      </c>
      <c r="M7" s="867"/>
      <c r="N7" s="866"/>
      <c r="O7" s="867"/>
      <c r="P7" s="866"/>
      <c r="Q7" s="867"/>
      <c r="R7" s="866"/>
    </row>
    <row r="8" spans="2:18">
      <c r="B8" s="654">
        <f>IF(F8="","",(SUMIF(INTGRATE!$Y:$Y,data!D8,INTGRATE!$L:$L)+SUMIF(BRAN!$V:$V,data!D8,BRAN!$J:$J)))</f>
        <v>32850</v>
      </c>
      <c r="C8" s="655">
        <f t="shared" si="0"/>
        <v>0</v>
      </c>
      <c r="D8" s="656" t="str">
        <f>IFERROR(VLOOKUP(E8,Map!$B:$F,4,0),"")&amp;IFERROR(VLOOKUP(E8,Map!$B:$F,5,0),"")</f>
        <v>567SFS2550</v>
      </c>
      <c r="E8" s="657" t="str">
        <f t="shared" si="1"/>
        <v>21115671999250S25</v>
      </c>
      <c r="F8" s="497">
        <v>21115671999250</v>
      </c>
      <c r="G8" t="s">
        <v>938</v>
      </c>
      <c r="H8" t="s">
        <v>2680</v>
      </c>
      <c r="I8">
        <v>50</v>
      </c>
      <c r="J8" s="511">
        <v>657</v>
      </c>
      <c r="K8" s="511">
        <v>32850</v>
      </c>
      <c r="L8" s="14">
        <v>352152000</v>
      </c>
      <c r="M8" s="867"/>
      <c r="N8" s="866"/>
      <c r="O8" s="867"/>
      <c r="P8" s="866"/>
      <c r="Q8" s="867"/>
      <c r="R8" s="866"/>
    </row>
    <row r="9" spans="2:18">
      <c r="B9" s="654">
        <f>IF(F9="","",(SUMIF(INTGRATE!$Y:$Y,data!D9,INTGRATE!$L:$L)+SUMIF(BRAN!$V:$V,data!D9,BRAN!$J:$J)))</f>
        <v>4150</v>
      </c>
      <c r="C9" s="655">
        <f t="shared" si="0"/>
        <v>0</v>
      </c>
      <c r="D9" s="656" t="str">
        <f>IFERROR(VLOOKUP(E9,Map!$B:$F,4,0),"")&amp;IFERROR(VLOOKUP(E9,Map!$B:$F,5,0),"")</f>
        <v>511ANFP9250</v>
      </c>
      <c r="E9" s="657" t="str">
        <f t="shared" si="1"/>
        <v>21115114399250P92</v>
      </c>
      <c r="F9" s="497">
        <v>21115114399250</v>
      </c>
      <c r="G9" t="s">
        <v>827</v>
      </c>
      <c r="H9" t="s">
        <v>2681</v>
      </c>
      <c r="I9">
        <v>50</v>
      </c>
      <c r="J9" s="511">
        <v>83</v>
      </c>
      <c r="K9" s="511">
        <v>4150</v>
      </c>
      <c r="L9" s="14">
        <v>46936500</v>
      </c>
      <c r="M9" s="867"/>
      <c r="N9" s="866"/>
      <c r="O9" s="867"/>
      <c r="P9" s="866"/>
      <c r="Q9" s="867"/>
      <c r="R9" s="866"/>
    </row>
    <row r="10" spans="2:18">
      <c r="B10" s="654">
        <f>IF(F10="","",(SUMIF(INTGRATE!$Y:$Y,data!D10,INTGRATE!$L:$L)+SUMIF(BRAN!$V:$V,data!D10,BRAN!$J:$J)))</f>
        <v>1775</v>
      </c>
      <c r="C10" s="655">
        <f t="shared" si="0"/>
        <v>0</v>
      </c>
      <c r="D10" s="656" t="str">
        <f>IFERROR(VLOOKUP(E10,Map!$B:$F,4,0),"")&amp;IFERROR(VLOOKUP(E10,Map!$B:$F,5,0),"")</f>
        <v>550Pro25</v>
      </c>
      <c r="E10" s="657" t="str">
        <f t="shared" si="1"/>
        <v>21115501600125</v>
      </c>
      <c r="F10" s="497">
        <v>21115501600125</v>
      </c>
      <c r="G10" t="s">
        <v>1454</v>
      </c>
      <c r="H10" t="s">
        <v>9</v>
      </c>
      <c r="I10">
        <v>25</v>
      </c>
      <c r="J10" s="511">
        <v>71</v>
      </c>
      <c r="K10" s="511">
        <v>1775</v>
      </c>
      <c r="L10" s="14">
        <v>40576500</v>
      </c>
      <c r="M10" s="867"/>
      <c r="N10" s="866"/>
      <c r="O10" s="867"/>
      <c r="P10" s="866"/>
      <c r="Q10" s="867"/>
      <c r="R10" s="866"/>
    </row>
    <row r="11" spans="2:18">
      <c r="B11" s="654">
        <f>IF(F11="","",(SUMIF(INTGRATE!$Y:$Y,data!D11,INTGRATE!$L:$L)+SUMIF(BRAN!$V:$V,data!D11,BRAN!$J:$J)))</f>
        <v>1000</v>
      </c>
      <c r="C11" s="655">
        <f t="shared" si="0"/>
        <v>0</v>
      </c>
      <c r="D11" s="656" t="str">
        <f>IFERROR(VLOOKUP(E11,Map!$B:$F,4,0),"")&amp;IFERROR(VLOOKUP(E11,Map!$B:$F,5,0),"")</f>
        <v>511L25</v>
      </c>
      <c r="E11" s="657" t="str">
        <f t="shared" si="1"/>
        <v>21115111200125</v>
      </c>
      <c r="F11" s="497">
        <v>21115111200125</v>
      </c>
      <c r="G11" t="s">
        <v>2682</v>
      </c>
      <c r="H11" t="s">
        <v>9</v>
      </c>
      <c r="I11">
        <v>25</v>
      </c>
      <c r="J11" s="511">
        <v>40</v>
      </c>
      <c r="K11" s="511">
        <v>1000</v>
      </c>
      <c r="L11" s="14">
        <v>11150000</v>
      </c>
      <c r="M11" s="867"/>
      <c r="N11" s="866"/>
      <c r="O11" s="867"/>
      <c r="P11" s="866"/>
      <c r="Q11" s="867"/>
      <c r="R11" s="866"/>
    </row>
    <row r="12" spans="2:18">
      <c r="B12" s="654">
        <f>IF(F12="","",(SUMIF(INTGRATE!$Y:$Y,data!D12,INTGRATE!$L:$L)+SUMIF(BRAN!$V:$V,data!D12,BRAN!$J:$J)))</f>
        <v>2200</v>
      </c>
      <c r="C12" s="655">
        <f t="shared" si="0"/>
        <v>0</v>
      </c>
      <c r="D12" s="656" t="str">
        <f>IFERROR(VLOOKUP(E12,Map!$B:$F,4,0),"")&amp;IFERROR(VLOOKUP(E12,Map!$B:$F,5,0),"")</f>
        <v>688425</v>
      </c>
      <c r="E12" s="657" t="str">
        <f t="shared" si="1"/>
        <v>21163840000125</v>
      </c>
      <c r="F12" s="497">
        <v>21163840000125</v>
      </c>
      <c r="G12" t="s">
        <v>1581</v>
      </c>
      <c r="H12" t="s">
        <v>9</v>
      </c>
      <c r="I12">
        <v>25</v>
      </c>
      <c r="J12" s="511">
        <v>88</v>
      </c>
      <c r="K12" s="511">
        <v>2200</v>
      </c>
      <c r="L12" s="14">
        <v>20064000</v>
      </c>
      <c r="M12" s="867"/>
      <c r="N12" s="866"/>
      <c r="O12" s="867"/>
      <c r="P12" s="866"/>
      <c r="Q12" s="867"/>
      <c r="R12" s="866"/>
    </row>
    <row r="13" spans="2:18">
      <c r="B13" s="654">
        <f>IF(F13="","",(SUMIF(INTGRATE!$Y:$Y,data!D13,INTGRATE!$L:$L)+SUMIF(BRAN!$V:$V,data!D13,BRAN!$J:$J)))</f>
        <v>23300</v>
      </c>
      <c r="C13" s="655">
        <f t="shared" si="0"/>
        <v>0</v>
      </c>
      <c r="D13" s="656" t="str">
        <f>IFERROR(VLOOKUP(E13,Map!$B:$F,4,0),"")&amp;IFERROR(VLOOKUP(E13,Map!$B:$F,5,0),"")</f>
        <v>549F50</v>
      </c>
      <c r="E13" s="657" t="str">
        <f t="shared" si="1"/>
        <v>21115490000250</v>
      </c>
      <c r="F13" s="497">
        <v>21115490000250</v>
      </c>
      <c r="G13" t="s">
        <v>2683</v>
      </c>
      <c r="H13" t="s">
        <v>9</v>
      </c>
      <c r="I13">
        <v>50</v>
      </c>
      <c r="J13" s="511">
        <v>466</v>
      </c>
      <c r="K13" s="511">
        <v>23300</v>
      </c>
      <c r="L13" s="14">
        <v>220418000</v>
      </c>
      <c r="M13" s="867"/>
      <c r="N13" s="866"/>
      <c r="O13" s="867"/>
      <c r="P13" s="866"/>
      <c r="Q13" s="867"/>
      <c r="R13" s="866"/>
    </row>
    <row r="14" spans="2:18">
      <c r="B14" s="654">
        <f>IF(F14="","",(SUMIF(INTGRATE!$Y:$Y,data!D14,INTGRATE!$L:$L)+SUMIF(BRAN!$V:$V,data!D14,BRAN!$J:$J)))</f>
        <v>8000</v>
      </c>
      <c r="C14" s="655">
        <f t="shared" si="0"/>
        <v>0</v>
      </c>
      <c r="D14" s="656" t="str">
        <f>IFERROR(VLOOKUP(E14,Map!$B:$F,4,0),"")&amp;IFERROR(VLOOKUP(E14,Map!$B:$F,5,0),"")</f>
        <v>548F50</v>
      </c>
      <c r="E14" s="657" t="str">
        <f t="shared" si="1"/>
        <v>21115480000250</v>
      </c>
      <c r="F14" s="497">
        <v>21115480000250</v>
      </c>
      <c r="G14" t="s">
        <v>2684</v>
      </c>
      <c r="H14" t="s">
        <v>9</v>
      </c>
      <c r="I14">
        <v>50</v>
      </c>
      <c r="J14" s="511">
        <v>160</v>
      </c>
      <c r="K14" s="511">
        <v>8000</v>
      </c>
      <c r="L14" s="14">
        <v>75280000</v>
      </c>
      <c r="M14" s="867"/>
      <c r="N14" s="866"/>
      <c r="O14" s="867"/>
      <c r="P14" s="866"/>
      <c r="Q14" s="867"/>
      <c r="R14" s="866"/>
    </row>
    <row r="15" spans="2:18">
      <c r="B15" s="654">
        <f>IF(F15="","",(SUMIF(INTGRATE!$Y:$Y,data!D15,INTGRATE!$L:$L)+SUMIF(BRAN!$V:$V,data!D15,BRAN!$J:$J)))</f>
        <v>7650</v>
      </c>
      <c r="C15" s="655">
        <f t="shared" si="0"/>
        <v>0</v>
      </c>
      <c r="D15" s="656" t="str">
        <f>IFERROR(VLOOKUP(E15,Map!$B:$F,4,0),"")&amp;IFERROR(VLOOKUP(E15,Map!$B:$F,5,0),"")</f>
        <v>511AS25</v>
      </c>
      <c r="E15" s="657" t="str">
        <f t="shared" si="1"/>
        <v>21115110119125</v>
      </c>
      <c r="F15" s="497">
        <v>21115110119125</v>
      </c>
      <c r="G15" t="s">
        <v>1895</v>
      </c>
      <c r="H15" t="s">
        <v>9</v>
      </c>
      <c r="I15">
        <v>25</v>
      </c>
      <c r="J15" s="511">
        <v>306</v>
      </c>
      <c r="K15" s="511">
        <v>7650</v>
      </c>
      <c r="L15" s="14">
        <v>95625000</v>
      </c>
      <c r="M15" s="868"/>
      <c r="N15" s="866"/>
      <c r="O15" s="438"/>
      <c r="P15" s="438"/>
      <c r="Q15" s="438"/>
      <c r="R15" s="438"/>
    </row>
    <row r="16" spans="2:18">
      <c r="B16" s="654">
        <f>IF(F16="","",(SUMIF(INTGRATE!$Y:$Y,data!D16,INTGRATE!$L:$L)+SUMIF(BRAN!$V:$V,data!D16,BRAN!$J:$J)))</f>
        <v>19500</v>
      </c>
      <c r="C16" s="655">
        <f t="shared" si="0"/>
        <v>0</v>
      </c>
      <c r="D16" s="656" t="str">
        <f>IFERROR(VLOOKUP(E16,Map!$B:$F,4,0),"")&amp;IFERROR(VLOOKUP(E16,Map!$B:$F,5,0),"")</f>
        <v>567SFS3150</v>
      </c>
      <c r="E16" s="657" t="str">
        <f t="shared" si="1"/>
        <v>21115671999250S31</v>
      </c>
      <c r="F16" s="497">
        <v>21115671999250</v>
      </c>
      <c r="G16" t="s">
        <v>938</v>
      </c>
      <c r="H16" t="s">
        <v>2685</v>
      </c>
      <c r="I16">
        <v>50</v>
      </c>
      <c r="J16" s="511">
        <v>390</v>
      </c>
      <c r="K16" s="511">
        <v>19500</v>
      </c>
      <c r="L16" s="14">
        <v>205725000</v>
      </c>
      <c r="M16" s="867"/>
      <c r="N16" s="866"/>
      <c r="O16" s="867"/>
      <c r="P16" s="866"/>
      <c r="Q16" s="867"/>
      <c r="R16" s="866"/>
    </row>
    <row r="17" spans="2:18">
      <c r="B17" s="654">
        <f>IF(F17="","",(SUMIF(INTGRATE!$Y:$Y,data!D17,INTGRATE!$L:$L)+SUMIF(BRAN!$V:$V,data!D17,BRAN!$J:$J)))</f>
        <v>4980</v>
      </c>
      <c r="C17" s="655">
        <f t="shared" si="0"/>
        <v>0</v>
      </c>
      <c r="D17" s="656" t="str">
        <f>IFERROR(VLOOKUP(E17,Map!$B:$F,4,0),"")&amp;IFERROR(VLOOKUP(E17,Map!$B:$F,5,0),"")</f>
        <v>567SFS31Silo</v>
      </c>
      <c r="E17" s="657" t="str">
        <f t="shared" si="1"/>
        <v>21115671999300S31</v>
      </c>
      <c r="F17" s="497">
        <v>21115671999300</v>
      </c>
      <c r="G17" t="s">
        <v>939</v>
      </c>
      <c r="H17" t="s">
        <v>2685</v>
      </c>
      <c r="I17">
        <v>0</v>
      </c>
      <c r="J17" s="511">
        <v>0</v>
      </c>
      <c r="K17" s="511">
        <v>4980</v>
      </c>
      <c r="L17" s="14">
        <v>51891600</v>
      </c>
      <c r="M17" s="867"/>
      <c r="N17" s="866"/>
      <c r="O17" s="867"/>
      <c r="P17" s="866"/>
      <c r="Q17" s="867"/>
      <c r="R17" s="866"/>
    </row>
    <row r="18" spans="2:18">
      <c r="B18" s="654">
        <f>IF(F18="","",(SUMIF(INTGRATE!$Y:$Y,data!D18,INTGRATE!$L:$L)+SUMIF(BRAN!$V:$V,data!D18,BRAN!$J:$J)))</f>
        <v>27300</v>
      </c>
      <c r="C18" s="655">
        <f t="shared" si="0"/>
        <v>0</v>
      </c>
      <c r="D18" s="656" t="str">
        <f>IFERROR(VLOOKUP(E18,Map!$B:$F,4,0),"")&amp;IFERROR(VLOOKUP(E18,Map!$B:$F,5,0),"")</f>
        <v>552SSilo</v>
      </c>
      <c r="E18" s="657" t="str">
        <f t="shared" si="1"/>
        <v>21115521900100</v>
      </c>
      <c r="F18" s="497">
        <v>21115521900100</v>
      </c>
      <c r="G18" t="s">
        <v>1120</v>
      </c>
      <c r="H18" t="s">
        <v>9</v>
      </c>
      <c r="I18">
        <v>0</v>
      </c>
      <c r="J18" s="511">
        <v>0</v>
      </c>
      <c r="K18" s="511">
        <v>27300</v>
      </c>
      <c r="L18" s="14">
        <v>335790000</v>
      </c>
      <c r="M18" s="867"/>
      <c r="N18" s="866"/>
      <c r="O18" s="867"/>
      <c r="P18" s="866"/>
      <c r="Q18" s="867"/>
      <c r="R18" s="866"/>
    </row>
    <row r="19" spans="2:18">
      <c r="B19" s="654">
        <f>IF(F19="","",(SUMIF(INTGRATE!$Y:$Y,data!D19,INTGRATE!$L:$L)+SUMIF(BRAN!$V:$V,data!D19,BRAN!$J:$J)))</f>
        <v>5940</v>
      </c>
      <c r="C19" s="655">
        <f t="shared" si="0"/>
        <v>0</v>
      </c>
      <c r="D19" s="656" t="str">
        <f>IFERROR(VLOOKUP(E19,Map!$B:$F,4,0),"")&amp;IFERROR(VLOOKUP(E19,Map!$B:$F,5,0),"")</f>
        <v>551GPFS54silo</v>
      </c>
      <c r="E19" s="657" t="str">
        <f t="shared" si="1"/>
        <v>21115517599300S54</v>
      </c>
      <c r="F19" s="497">
        <v>21115517599300</v>
      </c>
      <c r="G19" t="s">
        <v>974</v>
      </c>
      <c r="H19" t="s">
        <v>2686</v>
      </c>
      <c r="I19">
        <v>0</v>
      </c>
      <c r="J19" s="511">
        <v>0</v>
      </c>
      <c r="K19" s="511">
        <v>5940</v>
      </c>
      <c r="L19" s="14">
        <v>66171600</v>
      </c>
      <c r="M19" s="867"/>
      <c r="N19" s="866"/>
      <c r="O19" s="867"/>
      <c r="P19" s="866"/>
      <c r="Q19" s="867"/>
      <c r="R19" s="866"/>
    </row>
    <row r="20" spans="2:18">
      <c r="B20" s="654">
        <f>IF(F20="","",(SUMIF(INTGRATE!$Y:$Y,data!D20,INTGRATE!$L:$L)+SUMIF(BRAN!$V:$V,data!D20,BRAN!$J:$J)))</f>
        <v>15450</v>
      </c>
      <c r="C20" s="655">
        <f t="shared" si="0"/>
        <v>0</v>
      </c>
      <c r="D20" s="656" t="str">
        <f>IFERROR(VLOOKUP(E20,Map!$B:$F,4,0),"")&amp;IFERROR(VLOOKUP(E20,Map!$B:$F,5,0),"")</f>
        <v>55125</v>
      </c>
      <c r="E20" s="657" t="str">
        <f t="shared" si="1"/>
        <v>21115510000125</v>
      </c>
      <c r="F20" s="497">
        <v>21115510000125</v>
      </c>
      <c r="G20" t="s">
        <v>2687</v>
      </c>
      <c r="H20" t="s">
        <v>9</v>
      </c>
      <c r="I20">
        <v>25</v>
      </c>
      <c r="J20" s="511">
        <v>618</v>
      </c>
      <c r="K20" s="511">
        <v>15450</v>
      </c>
      <c r="L20" s="14">
        <v>259869000</v>
      </c>
      <c r="M20" s="867"/>
      <c r="N20" s="866"/>
      <c r="O20" s="867"/>
      <c r="P20" s="866"/>
      <c r="Q20" s="867"/>
      <c r="R20" s="866"/>
    </row>
    <row r="21" spans="2:18">
      <c r="B21" s="654">
        <f>IF(F21="","",(SUMIF(INTGRATE!$Y:$Y,data!D21,INTGRATE!$L:$L)+SUMIF(BRAN!$V:$V,data!D21,BRAN!$J:$J)))</f>
        <v>21550</v>
      </c>
      <c r="C21" s="655">
        <f t="shared" si="0"/>
        <v>0</v>
      </c>
      <c r="D21" s="656" t="str">
        <f>IFERROR(VLOOKUP(E21,Map!$B:$F,4,0),"")&amp;IFERROR(VLOOKUP(E21,Map!$B:$F,5,0),"")</f>
        <v>55325</v>
      </c>
      <c r="E21" s="657" t="str">
        <f t="shared" si="1"/>
        <v>21115530000125</v>
      </c>
      <c r="F21" s="497">
        <v>21115530000125</v>
      </c>
      <c r="G21" t="s">
        <v>2688</v>
      </c>
      <c r="H21" t="s">
        <v>9</v>
      </c>
      <c r="I21">
        <v>25</v>
      </c>
      <c r="J21" s="511">
        <v>862</v>
      </c>
      <c r="K21" s="511">
        <v>21550</v>
      </c>
      <c r="L21" s="14">
        <v>227137000</v>
      </c>
      <c r="M21" s="867"/>
      <c r="N21" s="866"/>
      <c r="O21" s="867"/>
      <c r="P21" s="866"/>
      <c r="Q21" s="867"/>
      <c r="R21" s="866"/>
    </row>
    <row r="22" spans="2:18">
      <c r="B22" s="654">
        <f>IF(F22="","",(SUMIF(INTGRATE!$Y:$Y,data!D22,INTGRATE!$L:$L)+SUMIF(BRAN!$V:$V,data!D22,BRAN!$J:$J)))</f>
        <v>29900</v>
      </c>
      <c r="C22" s="655">
        <f t="shared" si="0"/>
        <v>0</v>
      </c>
      <c r="D22" s="656" t="str">
        <f>IFERROR(VLOOKUP(E22,Map!$B:$F,4,0),"")&amp;IFERROR(VLOOKUP(E22,Map!$B:$F,5,0),"")</f>
        <v>GD14Asilo</v>
      </c>
      <c r="E22" s="657" t="str">
        <f t="shared" si="1"/>
        <v>21135240100100</v>
      </c>
      <c r="F22" s="497">
        <v>21135240100100</v>
      </c>
      <c r="G22" t="s">
        <v>1951</v>
      </c>
      <c r="H22" t="s">
        <v>9</v>
      </c>
      <c r="I22">
        <v>0</v>
      </c>
      <c r="J22" s="511">
        <v>0</v>
      </c>
      <c r="K22" s="511">
        <v>29900</v>
      </c>
      <c r="L22" s="14">
        <v>273585000</v>
      </c>
      <c r="M22" s="867"/>
      <c r="N22" s="866"/>
      <c r="O22" s="867"/>
      <c r="P22" s="866"/>
      <c r="Q22" s="867"/>
      <c r="R22" s="866"/>
    </row>
    <row r="23" spans="2:18">
      <c r="B23" s="654">
        <f>IF(F23="","",(SUMIF(INTGRATE!$Y:$Y,data!D23,INTGRATE!$L:$L)+SUMIF(BRAN!$V:$V,data!D23,BRAN!$J:$J)))</f>
        <v>50</v>
      </c>
      <c r="C23" s="655">
        <f t="shared" si="0"/>
        <v>0</v>
      </c>
      <c r="D23" s="656" t="str">
        <f>IFERROR(VLOOKUP(E23,Map!$B:$F,4,0),"")&amp;IFERROR(VLOOKUP(E23,Map!$B:$F,5,0),"")</f>
        <v>550P10</v>
      </c>
      <c r="E23" s="657" t="str">
        <f t="shared" si="1"/>
        <v>21115501600110</v>
      </c>
      <c r="F23" s="497">
        <v>21115501600110</v>
      </c>
      <c r="G23" t="s">
        <v>2689</v>
      </c>
      <c r="H23" t="s">
        <v>9</v>
      </c>
      <c r="I23">
        <v>10</v>
      </c>
      <c r="J23" s="511">
        <v>5</v>
      </c>
      <c r="K23" s="511">
        <v>50</v>
      </c>
      <c r="L23" s="14">
        <v>2490000</v>
      </c>
      <c r="M23" s="867"/>
      <c r="N23" s="866"/>
      <c r="O23" s="867"/>
      <c r="P23" s="866"/>
      <c r="Q23" s="867"/>
      <c r="R23" s="866"/>
    </row>
    <row r="24" spans="2:18">
      <c r="B24" s="654">
        <f>IF(F24="","",(SUMIF(INTGRATE!$Y:$Y,data!D24,INTGRATE!$L:$L)+SUMIF(BRAN!$V:$V,data!D24,BRAN!$J:$J)))</f>
        <v>44050</v>
      </c>
      <c r="C24" s="655">
        <f t="shared" si="0"/>
        <v>0</v>
      </c>
      <c r="D24" s="656" t="str">
        <f>IFERROR(VLOOKUP(E24,Map!$B:$F,4,0),"")&amp;IFERROR(VLOOKUP(E24,Map!$B:$F,5,0),"")</f>
        <v>552S25</v>
      </c>
      <c r="E24" s="657" t="str">
        <f t="shared" si="1"/>
        <v>21115521900125</v>
      </c>
      <c r="F24" s="497">
        <v>21115521900125</v>
      </c>
      <c r="G24" t="s">
        <v>2690</v>
      </c>
      <c r="H24" t="s">
        <v>9</v>
      </c>
      <c r="I24">
        <v>25</v>
      </c>
      <c r="J24" s="511">
        <v>1762</v>
      </c>
      <c r="K24" s="511">
        <v>44050</v>
      </c>
      <c r="L24" s="14">
        <v>535575000</v>
      </c>
      <c r="M24" s="867"/>
      <c r="N24" s="866"/>
      <c r="O24" s="867"/>
      <c r="P24" s="866"/>
      <c r="Q24" s="867"/>
      <c r="R24" s="866"/>
    </row>
    <row r="25" spans="2:18">
      <c r="B25" s="654">
        <f>IF(F25="","",(SUMIF(INTGRATE!$Y:$Y,data!D25,INTGRATE!$L:$L)+SUMIF(BRAN!$V:$V,data!D25,BRAN!$J:$J)))</f>
        <v>32850</v>
      </c>
      <c r="C25" s="655">
        <f t="shared" si="0"/>
        <v>0</v>
      </c>
      <c r="D25" s="656" t="str">
        <f>IFERROR(VLOOKUP(E25,Map!$B:$F,4,0),"")&amp;IFERROR(VLOOKUP(E25,Map!$B:$F,5,0),"")</f>
        <v>562PFS9050</v>
      </c>
      <c r="E25" s="657" t="str">
        <f t="shared" si="1"/>
        <v>21115621699250S90</v>
      </c>
      <c r="F25" s="497">
        <v>21115621699250</v>
      </c>
      <c r="G25" t="s">
        <v>1295</v>
      </c>
      <c r="H25" t="s">
        <v>1620</v>
      </c>
      <c r="I25">
        <v>50</v>
      </c>
      <c r="J25" s="511">
        <v>657</v>
      </c>
      <c r="K25" s="511">
        <v>32850</v>
      </c>
      <c r="L25" s="14">
        <v>287437500</v>
      </c>
      <c r="M25" s="867"/>
      <c r="N25" s="866"/>
      <c r="O25" s="867"/>
      <c r="P25" s="866"/>
      <c r="Q25" s="867"/>
      <c r="R25" s="866"/>
    </row>
    <row r="26" spans="2:18">
      <c r="B26" s="654">
        <f>IF(F26="","",(SUMIF(INTGRATE!$Y:$Y,data!D26,INTGRATE!$L:$L)+SUMIF(BRAN!$V:$V,data!D26,BRAN!$J:$J)))</f>
        <v>138000</v>
      </c>
      <c r="C26" s="655">
        <f t="shared" si="0"/>
        <v>0</v>
      </c>
      <c r="D26" s="656" t="str">
        <f>IFERROR(VLOOKUP(E26,Map!$B:$F,4,0),"")&amp;IFERROR(VLOOKUP(E26,Map!$B:$F,5,0),"")</f>
        <v>552F50</v>
      </c>
      <c r="E26" s="657" t="str">
        <f t="shared" si="1"/>
        <v>21115520000250</v>
      </c>
      <c r="F26" s="497">
        <v>21115520000250</v>
      </c>
      <c r="G26" t="s">
        <v>2691</v>
      </c>
      <c r="H26" t="s">
        <v>9</v>
      </c>
      <c r="I26">
        <v>50</v>
      </c>
      <c r="J26" s="511">
        <v>2760</v>
      </c>
      <c r="K26" s="511">
        <v>138000</v>
      </c>
      <c r="L26" s="14">
        <v>1200600000</v>
      </c>
      <c r="M26" s="867"/>
      <c r="N26" s="866"/>
      <c r="O26" s="867"/>
      <c r="P26" s="866"/>
      <c r="Q26" s="867"/>
      <c r="R26" s="866"/>
    </row>
    <row r="27" spans="2:18">
      <c r="B27" s="654">
        <f>IF(F27="","",(SUMIF(INTGRATE!$Y:$Y,data!D27,INTGRATE!$L:$L)+SUMIF(BRAN!$V:$V,data!D27,BRAN!$J:$J)))</f>
        <v>24100</v>
      </c>
      <c r="C27" s="655">
        <f t="shared" si="0"/>
        <v>0</v>
      </c>
      <c r="D27" s="656" t="str">
        <f>IFERROR(VLOOKUP(E27,Map!$B:$F,4,0),"")&amp;IFERROR(VLOOKUP(E27,Map!$B:$F,5,0),"")</f>
        <v>551GPFS3150</v>
      </c>
      <c r="E27" s="657" t="str">
        <f t="shared" si="1"/>
        <v>21115517599250S31</v>
      </c>
      <c r="F27" s="497">
        <v>21115517599250</v>
      </c>
      <c r="G27" t="s">
        <v>975</v>
      </c>
      <c r="H27" t="s">
        <v>2685</v>
      </c>
      <c r="I27">
        <v>50</v>
      </c>
      <c r="J27" s="511">
        <v>482</v>
      </c>
      <c r="K27" s="511">
        <v>24100</v>
      </c>
      <c r="L27" s="14">
        <v>272812000</v>
      </c>
      <c r="M27" s="867"/>
      <c r="N27" s="866"/>
      <c r="O27" s="867"/>
      <c r="P27" s="866"/>
      <c r="Q27" s="867"/>
      <c r="R27" s="866"/>
    </row>
    <row r="28" spans="2:18">
      <c r="B28" s="654">
        <f>IF(F28="","",(SUMIF(INTGRATE!$Y:$Y,data!D28,INTGRATE!$L:$L)+SUMIF(BRAN!$V:$V,data!D28,BRAN!$J:$J)))</f>
        <v>5025</v>
      </c>
      <c r="C28" s="655">
        <f t="shared" si="0"/>
        <v>0</v>
      </c>
      <c r="D28" s="656" t="str">
        <f>IFERROR(VLOOKUP(E28,Map!$B:$F,4,0),"")&amp;IFERROR(VLOOKUP(E28,Map!$B:$F,5,0),"")</f>
        <v>695325</v>
      </c>
      <c r="E28" s="657" t="str">
        <f t="shared" si="1"/>
        <v>21165530000125</v>
      </c>
      <c r="F28" s="497">
        <v>21165530000125</v>
      </c>
      <c r="G28" t="s">
        <v>1546</v>
      </c>
      <c r="H28" t="s">
        <v>9</v>
      </c>
      <c r="I28">
        <v>25</v>
      </c>
      <c r="J28" s="511">
        <v>201</v>
      </c>
      <c r="K28" s="511">
        <v>5025</v>
      </c>
      <c r="L28" s="14">
        <v>48240000</v>
      </c>
      <c r="M28" s="867"/>
      <c r="N28" s="866"/>
      <c r="O28" s="867"/>
      <c r="P28" s="866"/>
      <c r="Q28" s="867"/>
      <c r="R28" s="866"/>
    </row>
    <row r="29" spans="2:18">
      <c r="B29" s="654">
        <f>IF(F29="","",(SUMIF(INTGRATE!$Y:$Y,data!D29,INTGRATE!$L:$L)+SUMIF(BRAN!$V:$V,data!D29,BRAN!$J:$J)))</f>
        <v>7325</v>
      </c>
      <c r="C29" s="655">
        <f t="shared" si="0"/>
        <v>0</v>
      </c>
      <c r="D29" s="656" t="str">
        <f>IFERROR(VLOOKUP(E29,Map!$B:$F,4,0),"")&amp;IFERROR(VLOOKUP(E29,Map!$B:$F,5,0),"")</f>
        <v>695125</v>
      </c>
      <c r="E29" s="657" t="str">
        <f t="shared" si="1"/>
        <v>21165510000125</v>
      </c>
      <c r="F29" s="497">
        <v>21165510000125</v>
      </c>
      <c r="G29" t="s">
        <v>2464</v>
      </c>
      <c r="H29" t="s">
        <v>9</v>
      </c>
      <c r="I29">
        <v>25</v>
      </c>
      <c r="J29" s="511">
        <v>293</v>
      </c>
      <c r="K29" s="511">
        <v>7325</v>
      </c>
      <c r="L29" s="14">
        <v>75447500</v>
      </c>
      <c r="M29" s="867"/>
      <c r="N29" s="866"/>
      <c r="O29" s="867"/>
      <c r="P29" s="866"/>
      <c r="Q29" s="867"/>
      <c r="R29" s="866"/>
    </row>
    <row r="30" spans="2:18">
      <c r="B30" s="654">
        <f>IF(F30="","",(SUMIF(INTGRATE!$Y:$Y,data!D30,INTGRATE!$L:$L)+SUMIF(BRAN!$V:$V,data!D30,BRAN!$J:$J)))</f>
        <v>625</v>
      </c>
      <c r="C30" s="655">
        <f t="shared" si="0"/>
        <v>0</v>
      </c>
      <c r="D30" s="656" t="str">
        <f>IFERROR(VLOOKUP(E30,Map!$B:$F,4,0),"")&amp;IFERROR(VLOOKUP(E30,Map!$B:$F,5,0),"")</f>
        <v>HG1625</v>
      </c>
      <c r="E30" s="657" t="str">
        <f t="shared" si="1"/>
        <v>21135660000125</v>
      </c>
      <c r="F30" s="497">
        <v>21135660000125</v>
      </c>
      <c r="G30" t="s">
        <v>2692</v>
      </c>
      <c r="H30" t="s">
        <v>9</v>
      </c>
      <c r="I30">
        <v>25</v>
      </c>
      <c r="J30" s="511">
        <v>25</v>
      </c>
      <c r="K30" s="511">
        <v>625</v>
      </c>
      <c r="L30" s="14">
        <v>6556250</v>
      </c>
      <c r="M30" s="867"/>
      <c r="N30" s="866"/>
      <c r="O30" s="867"/>
      <c r="P30" s="866"/>
      <c r="Q30" s="867"/>
      <c r="R30" s="866"/>
    </row>
    <row r="31" spans="2:18">
      <c r="B31" s="654">
        <f>IF(F31="","",(SUMIF(INTGRATE!$Y:$Y,data!D31,INTGRATE!$L:$L)+SUMIF(BRAN!$V:$V,data!D31,BRAN!$J:$J)))</f>
        <v>41825</v>
      </c>
      <c r="C31" s="655">
        <f t="shared" si="0"/>
        <v>0</v>
      </c>
      <c r="D31" s="656" t="str">
        <f>IFERROR(VLOOKUP(E31,Map!$B:$F,4,0),"")&amp;IFERROR(VLOOKUP(E31,Map!$B:$F,5,0),"")</f>
        <v>567S25</v>
      </c>
      <c r="E31" s="657" t="str">
        <f t="shared" si="1"/>
        <v>21115671900125</v>
      </c>
      <c r="F31" s="497">
        <v>21115671900125</v>
      </c>
      <c r="G31" t="s">
        <v>2693</v>
      </c>
      <c r="H31" t="s">
        <v>9</v>
      </c>
      <c r="I31">
        <v>25</v>
      </c>
      <c r="J31" s="511">
        <v>1673</v>
      </c>
      <c r="K31" s="511">
        <v>41825</v>
      </c>
      <c r="L31" s="14">
        <v>519115250</v>
      </c>
      <c r="M31" s="867"/>
      <c r="N31" s="866"/>
      <c r="O31" s="867"/>
      <c r="P31" s="866"/>
      <c r="Q31" s="867"/>
      <c r="R31" s="866"/>
    </row>
    <row r="32" spans="2:18">
      <c r="B32" s="654">
        <f>IF(F32="","",(SUMIF(INTGRATE!$Y:$Y,data!D32,INTGRATE!$L:$L)+SUMIF(BRAN!$V:$V,data!D32,BRAN!$J:$J)))</f>
        <v>1000</v>
      </c>
      <c r="C32" s="655">
        <f t="shared" si="0"/>
        <v>0</v>
      </c>
      <c r="D32" s="656" t="str">
        <f>IFERROR(VLOOKUP(E32,Map!$B:$F,4,0),"")&amp;IFERROR(VLOOKUP(E32,Map!$B:$F,5,0),"")</f>
        <v>967S25</v>
      </c>
      <c r="E32" s="657" t="str">
        <f t="shared" si="1"/>
        <v>21125671900125</v>
      </c>
      <c r="F32" s="497">
        <v>21125671900125</v>
      </c>
      <c r="G32" t="s">
        <v>2694</v>
      </c>
      <c r="H32" t="s">
        <v>9</v>
      </c>
      <c r="I32">
        <v>25</v>
      </c>
      <c r="J32" s="511">
        <v>40</v>
      </c>
      <c r="K32" s="511">
        <v>1000</v>
      </c>
      <c r="L32" s="14">
        <v>12570000</v>
      </c>
      <c r="M32" s="867"/>
      <c r="N32" s="866"/>
      <c r="O32" s="867"/>
      <c r="P32" s="866"/>
      <c r="Q32" s="867"/>
      <c r="R32" s="866"/>
    </row>
    <row r="33" spans="2:18">
      <c r="B33" s="654">
        <f>IF(F33="","",(SUMIF(INTGRATE!$Y:$Y,data!D33,INTGRATE!$L:$L)+SUMIF(BRAN!$V:$V,data!D33,BRAN!$J:$J)))</f>
        <v>9000</v>
      </c>
      <c r="C33" s="655">
        <f t="shared" ref="C33:C63" si="2">IF(F33="","",B33-K33)</f>
        <v>0</v>
      </c>
      <c r="D33" s="656" t="str">
        <f>IFERROR(VLOOKUP(E33,Map!$B:$F,4,0),"")&amp;IFERROR(VLOOKUP(E33,Map!$B:$F,5,0),"")</f>
        <v>510NFP9250</v>
      </c>
      <c r="E33" s="657" t="str">
        <f t="shared" ref="E33:E63" si="3">IF(MID(F33,10,2)="99",F33&amp;H33,LEFT(F33,14))</f>
        <v>21115101499250P92</v>
      </c>
      <c r="F33" s="497">
        <v>21115101499250</v>
      </c>
      <c r="G33" t="s">
        <v>976</v>
      </c>
      <c r="H33" t="s">
        <v>2681</v>
      </c>
      <c r="I33">
        <v>50</v>
      </c>
      <c r="J33" s="511">
        <v>180</v>
      </c>
      <c r="K33" s="511">
        <v>9000</v>
      </c>
      <c r="L33" s="14">
        <v>100620000</v>
      </c>
      <c r="M33" s="867"/>
      <c r="N33" s="866"/>
      <c r="O33" s="867"/>
      <c r="P33" s="866"/>
      <c r="Q33" s="867"/>
      <c r="R33" s="866"/>
    </row>
    <row r="34" spans="2:18">
      <c r="B34" s="654">
        <f>IF(F34="","",(SUMIF(INTGRATE!$Y:$Y,data!D34,INTGRATE!$L:$L)+SUMIF(BRAN!$V:$V,data!D34,BRAN!$J:$J)))</f>
        <v>425</v>
      </c>
      <c r="C34" s="655">
        <f t="shared" si="2"/>
        <v>0</v>
      </c>
      <c r="D34" s="656" t="str">
        <f>IFERROR(VLOOKUP(E34,Map!$B:$F,4,0),"")&amp;IFERROR(VLOOKUP(E34,Map!$B:$F,5,0),"")</f>
        <v>54825</v>
      </c>
      <c r="E34" s="657" t="str">
        <f t="shared" si="3"/>
        <v>21115480000125</v>
      </c>
      <c r="F34" s="497">
        <v>21115480000125</v>
      </c>
      <c r="G34" t="s">
        <v>2695</v>
      </c>
      <c r="H34" t="s">
        <v>9</v>
      </c>
      <c r="I34">
        <v>25</v>
      </c>
      <c r="J34" s="511">
        <v>17</v>
      </c>
      <c r="K34" s="511">
        <v>425</v>
      </c>
      <c r="L34" s="14">
        <v>4896000</v>
      </c>
      <c r="M34" s="867"/>
      <c r="N34" s="866"/>
      <c r="O34" s="867"/>
      <c r="P34" s="866"/>
      <c r="Q34" s="867"/>
      <c r="R34" s="866"/>
    </row>
    <row r="35" spans="2:18">
      <c r="B35" s="654">
        <f>IF(F35="","",(SUMIF(INTGRATE!$Y:$Y,data!D35,INTGRATE!$L:$L)+SUMIF(BRAN!$V:$V,data!D35,BRAN!$J:$J)))</f>
        <v>13820</v>
      </c>
      <c r="C35" s="655">
        <f t="shared" si="2"/>
        <v>0</v>
      </c>
      <c r="D35" s="656" t="str">
        <f>IFERROR(VLOOKUP(E35,Map!$B:$F,4,0),"")&amp;IFERROR(VLOOKUP(E35,Map!$B:$F,5,0),"")</f>
        <v>502silo</v>
      </c>
      <c r="E35" s="657" t="str">
        <f t="shared" si="3"/>
        <v>21115020000100</v>
      </c>
      <c r="F35" s="497">
        <v>21115020000100</v>
      </c>
      <c r="G35" t="s">
        <v>1962</v>
      </c>
      <c r="H35" t="s">
        <v>9</v>
      </c>
      <c r="I35">
        <v>0</v>
      </c>
      <c r="J35" s="511">
        <v>0</v>
      </c>
      <c r="K35" s="511">
        <v>13820</v>
      </c>
      <c r="L35" s="14">
        <v>145110000</v>
      </c>
      <c r="M35" s="867"/>
      <c r="N35" s="866"/>
      <c r="O35" s="867"/>
      <c r="P35" s="866"/>
      <c r="Q35" s="867"/>
      <c r="R35" s="866"/>
    </row>
    <row r="36" spans="2:18">
      <c r="B36" s="654">
        <f>IF(F36="","",(SUMIF(INTGRATE!$Y:$Y,data!D36,INTGRATE!$L:$L)+SUMIF(BRAN!$V:$V,data!D36,BRAN!$J:$J)))</f>
        <v>14900</v>
      </c>
      <c r="C36" s="655">
        <f t="shared" si="2"/>
        <v>0</v>
      </c>
      <c r="D36" s="656" t="str">
        <f>IFERROR(VLOOKUP(E36,Map!$B:$F,4,0),"")&amp;IFERROR(VLOOKUP(E36,Map!$B:$F,5,0),"")</f>
        <v>553S25</v>
      </c>
      <c r="E36" s="657" t="str">
        <f t="shared" si="3"/>
        <v>21115531900125</v>
      </c>
      <c r="F36" s="497">
        <v>21115531900125</v>
      </c>
      <c r="G36" t="s">
        <v>2696</v>
      </c>
      <c r="H36" t="s">
        <v>9</v>
      </c>
      <c r="I36">
        <v>25</v>
      </c>
      <c r="J36" s="511">
        <v>596</v>
      </c>
      <c r="K36" s="511">
        <v>14900</v>
      </c>
      <c r="L36" s="14">
        <v>147473000</v>
      </c>
      <c r="M36" s="867"/>
      <c r="N36" s="866"/>
      <c r="O36" s="867"/>
      <c r="P36" s="866"/>
      <c r="Q36" s="867"/>
      <c r="R36" s="866"/>
    </row>
    <row r="37" spans="2:18">
      <c r="B37" s="654">
        <f>IF(F37="","",(SUMIF(INTGRATE!$Y:$Y,data!D37,INTGRATE!$L:$L)+SUMIF(BRAN!$V:$V,data!D37,BRAN!$J:$J)))</f>
        <v>3000</v>
      </c>
      <c r="C37" s="655">
        <f t="shared" si="2"/>
        <v>0</v>
      </c>
      <c r="D37" s="656" t="str">
        <f>IFERROR(VLOOKUP(E37,Map!$B:$F,4,0),"")&amp;IFERROR(VLOOKUP(E37,Map!$B:$F,5,0),"")</f>
        <v>58425</v>
      </c>
      <c r="E37" s="657" t="str">
        <f t="shared" si="3"/>
        <v>21115840000125</v>
      </c>
      <c r="F37" s="497">
        <v>21115840000125</v>
      </c>
      <c r="G37" t="s">
        <v>2697</v>
      </c>
      <c r="H37" t="s">
        <v>9</v>
      </c>
      <c r="I37">
        <v>25</v>
      </c>
      <c r="J37" s="511">
        <v>120</v>
      </c>
      <c r="K37" s="511">
        <v>3000</v>
      </c>
      <c r="L37" s="14">
        <v>27960000</v>
      </c>
      <c r="M37" s="867"/>
      <c r="N37" s="866"/>
      <c r="O37" s="867"/>
      <c r="P37" s="866"/>
      <c r="Q37" s="867"/>
      <c r="R37" s="866"/>
    </row>
    <row r="38" spans="2:18">
      <c r="B38" s="654">
        <f>IF(F38="","",(SUMIF(INTGRATE!$Y:$Y,data!D38,INTGRATE!$L:$L)+SUMIF(BRAN!$V:$V,data!D38,BRAN!$J:$J)))</f>
        <v>41875</v>
      </c>
      <c r="C38" s="655">
        <f t="shared" si="2"/>
        <v>0</v>
      </c>
      <c r="D38" s="656" t="str">
        <f>IFERROR(VLOOKUP(E38,Map!$B:$F,4,0),"")&amp;IFERROR(VLOOKUP(E38,Map!$B:$F,5,0),"")</f>
        <v>52425</v>
      </c>
      <c r="E38" s="657" t="str">
        <f t="shared" si="3"/>
        <v>21115240000125</v>
      </c>
      <c r="F38" s="497">
        <v>21115240000125</v>
      </c>
      <c r="G38" t="s">
        <v>2698</v>
      </c>
      <c r="H38" t="s">
        <v>9</v>
      </c>
      <c r="I38">
        <v>25</v>
      </c>
      <c r="J38" s="511">
        <v>1675</v>
      </c>
      <c r="K38" s="511">
        <v>41875</v>
      </c>
      <c r="L38" s="14">
        <v>394353750</v>
      </c>
      <c r="M38" s="867"/>
      <c r="N38" s="866"/>
      <c r="O38" s="867"/>
      <c r="P38" s="866"/>
      <c r="Q38" s="867"/>
      <c r="R38" s="866"/>
    </row>
    <row r="39" spans="2:18">
      <c r="B39" s="654">
        <f>IF(F39="","",(SUMIF(INTGRATE!$Y:$Y,data!D39,INTGRATE!$L:$L)+SUMIF(BRAN!$V:$V,data!D39,BRAN!$J:$J)))</f>
        <v>1000</v>
      </c>
      <c r="C39" s="655">
        <f t="shared" si="2"/>
        <v>0</v>
      </c>
      <c r="D39" s="656" t="str">
        <f>IFERROR(VLOOKUP(E39,Map!$B:$F,4,0),"")&amp;IFERROR(VLOOKUP(E39,Map!$B:$F,5,0),"")</f>
        <v>HT12S25</v>
      </c>
      <c r="E39" s="657" t="str">
        <f>IF(MID(F39,10,2)="99",F39&amp;H39,LEFT(F39,14))</f>
        <v>21135521900125</v>
      </c>
      <c r="F39" s="497">
        <v>21135521900125</v>
      </c>
      <c r="G39" t="s">
        <v>2699</v>
      </c>
      <c r="H39" t="s">
        <v>9</v>
      </c>
      <c r="I39">
        <v>25</v>
      </c>
      <c r="J39" s="511">
        <v>40</v>
      </c>
      <c r="K39" s="511">
        <v>1000</v>
      </c>
      <c r="L39" s="14">
        <v>12280000</v>
      </c>
      <c r="M39" s="867"/>
      <c r="N39" s="866"/>
      <c r="O39" s="867"/>
      <c r="P39" s="866"/>
      <c r="Q39" s="867"/>
      <c r="R39" s="866"/>
    </row>
    <row r="40" spans="2:18">
      <c r="B40" s="654">
        <f>IF(F40="","",(SUMIF(INTGRATE!$Y:$Y,data!D40,INTGRATE!$L:$L)+SUMIF(BRAN!$V:$V,data!D40,BRAN!$J:$J)))</f>
        <v>49800</v>
      </c>
      <c r="C40" s="655">
        <f t="shared" si="2"/>
        <v>0</v>
      </c>
      <c r="D40" s="656" t="str">
        <f>IFERROR(VLOOKUP(E40,Map!$B:$F,4,0),"")&amp;IFERROR(VLOOKUP(E40,Map!$B:$F,5,0),"")</f>
        <v>GD1425</v>
      </c>
      <c r="E40" s="657" t="str">
        <f t="shared" si="3"/>
        <v>21135240000125</v>
      </c>
      <c r="F40" s="497">
        <v>21135240000125</v>
      </c>
      <c r="G40" t="s">
        <v>1625</v>
      </c>
      <c r="H40" t="s">
        <v>9</v>
      </c>
      <c r="I40">
        <v>25</v>
      </c>
      <c r="J40" s="511">
        <v>1992</v>
      </c>
      <c r="K40" s="511">
        <v>49800</v>
      </c>
      <c r="L40" s="14">
        <v>492522000</v>
      </c>
      <c r="M40" s="867"/>
      <c r="N40" s="866"/>
      <c r="O40" s="867"/>
      <c r="P40" s="866"/>
      <c r="Q40" s="867"/>
      <c r="R40" s="866"/>
    </row>
    <row r="41" spans="2:18">
      <c r="B41" s="654">
        <f>IF(F41="","",(SUMIF(INTGRATE!$Y:$Y,data!D41,INTGRATE!$L:$L)+SUMIF(BRAN!$V:$V,data!D41,BRAN!$J:$J)))</f>
        <v>27080</v>
      </c>
      <c r="C41" s="655">
        <f t="shared" si="2"/>
        <v>0</v>
      </c>
      <c r="D41" s="656" t="str">
        <f>IFERROR(VLOOKUP(E41,Map!$B:$F,4,0),"")&amp;IFERROR(VLOOKUP(E41,Map!$B:$F,5,0),"")</f>
        <v>GT12SILO</v>
      </c>
      <c r="E41" s="657" t="str">
        <f t="shared" si="3"/>
        <v>21135110000100</v>
      </c>
      <c r="F41" s="497">
        <v>21135110000100</v>
      </c>
      <c r="G41" t="s">
        <v>1839</v>
      </c>
      <c r="H41" t="s">
        <v>9</v>
      </c>
      <c r="I41">
        <v>0</v>
      </c>
      <c r="J41" s="511">
        <v>0</v>
      </c>
      <c r="K41" s="511">
        <v>27080</v>
      </c>
      <c r="L41" s="14">
        <v>321168800</v>
      </c>
      <c r="M41" s="867"/>
      <c r="N41" s="866"/>
      <c r="O41" s="867"/>
      <c r="P41" s="866"/>
      <c r="Q41" s="867"/>
      <c r="R41" s="866"/>
    </row>
    <row r="42" spans="2:18">
      <c r="B42" s="654">
        <f>IF(F42="","",(SUMIF(INTGRATE!$Y:$Y,data!D42,INTGRATE!$L:$L)+SUMIF(BRAN!$V:$V,data!D42,BRAN!$J:$J)))</f>
        <v>125</v>
      </c>
      <c r="C42" s="655">
        <f t="shared" si="2"/>
        <v>0</v>
      </c>
      <c r="D42" s="656" t="str">
        <f>IFERROR(VLOOKUP(E42,Map!$B:$F,4,0),"")&amp;IFERROR(VLOOKUP(E42,Map!$B:$F,5,0),"")</f>
        <v>991-1825</v>
      </c>
      <c r="E42" s="657" t="str">
        <f t="shared" si="3"/>
        <v>21125911800125</v>
      </c>
      <c r="F42" s="497">
        <v>21125911800125</v>
      </c>
      <c r="G42" t="s">
        <v>822</v>
      </c>
      <c r="H42" t="s">
        <v>9</v>
      </c>
      <c r="I42">
        <v>25</v>
      </c>
      <c r="J42" s="511">
        <v>5</v>
      </c>
      <c r="K42" s="511">
        <v>125</v>
      </c>
      <c r="L42" s="14">
        <v>1290000</v>
      </c>
      <c r="M42" s="867"/>
      <c r="N42" s="866"/>
      <c r="O42" s="867"/>
      <c r="P42" s="866"/>
      <c r="Q42" s="867"/>
      <c r="R42" s="866"/>
    </row>
    <row r="43" spans="2:18">
      <c r="B43" s="654">
        <f>IF(F43="","",(SUMIF(INTGRATE!$Y:$Y,data!D43,INTGRATE!$L:$L)+SUMIF(BRAN!$V:$V,data!D43,BRAN!$J:$J)))</f>
        <v>14125</v>
      </c>
      <c r="C43" s="655">
        <f t="shared" si="2"/>
        <v>0</v>
      </c>
      <c r="D43" s="656" t="str">
        <f>IFERROR(VLOOKUP(E43,Map!$B:$F,4,0),"")&amp;IFERROR(VLOOKUP(E43,Map!$B:$F,5,0),"")</f>
        <v>552SX25</v>
      </c>
      <c r="E43" s="657" t="str">
        <f t="shared" si="3"/>
        <v>21115527800125</v>
      </c>
      <c r="F43" s="497">
        <v>21115527800125</v>
      </c>
      <c r="G43" t="s">
        <v>1188</v>
      </c>
      <c r="H43" t="s">
        <v>9</v>
      </c>
      <c r="I43">
        <v>25</v>
      </c>
      <c r="J43" s="511">
        <v>565</v>
      </c>
      <c r="K43" s="511">
        <v>14125</v>
      </c>
      <c r="L43" s="14">
        <v>154363750</v>
      </c>
      <c r="M43" s="868"/>
      <c r="N43" s="866"/>
      <c r="O43" s="438"/>
      <c r="P43" s="438"/>
      <c r="Q43" s="438"/>
      <c r="R43" s="438"/>
    </row>
    <row r="44" spans="2:18">
      <c r="B44" s="654">
        <f>IF(F44="","",(SUMIF(INTGRATE!$Y:$Y,data!D44,INTGRATE!$L:$L)+SUMIF(BRAN!$V:$V,data!D44,BRAN!$J:$J)))</f>
        <v>8675</v>
      </c>
      <c r="C44" s="655">
        <f t="shared" si="2"/>
        <v>0</v>
      </c>
      <c r="D44" s="656" t="str">
        <f>IFERROR(VLOOKUP(E44,Map!$B:$F,4,0),"")&amp;IFERROR(VLOOKUP(E44,Map!$B:$F,5,0),"")</f>
        <v>551Pro25</v>
      </c>
      <c r="E44" s="657" t="str">
        <f t="shared" si="3"/>
        <v>21115511600125</v>
      </c>
      <c r="F44" s="497">
        <v>21115511600125</v>
      </c>
      <c r="G44" t="s">
        <v>1469</v>
      </c>
      <c r="H44" t="s">
        <v>9</v>
      </c>
      <c r="I44">
        <v>25</v>
      </c>
      <c r="J44" s="511">
        <v>347</v>
      </c>
      <c r="K44" s="511">
        <v>8675</v>
      </c>
      <c r="L44" s="14">
        <v>151986000</v>
      </c>
      <c r="M44" s="646"/>
      <c r="N44" s="645"/>
      <c r="O44" s="644"/>
      <c r="P44" s="645"/>
      <c r="Q44" s="644"/>
      <c r="R44" s="645"/>
    </row>
    <row r="45" spans="2:18">
      <c r="B45" s="654">
        <f>IF(F45="","",(SUMIF(INTGRATE!$Y:$Y,data!D45,INTGRATE!$L:$L)+SUMIF(BRAN!$V:$V,data!D45,BRAN!$J:$J)))</f>
        <v>7625</v>
      </c>
      <c r="C45" s="655">
        <f t="shared" si="2"/>
        <v>0</v>
      </c>
      <c r="D45" s="656" t="str">
        <f>IFERROR(VLOOKUP(E45,Map!$B:$F,4,0),"")&amp;IFERROR(VLOOKUP(E45,Map!$B:$F,5,0),"")</f>
        <v>952S25</v>
      </c>
      <c r="E45" s="657" t="str">
        <f t="shared" si="3"/>
        <v>21125521900125</v>
      </c>
      <c r="F45" s="497">
        <v>21125521900125</v>
      </c>
      <c r="G45" t="s">
        <v>2700</v>
      </c>
      <c r="H45" t="s">
        <v>9</v>
      </c>
      <c r="I45">
        <v>25</v>
      </c>
      <c r="J45" s="511">
        <v>305</v>
      </c>
      <c r="K45" s="511">
        <v>7625</v>
      </c>
      <c r="L45" s="14">
        <v>95312500</v>
      </c>
      <c r="M45" s="646"/>
      <c r="N45" s="645"/>
      <c r="O45" s="644"/>
      <c r="P45" s="645"/>
      <c r="Q45" s="644"/>
      <c r="R45" s="645"/>
    </row>
    <row r="46" spans="2:18">
      <c r="B46" s="654">
        <f>IF(F46="","",(SUMIF(INTGRATE!$Y:$Y,data!D46,INTGRATE!$L:$L)+SUMIF(BRAN!$V:$V,data!D46,BRAN!$J:$J)))</f>
        <v>49100</v>
      </c>
      <c r="C46" s="655">
        <f t="shared" si="2"/>
        <v>0</v>
      </c>
      <c r="D46" s="656" t="str">
        <f>IFERROR(VLOOKUP(E46,Map!$B:$F,4,0),"")&amp;IFERROR(VLOOKUP(E46,Map!$B:$F,5,0),"")</f>
        <v>551FS3150</v>
      </c>
      <c r="E46" s="657" t="str">
        <f t="shared" si="3"/>
        <v>21115510099250S31</v>
      </c>
      <c r="F46" s="497">
        <v>21115510099250</v>
      </c>
      <c r="G46" t="s">
        <v>1269</v>
      </c>
      <c r="H46" t="s">
        <v>2685</v>
      </c>
      <c r="I46">
        <v>50</v>
      </c>
      <c r="J46" s="14">
        <v>982</v>
      </c>
      <c r="K46" s="511">
        <v>49100</v>
      </c>
      <c r="L46" s="511">
        <v>620624000</v>
      </c>
      <c r="M46" s="646"/>
      <c r="N46" s="645"/>
      <c r="O46" s="644"/>
      <c r="P46" s="645"/>
      <c r="Q46" s="644"/>
      <c r="R46" s="645"/>
    </row>
    <row r="47" spans="2:18">
      <c r="B47" s="654">
        <f>IF(F47="","",(SUMIF(INTGRATE!$Y:$Y,data!D47,INTGRATE!$L:$L)+SUMIF(BRAN!$V:$V,data!D47,BRAN!$J:$J)))</f>
        <v>288550</v>
      </c>
      <c r="C47" s="655">
        <f t="shared" si="2"/>
        <v>0</v>
      </c>
      <c r="D47" s="656" t="str">
        <f>IFERROR(VLOOKUP(E47,Map!$B:$F,4,0),"")&amp;IFERROR(VLOOKUP(E47,Map!$B:$F,5,0),"")</f>
        <v>552SFS9050</v>
      </c>
      <c r="E47" s="657" t="str">
        <f t="shared" si="3"/>
        <v>21115521999250S90</v>
      </c>
      <c r="F47" s="497">
        <v>21115521999250</v>
      </c>
      <c r="G47" t="s">
        <v>942</v>
      </c>
      <c r="H47" t="s">
        <v>1620</v>
      </c>
      <c r="I47">
        <v>50</v>
      </c>
      <c r="J47" s="14">
        <v>5771</v>
      </c>
      <c r="K47" s="511">
        <v>288550</v>
      </c>
      <c r="L47" s="14">
        <v>2767194500</v>
      </c>
      <c r="M47" s="646"/>
      <c r="N47" s="645"/>
      <c r="O47" s="644"/>
      <c r="P47" s="645"/>
      <c r="Q47" s="644"/>
      <c r="R47" s="645"/>
    </row>
    <row r="48" spans="2:18">
      <c r="B48" s="654">
        <f>IF(F48="","",(SUMIF(INTGRATE!$Y:$Y,data!D48,INTGRATE!$L:$L)+SUMIF(BRAN!$V:$V,data!D48,BRAN!$J:$J)))</f>
        <v>6500</v>
      </c>
      <c r="C48" s="655">
        <f t="shared" si="2"/>
        <v>0</v>
      </c>
      <c r="D48" s="656" t="str">
        <f>IFERROR(VLOOKUP(E48,Map!$B:$F,4,0),"")&amp;IFERROR(VLOOKUP(E48,Map!$B:$F,5,0),"")</f>
        <v>54925</v>
      </c>
      <c r="E48" s="657" t="str">
        <f t="shared" si="3"/>
        <v>21115490000125</v>
      </c>
      <c r="F48" s="497">
        <v>21115490000125</v>
      </c>
      <c r="G48" t="s">
        <v>2701</v>
      </c>
      <c r="H48" t="s">
        <v>9</v>
      </c>
      <c r="I48">
        <v>25</v>
      </c>
      <c r="J48" s="511">
        <v>260</v>
      </c>
      <c r="K48" s="511">
        <v>6500</v>
      </c>
      <c r="L48" s="14">
        <v>72540000</v>
      </c>
      <c r="M48" s="646"/>
      <c r="N48" s="645"/>
      <c r="O48" s="644"/>
      <c r="P48" s="645"/>
      <c r="Q48" s="644"/>
      <c r="R48" s="645"/>
    </row>
    <row r="49" spans="2:18">
      <c r="B49" s="654">
        <f>IF(F49="","",(SUMIF(INTGRATE!$Y:$Y,data!D49,INTGRATE!$L:$L)+SUMIF(BRAN!$V:$V,data!D49,BRAN!$J:$J)))</f>
        <v>125</v>
      </c>
      <c r="C49" s="655">
        <f t="shared" si="2"/>
        <v>0</v>
      </c>
      <c r="D49" s="656" t="str">
        <f>IFERROR(VLOOKUP(E49,Map!$B:$F,4,0),"")&amp;IFERROR(VLOOKUP(E49,Map!$B:$F,5,0),"")</f>
        <v>694925</v>
      </c>
      <c r="E49" s="657" t="str">
        <f t="shared" si="3"/>
        <v>21165490000125</v>
      </c>
      <c r="F49" s="497">
        <v>21165490000125</v>
      </c>
      <c r="G49" t="s">
        <v>1516</v>
      </c>
      <c r="H49" t="s">
        <v>9</v>
      </c>
      <c r="I49">
        <v>25</v>
      </c>
      <c r="J49" s="511">
        <v>5</v>
      </c>
      <c r="K49" s="511">
        <v>125</v>
      </c>
      <c r="L49" s="14">
        <v>1287500</v>
      </c>
      <c r="M49" s="646"/>
      <c r="N49" s="645"/>
      <c r="O49" s="644"/>
      <c r="P49" s="645"/>
      <c r="Q49" s="644"/>
      <c r="R49" s="645"/>
    </row>
    <row r="50" spans="2:18">
      <c r="B50" s="654">
        <f>IF(F50="","",(SUMIF(INTGRATE!$Y:$Y,data!D50,INTGRATE!$L:$L)+SUMIF(BRAN!$V:$V,data!D50,BRAN!$J:$J)))</f>
        <v>11000</v>
      </c>
      <c r="C50" s="655">
        <f t="shared" si="2"/>
        <v>0</v>
      </c>
      <c r="D50" s="656" t="str">
        <f>IFERROR(VLOOKUP(E50,Map!$B:$F,4,0),"")&amp;IFERROR(VLOOKUP(E50,Map!$B:$F,5,0),"")</f>
        <v>38425</v>
      </c>
      <c r="E50" s="657" t="str">
        <f t="shared" si="3"/>
        <v>21113840000125</v>
      </c>
      <c r="F50" s="497">
        <v>21113840000125</v>
      </c>
      <c r="G50" t="s">
        <v>2702</v>
      </c>
      <c r="H50" t="s">
        <v>9</v>
      </c>
      <c r="I50">
        <v>25</v>
      </c>
      <c r="J50" s="511">
        <v>440</v>
      </c>
      <c r="K50" s="511">
        <v>11000</v>
      </c>
      <c r="L50" s="14">
        <v>101420000</v>
      </c>
      <c r="M50" s="646"/>
      <c r="N50" s="645"/>
      <c r="O50" s="644"/>
      <c r="P50" s="645"/>
      <c r="Q50" s="644"/>
      <c r="R50" s="645"/>
    </row>
    <row r="51" spans="2:18">
      <c r="B51" s="654">
        <f>IF(F51="","",(SUMIF(INTGRATE!$Y:$Y,data!D51,INTGRATE!$L:$L)+SUMIF(BRAN!$V:$V,data!D51,BRAN!$J:$J)))</f>
        <v>19600</v>
      </c>
      <c r="C51" s="655">
        <f t="shared" si="2"/>
        <v>0</v>
      </c>
      <c r="D51" s="656" t="str">
        <f>IFERROR(VLOOKUP(E51,Map!$B:$F,4,0),"")&amp;IFERROR(VLOOKUP(E51,Map!$B:$F,5,0),"")</f>
        <v>513F50</v>
      </c>
      <c r="E51" s="657" t="str">
        <f t="shared" si="3"/>
        <v>21115130000250</v>
      </c>
      <c r="F51" s="497">
        <v>21115130000250</v>
      </c>
      <c r="G51" t="s">
        <v>2703</v>
      </c>
      <c r="H51" t="s">
        <v>9</v>
      </c>
      <c r="I51">
        <v>50</v>
      </c>
      <c r="J51" s="511">
        <v>392</v>
      </c>
      <c r="K51" s="511">
        <v>19600</v>
      </c>
      <c r="L51" s="14">
        <v>210700000</v>
      </c>
      <c r="M51" s="646"/>
      <c r="N51" s="645"/>
      <c r="O51" s="644"/>
      <c r="P51" s="645"/>
      <c r="Q51" s="644"/>
      <c r="R51" s="645"/>
    </row>
    <row r="52" spans="2:18">
      <c r="B52" s="654">
        <f>IF(F52="","",(SUMIF(INTGRATE!$Y:$Y,data!D52,INTGRATE!$L:$L)+SUMIF(BRAN!$V:$V,data!D52,BRAN!$J:$J)))</f>
        <v>17000</v>
      </c>
      <c r="C52" s="655">
        <f t="shared" si="2"/>
        <v>0</v>
      </c>
      <c r="D52" s="656" t="str">
        <f>IFERROR(VLOOKUP(E52,Map!$B:$F,4,0),"")&amp;IFERROR(VLOOKUP(E52,Map!$B:$F,5,0),"")</f>
        <v>552WDF50</v>
      </c>
      <c r="E52" s="657" t="str">
        <f t="shared" si="3"/>
        <v>21115528400250</v>
      </c>
      <c r="F52" s="497">
        <v>21115528400250</v>
      </c>
      <c r="G52" t="s">
        <v>2671</v>
      </c>
      <c r="H52" t="s">
        <v>9</v>
      </c>
      <c r="I52">
        <v>50</v>
      </c>
      <c r="J52" s="511">
        <v>340</v>
      </c>
      <c r="K52" s="511">
        <v>17000</v>
      </c>
      <c r="L52" s="14">
        <v>147900000</v>
      </c>
      <c r="M52" s="646"/>
      <c r="N52" s="645"/>
      <c r="O52" s="644"/>
      <c r="P52" s="645"/>
      <c r="Q52" s="644"/>
      <c r="R52" s="645"/>
    </row>
    <row r="53" spans="2:18">
      <c r="B53" s="654">
        <f>IF(F53="","",(SUMIF(INTGRATE!$Y:$Y,data!D53,INTGRATE!$L:$L)+SUMIF(BRAN!$V:$V,data!D53,BRAN!$J:$J)))</f>
        <v>9980</v>
      </c>
      <c r="C53" s="655">
        <f t="shared" si="2"/>
        <v>0</v>
      </c>
      <c r="D53" s="656" t="str">
        <f>IFERROR(VLOOKUP(E53,Map!$B:$F,4,0),"")&amp;IFERROR(VLOOKUP(E53,Map!$B:$F,5,0),"")</f>
        <v>551Silo</v>
      </c>
      <c r="E53" s="657" t="str">
        <f t="shared" si="3"/>
        <v>21115510000100</v>
      </c>
      <c r="F53" s="497">
        <v>21115510000100</v>
      </c>
      <c r="G53" t="s">
        <v>1109</v>
      </c>
      <c r="H53" t="s">
        <v>9</v>
      </c>
      <c r="I53">
        <v>0</v>
      </c>
      <c r="J53" s="511">
        <v>0</v>
      </c>
      <c r="K53" s="511">
        <v>9980</v>
      </c>
      <c r="L53" s="14">
        <v>165867600</v>
      </c>
      <c r="M53" s="646"/>
      <c r="N53" s="645"/>
      <c r="O53" s="644"/>
      <c r="P53" s="645"/>
      <c r="Q53" s="644"/>
      <c r="R53" s="645"/>
    </row>
    <row r="54" spans="2:18">
      <c r="B54" s="654">
        <f>IF(F54="","",(SUMIF(INTGRATE!$Y:$Y,data!D54,INTGRATE!$L:$L)+SUMIF(BRAN!$V:$V,data!D54,BRAN!$J:$J)))</f>
        <v>2000</v>
      </c>
      <c r="C54" s="655">
        <f t="shared" si="2"/>
        <v>0</v>
      </c>
      <c r="D54" s="656" t="str">
        <f>IFERROR(VLOOKUP(E54,Map!$B:$F,4,0),"")&amp;IFERROR(VLOOKUP(E54,Map!$B:$F,5,0),"")</f>
        <v>885S25</v>
      </c>
      <c r="E54" s="657" t="str">
        <f t="shared" si="3"/>
        <v>21123851900125</v>
      </c>
      <c r="F54" s="497">
        <v>21123851900125</v>
      </c>
      <c r="G54" t="s">
        <v>2704</v>
      </c>
      <c r="H54" t="s">
        <v>9</v>
      </c>
      <c r="I54">
        <v>25</v>
      </c>
      <c r="J54" s="14">
        <v>80</v>
      </c>
      <c r="K54" s="511">
        <v>2000</v>
      </c>
      <c r="L54" s="14">
        <v>17480000</v>
      </c>
      <c r="M54" s="646"/>
      <c r="N54" s="645"/>
      <c r="O54" s="644"/>
      <c r="P54" s="645"/>
      <c r="Q54" s="644"/>
      <c r="R54" s="645"/>
    </row>
    <row r="55" spans="2:18">
      <c r="B55" s="654">
        <f>IF(F55="","",(SUMIF(INTGRATE!$Y:$Y,data!D55,INTGRATE!$L:$L)+SUMIF(BRAN!$V:$V,data!D55,BRAN!$J:$J)))</f>
        <v>5325</v>
      </c>
      <c r="C55" s="655">
        <f t="shared" si="2"/>
        <v>0</v>
      </c>
      <c r="D55" s="656" t="str">
        <f>IFERROR(VLOOKUP(E55,Map!$B:$F,4,0),"")&amp;IFERROR(VLOOKUP(E55,Map!$B:$F,5,0),"")</f>
        <v>552Pro25</v>
      </c>
      <c r="E55" s="657" t="str">
        <f t="shared" si="3"/>
        <v>21115521600125</v>
      </c>
      <c r="F55" s="497">
        <v>21115521600125</v>
      </c>
      <c r="G55" t="s">
        <v>1464</v>
      </c>
      <c r="H55" t="s">
        <v>9</v>
      </c>
      <c r="I55">
        <v>25</v>
      </c>
      <c r="J55" s="14">
        <v>213</v>
      </c>
      <c r="K55" s="511">
        <v>5325</v>
      </c>
      <c r="L55" s="14">
        <v>60492000</v>
      </c>
      <c r="M55" s="646"/>
      <c r="N55" s="645"/>
      <c r="O55" s="644"/>
      <c r="P55" s="645"/>
      <c r="Q55" s="644"/>
      <c r="R55" s="645"/>
    </row>
    <row r="56" spans="2:18">
      <c r="B56" s="654">
        <f>IF(F56="","",(SUMIF(INTGRATE!$Y:$Y,data!D56,INTGRATE!$L:$L)+SUMIF(BRAN!$V:$V,data!D56,BRAN!$J:$J)))</f>
        <v>25000</v>
      </c>
      <c r="C56" s="655">
        <f t="shared" si="2"/>
        <v>0</v>
      </c>
      <c r="D56" s="656" t="str">
        <f>IFERROR(VLOOKUP(E56,Map!$B:$F,4,0),"")&amp;IFERROR(VLOOKUP(E56,Map!$B:$F,5,0),"")</f>
        <v>511S25</v>
      </c>
      <c r="E56" s="657" t="str">
        <f t="shared" si="3"/>
        <v>21115111900125</v>
      </c>
      <c r="F56" s="497">
        <v>21115111900125</v>
      </c>
      <c r="G56" t="s">
        <v>1927</v>
      </c>
      <c r="H56" t="s">
        <v>9</v>
      </c>
      <c r="I56">
        <v>25</v>
      </c>
      <c r="J56" s="14">
        <v>1000</v>
      </c>
      <c r="K56" s="511">
        <v>25000</v>
      </c>
      <c r="L56" s="14">
        <v>308750000</v>
      </c>
      <c r="M56" s="646"/>
      <c r="N56" s="645"/>
      <c r="O56" s="644"/>
      <c r="P56" s="645"/>
      <c r="Q56" s="644"/>
      <c r="R56" s="645"/>
    </row>
    <row r="57" spans="2:18">
      <c r="B57" s="654">
        <f>IF(F57="","",(SUMIF(INTGRATE!$Y:$Y,data!D57,INTGRATE!$L:$L)+SUMIF(BRAN!$V:$V,data!D57,BRAN!$J:$J)))</f>
        <v>33125</v>
      </c>
      <c r="C57" s="655">
        <f t="shared" si="2"/>
        <v>0</v>
      </c>
      <c r="D57" s="656" t="str">
        <f>IFERROR(VLOOKUP(E57,Map!$B:$F,4,0),"")&amp;IFERROR(VLOOKUP(E57,Map!$B:$F,5,0),"")</f>
        <v>51025</v>
      </c>
      <c r="E57" s="657" t="str">
        <f t="shared" si="3"/>
        <v>21115100000125</v>
      </c>
      <c r="F57" s="497">
        <v>21115100000125</v>
      </c>
      <c r="G57" t="s">
        <v>2705</v>
      </c>
      <c r="H57" t="s">
        <v>9</v>
      </c>
      <c r="I57">
        <v>25</v>
      </c>
      <c r="J57" s="14">
        <v>1325</v>
      </c>
      <c r="K57" s="511">
        <v>33125</v>
      </c>
      <c r="L57" s="14">
        <v>413068750</v>
      </c>
      <c r="M57" s="646"/>
      <c r="N57" s="645"/>
      <c r="O57" s="644"/>
      <c r="P57" s="645"/>
      <c r="Q57" s="644"/>
      <c r="R57" s="645"/>
    </row>
    <row r="58" spans="2:18">
      <c r="B58" s="654">
        <f>IF(F58="","",(SUMIF(INTGRATE!$Y:$Y,data!D58,INTGRATE!$L:$L)+SUMIF(BRAN!$V:$V,data!D58,BRAN!$J:$J)))</f>
        <v>2550</v>
      </c>
      <c r="C58" s="655">
        <f t="shared" si="2"/>
        <v>0</v>
      </c>
      <c r="D58" s="656" t="str">
        <f>IFERROR(VLOOKUP(E58,Map!$B:$F,4,0),"")&amp;IFERROR(VLOOKUP(E58,Map!$B:$F,5,0),"")</f>
        <v>54425</v>
      </c>
      <c r="E58" s="657" t="str">
        <f t="shared" si="3"/>
        <v>21115440000125</v>
      </c>
      <c r="F58" s="497">
        <v>21115440000125</v>
      </c>
      <c r="G58" t="s">
        <v>816</v>
      </c>
      <c r="H58" t="s">
        <v>9</v>
      </c>
      <c r="I58">
        <v>25</v>
      </c>
      <c r="J58" s="14">
        <v>102</v>
      </c>
      <c r="K58" s="511">
        <v>2550</v>
      </c>
      <c r="L58" s="14">
        <v>25372500</v>
      </c>
      <c r="M58" s="646"/>
      <c r="N58" s="645"/>
      <c r="O58" s="644"/>
      <c r="P58" s="645"/>
      <c r="Q58" s="644"/>
      <c r="R58" s="645"/>
    </row>
    <row r="59" spans="2:18">
      <c r="B59" s="654">
        <f>IF(F59="","",(SUMIF(INTGRATE!$Y:$Y,data!D59,INTGRATE!$L:$L)+SUMIF(BRAN!$V:$V,data!D59,BRAN!$J:$J)))</f>
        <v>6750</v>
      </c>
      <c r="C59" s="655">
        <f t="shared" si="2"/>
        <v>0</v>
      </c>
      <c r="D59" s="656" t="str">
        <f>IFERROR(VLOOKUP(E59,Map!$B:$F,4,0),"")&amp;IFERROR(VLOOKUP(E59,Map!$B:$F,5,0),"")</f>
        <v>95225</v>
      </c>
      <c r="E59" s="657" t="str">
        <f t="shared" si="3"/>
        <v>21125520000125</v>
      </c>
      <c r="F59" s="497">
        <v>21125520000125</v>
      </c>
      <c r="G59" t="s">
        <v>2706</v>
      </c>
      <c r="H59" t="s">
        <v>9</v>
      </c>
      <c r="I59">
        <v>25</v>
      </c>
      <c r="J59" s="14">
        <v>270</v>
      </c>
      <c r="K59" s="511">
        <v>6750</v>
      </c>
      <c r="L59" s="14">
        <v>76005000</v>
      </c>
      <c r="M59" s="646"/>
      <c r="N59" s="645"/>
      <c r="O59" s="644"/>
      <c r="P59" s="645"/>
      <c r="Q59" s="644"/>
      <c r="R59" s="645"/>
    </row>
    <row r="60" spans="2:18">
      <c r="B60" s="654">
        <f>IF(F60="","",(SUMIF(INTGRATE!$Y:$Y,data!D60,INTGRATE!$L:$L)+SUMIF(BRAN!$V:$V,data!D60,BRAN!$J:$J)))</f>
        <v>8850</v>
      </c>
      <c r="C60" s="655">
        <f t="shared" si="2"/>
        <v>0</v>
      </c>
      <c r="D60" s="656" t="str">
        <f>IFERROR(VLOOKUP(E60,Map!$B:$F,4,0),"")&amp;IFERROR(VLOOKUP(E60,Map!$B:$F,5,0),"")</f>
        <v>566F50</v>
      </c>
      <c r="E60" s="657" t="str">
        <f t="shared" si="3"/>
        <v>21115660000250</v>
      </c>
      <c r="F60" s="497">
        <v>21115660000250</v>
      </c>
      <c r="G60" t="s">
        <v>2707</v>
      </c>
      <c r="H60" t="s">
        <v>9</v>
      </c>
      <c r="I60">
        <v>50</v>
      </c>
      <c r="J60" s="14">
        <v>177</v>
      </c>
      <c r="K60" s="511">
        <v>8850</v>
      </c>
      <c r="L60" s="14">
        <v>76995000</v>
      </c>
      <c r="M60" s="646"/>
      <c r="N60" s="645"/>
      <c r="O60" s="644"/>
      <c r="P60" s="645"/>
      <c r="Q60" s="644"/>
      <c r="R60" s="645"/>
    </row>
    <row r="61" spans="2:18">
      <c r="B61" s="654">
        <f>IF(F61="","",(SUMIF(INTGRATE!$Y:$Y,data!D61,INTGRATE!$L:$L)+SUMIF(BRAN!$V:$V,data!D61,BRAN!$J:$J)))</f>
        <v>13450</v>
      </c>
      <c r="C61" s="655">
        <f t="shared" si="2"/>
        <v>0</v>
      </c>
      <c r="D61" s="656" t="str">
        <f>IFERROR(VLOOKUP(E61,Map!$B:$F,4,0),"")&amp;IFERROR(VLOOKUP(E61,Map!$B:$F,5,0),"")</f>
        <v>59525</v>
      </c>
      <c r="E61" s="657" t="str">
        <f t="shared" si="3"/>
        <v>21115950000125</v>
      </c>
      <c r="F61" s="497">
        <v>21115950000125</v>
      </c>
      <c r="G61" t="s">
        <v>2708</v>
      </c>
      <c r="H61" t="s">
        <v>9</v>
      </c>
      <c r="I61">
        <v>25</v>
      </c>
      <c r="J61" s="14">
        <v>538</v>
      </c>
      <c r="K61" s="511">
        <v>13450</v>
      </c>
      <c r="L61" s="14">
        <v>113787000</v>
      </c>
      <c r="M61" s="646"/>
      <c r="N61" s="645"/>
      <c r="O61" s="644"/>
      <c r="P61" s="645"/>
      <c r="Q61" s="644"/>
      <c r="R61" s="645"/>
    </row>
    <row r="62" spans="2:18">
      <c r="B62" s="654">
        <f>IF(F62="","",(SUMIF(INTGRATE!$Y:$Y,data!D62,INTGRATE!$L:$L)+SUMIF(BRAN!$V:$V,data!D62,BRAN!$J:$J)))</f>
        <v>105850</v>
      </c>
      <c r="C62" s="655">
        <f t="shared" si="2"/>
        <v>0</v>
      </c>
      <c r="D62" s="656" t="str">
        <f>IFERROR(VLOOKUP(E62,Map!$B:$F,4,0),"")&amp;IFERROR(VLOOKUP(E62,Map!$B:$F,5,0),"")</f>
        <v>553MF50</v>
      </c>
      <c r="E62" s="657" t="str">
        <f t="shared" si="3"/>
        <v>21115531300250</v>
      </c>
      <c r="F62" s="497">
        <v>21115531300250</v>
      </c>
      <c r="G62" t="s">
        <v>2709</v>
      </c>
      <c r="H62" t="s">
        <v>9</v>
      </c>
      <c r="I62">
        <v>50</v>
      </c>
      <c r="J62" s="14">
        <v>2117</v>
      </c>
      <c r="K62" s="511">
        <v>105850</v>
      </c>
      <c r="L62" s="14">
        <v>927246000</v>
      </c>
      <c r="M62" s="646"/>
    </row>
    <row r="63" spans="2:18">
      <c r="B63" s="654">
        <f>IF(F63="","",(SUMIF(INTGRATE!$Y:$Y,data!D63,INTGRATE!$L:$L)+SUMIF(BRAN!$V:$V,data!D63,BRAN!$J:$J)))</f>
        <v>6500</v>
      </c>
      <c r="C63" s="655">
        <f t="shared" si="2"/>
        <v>0</v>
      </c>
      <c r="D63" s="656" t="str">
        <f>IFERROR(VLOOKUP(E63,Map!$B:$F,4,0),"")&amp;IFERROR(VLOOKUP(E63,Map!$B:$F,5,0),"")</f>
        <v>59425</v>
      </c>
      <c r="E63" s="657" t="str">
        <f t="shared" si="3"/>
        <v>21115940000125</v>
      </c>
      <c r="F63" s="497">
        <v>21115940000125</v>
      </c>
      <c r="G63" t="s">
        <v>1136</v>
      </c>
      <c r="H63" t="s">
        <v>9</v>
      </c>
      <c r="I63">
        <v>25</v>
      </c>
      <c r="J63" s="14">
        <v>260</v>
      </c>
      <c r="K63" s="511">
        <v>6500</v>
      </c>
      <c r="L63" s="14">
        <v>58240000</v>
      </c>
      <c r="M63" s="646"/>
    </row>
    <row r="64" spans="2:18">
      <c r="B64" s="654">
        <f>IF(F64="","",(SUMIF(INTGRATE!$Y:$Y,data!D64,INTGRATE!$L:$L)+SUMIF(BRAN!$V:$V,data!D64,BRAN!$J:$J)))</f>
        <v>4825</v>
      </c>
      <c r="C64" s="655">
        <f t="shared" ref="C64:C79" si="4">IF(F64="","",B64-K64)</f>
        <v>0</v>
      </c>
      <c r="D64" s="656" t="str">
        <f>IFERROR(VLOOKUP(E64,Map!$B:$F,4,0),"")&amp;IFERROR(VLOOKUP(E64,Map!$B:$F,5,0),"")</f>
        <v>562P25</v>
      </c>
      <c r="E64" s="657" t="str">
        <f t="shared" ref="E64:E83" si="5">IF(MID(F64,10,2)="99",F64&amp;H64,LEFT(F64,14))</f>
        <v>21115621600125</v>
      </c>
      <c r="F64" s="497">
        <v>21115621600125</v>
      </c>
      <c r="G64" t="s">
        <v>2710</v>
      </c>
      <c r="H64" t="s">
        <v>9</v>
      </c>
      <c r="I64">
        <v>25</v>
      </c>
      <c r="J64" s="14">
        <v>193</v>
      </c>
      <c r="K64" s="511">
        <v>4825</v>
      </c>
      <c r="L64" s="14">
        <v>55535750</v>
      </c>
      <c r="M64" s="646"/>
    </row>
    <row r="65" spans="2:13">
      <c r="B65" s="654">
        <f>IF(F65="","",(SUMIF(INTGRATE!$Y:$Y,data!D65,INTGRATE!$L:$L)+SUMIF(BRAN!$V:$V,data!D65,BRAN!$J:$J)))</f>
        <v>1250</v>
      </c>
      <c r="C65" s="655">
        <f t="shared" si="4"/>
        <v>0</v>
      </c>
      <c r="D65" s="656" t="str">
        <f>IFERROR(VLOOKUP(E65,Map!$B:$F,4,0),"")&amp;IFERROR(VLOOKUP(E65,Map!$B:$F,5,0),"")</f>
        <v>50225</v>
      </c>
      <c r="E65" s="657" t="str">
        <f t="shared" si="5"/>
        <v>21115020000125</v>
      </c>
      <c r="F65" s="497">
        <v>21115020000125</v>
      </c>
      <c r="G65" t="s">
        <v>1633</v>
      </c>
      <c r="H65" t="s">
        <v>9</v>
      </c>
      <c r="I65">
        <v>25</v>
      </c>
      <c r="J65" s="14">
        <v>50</v>
      </c>
      <c r="K65" s="511">
        <v>1250</v>
      </c>
      <c r="L65" s="14">
        <v>13375000</v>
      </c>
      <c r="M65" s="646"/>
    </row>
    <row r="66" spans="2:13">
      <c r="B66" s="654">
        <f>IF(F66="","",(SUMIF(INTGRATE!$Y:$Y,data!D66,INTGRATE!$L:$L)+SUMIF(BRAN!$V:$V,data!D66,BRAN!$J:$J)))</f>
        <v>2250</v>
      </c>
      <c r="C66" s="655">
        <f t="shared" si="4"/>
        <v>0</v>
      </c>
      <c r="D66" s="656" t="str">
        <f>IFERROR(VLOOKUP(E66,Map!$B:$F,4,0),"")&amp;IFERROR(VLOOKUP(E66,Map!$B:$F,5,0),"")</f>
        <v>552MX25</v>
      </c>
      <c r="E66" s="657" t="str">
        <f t="shared" si="5"/>
        <v>21115527900125</v>
      </c>
      <c r="F66" s="497">
        <v>21115527900125</v>
      </c>
      <c r="G66" t="s">
        <v>1388</v>
      </c>
      <c r="H66" t="s">
        <v>9</v>
      </c>
      <c r="I66">
        <v>25</v>
      </c>
      <c r="J66" s="14">
        <v>90</v>
      </c>
      <c r="K66" s="511">
        <v>2250</v>
      </c>
      <c r="L66" s="14">
        <v>25605000</v>
      </c>
      <c r="M66" s="646"/>
    </row>
    <row r="67" spans="2:13">
      <c r="B67" s="654">
        <f>IF(F67="","",(SUMIF(INTGRATE!$Y:$Y,data!D67,INTGRATE!$L:$L)+SUMIF(BRAN!$V:$V,data!D67,BRAN!$J:$J)))</f>
        <v>3250</v>
      </c>
      <c r="C67" s="655">
        <f t="shared" si="4"/>
        <v>0</v>
      </c>
      <c r="D67" s="656" t="str">
        <f>IFERROR(VLOOKUP(E67,Map!$B:$F,4,0),"")&amp;IFERROR(VLOOKUP(E67,Map!$B:$F,5,0),"")</f>
        <v>VT1125</v>
      </c>
      <c r="E67" s="657" t="str">
        <f t="shared" si="5"/>
        <v>21135480000125</v>
      </c>
      <c r="F67" s="497">
        <v>21135480000125</v>
      </c>
      <c r="G67" t="s">
        <v>1914</v>
      </c>
      <c r="H67" t="s">
        <v>9</v>
      </c>
      <c r="I67">
        <v>25</v>
      </c>
      <c r="J67" s="14">
        <v>130</v>
      </c>
      <c r="K67" s="511">
        <v>3250</v>
      </c>
      <c r="L67" s="14">
        <v>37537500</v>
      </c>
      <c r="M67" s="646"/>
    </row>
    <row r="68" spans="2:13">
      <c r="B68" s="654">
        <f>IF(F68="","",(SUMIF(INTGRATE!$Y:$Y,data!D68,INTGRATE!$L:$L)+SUMIF(BRAN!$V:$V,data!D68,BRAN!$J:$J)))</f>
        <v>9925</v>
      </c>
      <c r="C68" s="655">
        <f t="shared" si="4"/>
        <v>0</v>
      </c>
      <c r="D68" s="656" t="str">
        <f>IFERROR(VLOOKUP(E68,Map!$B:$F,4,0),"")&amp;IFERROR(VLOOKUP(E68,Map!$B:$F,5,0),"")</f>
        <v>56725</v>
      </c>
      <c r="E68" s="657" t="str">
        <f t="shared" si="5"/>
        <v>21115670000125</v>
      </c>
      <c r="F68" s="497">
        <v>21115670000125</v>
      </c>
      <c r="G68" t="s">
        <v>2711</v>
      </c>
      <c r="H68" t="s">
        <v>9</v>
      </c>
      <c r="I68">
        <v>25</v>
      </c>
      <c r="J68" s="14">
        <v>397</v>
      </c>
      <c r="K68" s="511">
        <v>9925</v>
      </c>
      <c r="L68" s="14">
        <v>110733250</v>
      </c>
      <c r="M68" s="646"/>
    </row>
    <row r="69" spans="2:13">
      <c r="B69" s="654">
        <f>IF(F69="","",(SUMIF(INTGRATE!$Y:$Y,data!D69,INTGRATE!$L:$L)+SUMIF(BRAN!$V:$V,data!D69,BRAN!$J:$J)))</f>
        <v>21750</v>
      </c>
      <c r="C69" s="655">
        <f t="shared" si="4"/>
        <v>0</v>
      </c>
      <c r="D69" s="656" t="str">
        <f>IFERROR(VLOOKUP(E69,Map!$B:$F,4,0),"")&amp;IFERROR(VLOOKUP(E69,Map!$B:$F,5,0),"")</f>
        <v>689525</v>
      </c>
      <c r="E69" s="657" t="str">
        <f t="shared" si="5"/>
        <v>21163950000125</v>
      </c>
      <c r="F69" s="497">
        <v>21163950000125</v>
      </c>
      <c r="G69" t="s">
        <v>1559</v>
      </c>
      <c r="H69" t="s">
        <v>9</v>
      </c>
      <c r="I69">
        <v>25</v>
      </c>
      <c r="J69" s="14">
        <v>870</v>
      </c>
      <c r="K69" s="511">
        <v>21750</v>
      </c>
      <c r="L69" s="14">
        <v>170955000</v>
      </c>
      <c r="M69" s="646"/>
    </row>
    <row r="70" spans="2:13">
      <c r="B70" s="654">
        <f>IF(F70="","",(SUMIF(INTGRATE!$Y:$Y,data!D70,INTGRATE!$L:$L)+SUMIF(BRAN!$V:$V,data!D70,BRAN!$J:$J)))</f>
        <v>3625</v>
      </c>
      <c r="C70" s="655">
        <f t="shared" si="4"/>
        <v>0</v>
      </c>
      <c r="D70" s="656" t="str">
        <f>IFERROR(VLOOKUP(E70,Map!$B:$F,4,0),"")&amp;IFERROR(VLOOKUP(E70,Map!$B:$F,5,0),"")</f>
        <v>550S25</v>
      </c>
      <c r="E70" s="657" t="str">
        <f t="shared" si="5"/>
        <v>21115501900125</v>
      </c>
      <c r="F70" s="497">
        <v>21115501900125</v>
      </c>
      <c r="G70" t="s">
        <v>2712</v>
      </c>
      <c r="H70" t="s">
        <v>9</v>
      </c>
      <c r="I70">
        <v>25</v>
      </c>
      <c r="J70" s="14">
        <v>145</v>
      </c>
      <c r="K70" s="511">
        <v>3625</v>
      </c>
      <c r="L70" s="14">
        <v>79605000</v>
      </c>
      <c r="M70" s="646"/>
    </row>
    <row r="71" spans="2:13">
      <c r="B71" s="654">
        <f>IF(F71="","",(SUMIF(INTGRATE!$Y:$Y,data!D71,INTGRATE!$L:$L)+SUMIF(BRAN!$V:$V,data!D71,BRAN!$J:$J)))</f>
        <v>20210</v>
      </c>
      <c r="C71" s="655">
        <f t="shared" si="4"/>
        <v>0</v>
      </c>
      <c r="D71" s="656" t="str">
        <f>IFERROR(VLOOKUP(E71,Map!$B:$F,4,0),"")&amp;IFERROR(VLOOKUP(E71,Map!$B:$F,5,0),"")</f>
        <v>566FSilo</v>
      </c>
      <c r="E71" s="657" t="str">
        <f t="shared" si="5"/>
        <v>21115660000300</v>
      </c>
      <c r="F71" s="497">
        <v>21115660000300</v>
      </c>
      <c r="G71" t="s">
        <v>2713</v>
      </c>
      <c r="H71" t="s">
        <v>9</v>
      </c>
      <c r="I71">
        <v>0</v>
      </c>
      <c r="J71" s="14">
        <v>0</v>
      </c>
      <c r="K71" s="511">
        <v>20210</v>
      </c>
      <c r="L71" s="14">
        <v>173401800</v>
      </c>
      <c r="M71" s="646"/>
    </row>
    <row r="72" spans="2:13">
      <c r="B72" s="654">
        <f>IF(F72="","",(SUMIF(INTGRATE!$Y:$Y,data!D72,INTGRATE!$L:$L)+SUMIF(BRAN!$V:$V,data!D72,BRAN!$J:$J)))</f>
        <v>59150</v>
      </c>
      <c r="C72" s="655">
        <f t="shared" si="4"/>
        <v>0</v>
      </c>
      <c r="D72" s="656" t="str">
        <f>IFERROR(VLOOKUP(E72,Map!$B:$F,4,0),"")&amp;IFERROR(VLOOKUP(E72,Map!$B:$F,5,0),"")</f>
        <v>551FS5450</v>
      </c>
      <c r="E72" s="657" t="str">
        <f t="shared" si="5"/>
        <v>21115510099250S54</v>
      </c>
      <c r="F72" s="497">
        <v>21115510099250</v>
      </c>
      <c r="G72" t="s">
        <v>1269</v>
      </c>
      <c r="H72" t="s">
        <v>2686</v>
      </c>
      <c r="I72">
        <v>50</v>
      </c>
      <c r="J72" s="14">
        <v>1183</v>
      </c>
      <c r="K72" s="511">
        <v>59150</v>
      </c>
      <c r="L72" s="14">
        <v>746473000</v>
      </c>
      <c r="M72" s="646"/>
    </row>
    <row r="73" spans="2:13">
      <c r="B73" s="654">
        <f>IF(F73="","",(SUMIF(INTGRATE!$Y:$Y,data!D73,INTGRATE!$L:$L)+SUMIF(BRAN!$V:$V,data!D73,BRAN!$J:$J)))</f>
        <v>30100</v>
      </c>
      <c r="C73" s="655">
        <f t="shared" si="4"/>
        <v>0</v>
      </c>
      <c r="D73" s="656" t="str">
        <f>IFERROR(VLOOKUP(E73,Map!$B:$F,4,0),"")&amp;IFERROR(VLOOKUP(E73,Map!$B:$F,5,0),"")</f>
        <v>550SF50</v>
      </c>
      <c r="E73" s="657" t="str">
        <f t="shared" si="5"/>
        <v>21115501900250</v>
      </c>
      <c r="F73" s="497">
        <v>21115501900250</v>
      </c>
      <c r="G73" t="s">
        <v>1848</v>
      </c>
      <c r="H73" t="s">
        <v>9</v>
      </c>
      <c r="I73">
        <v>50</v>
      </c>
      <c r="J73" s="14">
        <v>602</v>
      </c>
      <c r="K73" s="511">
        <v>30100</v>
      </c>
      <c r="L73" s="14">
        <v>443072000</v>
      </c>
      <c r="M73" s="646"/>
    </row>
    <row r="74" spans="2:13">
      <c r="B74" s="654">
        <f>IF(F74="","",(SUMIF(INTGRATE!$Y:$Y,data!D74,INTGRATE!$L:$L)+SUMIF(BRAN!$V:$V,data!D74,BRAN!$J:$J)))</f>
        <v>2500</v>
      </c>
      <c r="C74" s="655">
        <f t="shared" si="4"/>
        <v>0</v>
      </c>
      <c r="D74" s="656" t="str">
        <f>IFERROR(VLOOKUP(E74,Map!$B:$F,4,0),"")&amp;IFERROR(VLOOKUP(E74,Map!$B:$F,5,0),"")</f>
        <v>95325</v>
      </c>
      <c r="E74" s="657" t="str">
        <f t="shared" si="5"/>
        <v>21125530000125</v>
      </c>
      <c r="F74" s="497">
        <v>21125530000125</v>
      </c>
      <c r="G74" t="s">
        <v>2714</v>
      </c>
      <c r="H74" t="s">
        <v>9</v>
      </c>
      <c r="I74">
        <v>25</v>
      </c>
      <c r="J74" s="14">
        <v>100</v>
      </c>
      <c r="K74" s="511">
        <v>2500</v>
      </c>
      <c r="L74" s="14">
        <v>26350000</v>
      </c>
      <c r="M74" s="646"/>
    </row>
    <row r="75" spans="2:13">
      <c r="B75" s="654">
        <f>IF(F75="","",(SUMIF(INTGRATE!$Y:$Y,data!D75,INTGRATE!$L:$L)+SUMIF(BRAN!$V:$V,data!D75,BRAN!$J:$J)))</f>
        <v>500</v>
      </c>
      <c r="C75" s="655">
        <f t="shared" si="4"/>
        <v>0</v>
      </c>
      <c r="D75" s="656" t="str">
        <f>IFERROR(VLOOKUP(E75,Map!$B:$F,4,0),"")&amp;IFERROR(VLOOKUP(E75,Map!$B:$F,5,0),"")</f>
        <v>510S25</v>
      </c>
      <c r="E75" s="657" t="str">
        <f t="shared" si="5"/>
        <v>21115101900125</v>
      </c>
      <c r="F75" s="497">
        <v>21115101900125</v>
      </c>
      <c r="G75" t="s">
        <v>1044</v>
      </c>
      <c r="H75" t="s">
        <v>9</v>
      </c>
      <c r="I75">
        <v>25</v>
      </c>
      <c r="J75" s="14">
        <v>20</v>
      </c>
      <c r="K75" s="511">
        <v>500</v>
      </c>
      <c r="L75" s="14">
        <v>6395000</v>
      </c>
      <c r="M75" s="646"/>
    </row>
    <row r="76" spans="2:13">
      <c r="B76" s="654">
        <f>IF(F76="","",(SUMIF(INTGRATE!$Y:$Y,data!D76,INTGRATE!$L:$L)+SUMIF(BRAN!$V:$V,data!D76,BRAN!$J:$J)))</f>
        <v>1300</v>
      </c>
      <c r="C76" s="655">
        <f t="shared" si="4"/>
        <v>0</v>
      </c>
      <c r="D76" s="656" t="str">
        <f>IFERROR(VLOOKUP(E76,Map!$B:$F,4,0),"")&amp;IFERROR(VLOOKUP(E76,Map!$B:$F,5,0),"")</f>
        <v>96725</v>
      </c>
      <c r="E76" s="657" t="str">
        <f t="shared" si="5"/>
        <v>21125670000125</v>
      </c>
      <c r="F76" s="497">
        <v>21125670000125</v>
      </c>
      <c r="G76" t="s">
        <v>2715</v>
      </c>
      <c r="H76" t="s">
        <v>9</v>
      </c>
      <c r="I76">
        <v>25</v>
      </c>
      <c r="J76" s="14">
        <v>52</v>
      </c>
      <c r="K76" s="511">
        <v>1300</v>
      </c>
      <c r="L76" s="14">
        <v>15457000</v>
      </c>
      <c r="M76" s="646"/>
    </row>
    <row r="77" spans="2:13">
      <c r="B77" s="654">
        <f>IF(F77="","",(SUMIF(INTGRATE!$Y:$Y,data!D77,INTGRATE!$L:$L)+SUMIF(BRAN!$V:$V,data!D77,BRAN!$J:$J)))</f>
        <v>14010</v>
      </c>
      <c r="C77" s="655">
        <f t="shared" si="4"/>
        <v>0</v>
      </c>
      <c r="D77" s="656" t="str">
        <f>IFERROR(VLOOKUP(E77,Map!$B:$F,4,0),"")&amp;IFERROR(VLOOKUP(E77,Map!$B:$F,5,0),"")</f>
        <v>550SSilo</v>
      </c>
      <c r="E77" s="657" t="str">
        <f t="shared" si="5"/>
        <v>21115501900100</v>
      </c>
      <c r="F77" s="497">
        <v>21115501900100</v>
      </c>
      <c r="G77" t="s">
        <v>1108</v>
      </c>
      <c r="H77" t="s">
        <v>9</v>
      </c>
      <c r="I77">
        <v>0</v>
      </c>
      <c r="J77" s="14">
        <v>0</v>
      </c>
      <c r="K77" s="511">
        <v>14010</v>
      </c>
      <c r="L77" s="14">
        <v>304857600</v>
      </c>
      <c r="M77" s="646"/>
    </row>
    <row r="78" spans="2:13">
      <c r="B78" s="654">
        <f>IF(F78="","",(SUMIF(INTGRATE!$Y:$Y,data!D78,INTGRATE!$L:$L)+SUMIF(BRAN!$V:$V,data!D78,BRAN!$J:$J)))</f>
        <v>250</v>
      </c>
      <c r="C78" s="655">
        <f t="shared" si="4"/>
        <v>0</v>
      </c>
      <c r="D78" s="656" t="str">
        <f>IFERROR(VLOOKUP(E78,Map!$B:$F,4,0),"")&amp;IFERROR(VLOOKUP(E78,Map!$B:$F,5,0),"")</f>
        <v>HG17S25</v>
      </c>
      <c r="E78" s="657" t="str">
        <f t="shared" si="5"/>
        <v>21135671900125</v>
      </c>
      <c r="F78" s="497">
        <v>21135671900125</v>
      </c>
      <c r="G78" t="s">
        <v>1355</v>
      </c>
      <c r="H78" t="s">
        <v>9</v>
      </c>
      <c r="I78">
        <v>25</v>
      </c>
      <c r="J78" s="14">
        <v>10</v>
      </c>
      <c r="K78" s="511">
        <v>250</v>
      </c>
      <c r="L78" s="14">
        <v>3087500</v>
      </c>
      <c r="M78" s="646"/>
    </row>
    <row r="79" spans="2:13">
      <c r="B79" s="654">
        <f>IF(F79="","",(SUMIF(INTGRATE!$Y:$Y,data!D79,INTGRATE!$L:$L)+SUMIF(BRAN!$V:$V,data!D79,BRAN!$J:$J)))</f>
        <v>250</v>
      </c>
      <c r="C79" s="655">
        <f t="shared" si="4"/>
        <v>0</v>
      </c>
      <c r="D79" s="656" t="str">
        <f>IFERROR(VLOOKUP(E79,Map!$B:$F,4,0),"")&amp;IFERROR(VLOOKUP(E79,Map!$B:$F,5,0),"")</f>
        <v>HT1125</v>
      </c>
      <c r="E79" s="657" t="str">
        <f t="shared" si="5"/>
        <v>21135510000125</v>
      </c>
      <c r="F79" s="497">
        <v>21135510000125</v>
      </c>
      <c r="G79" t="s">
        <v>2716</v>
      </c>
      <c r="H79" t="s">
        <v>9</v>
      </c>
      <c r="I79">
        <v>25</v>
      </c>
      <c r="J79" s="14">
        <v>10</v>
      </c>
      <c r="K79" s="511">
        <v>250</v>
      </c>
      <c r="L79" s="14">
        <v>4100000</v>
      </c>
      <c r="M79" s="646"/>
    </row>
    <row r="80" spans="2:13">
      <c r="B80" s="654"/>
      <c r="C80" s="655"/>
      <c r="D80" s="656" t="str">
        <f>IFERROR(VLOOKUP(E80,Map!$B:$F,4,0),"")&amp;IFERROR(VLOOKUP(E80,Map!$B:$F,5,0),"")</f>
        <v>55225</v>
      </c>
      <c r="E80" s="657" t="str">
        <f t="shared" si="5"/>
        <v>21115520000125</v>
      </c>
      <c r="F80" s="497">
        <v>21115520000125</v>
      </c>
      <c r="G80" t="s">
        <v>2717</v>
      </c>
      <c r="H80" t="s">
        <v>9</v>
      </c>
      <c r="I80">
        <v>25</v>
      </c>
      <c r="J80" s="14">
        <v>2025</v>
      </c>
      <c r="K80" s="511">
        <v>50625</v>
      </c>
      <c r="L80" s="14">
        <v>538912500</v>
      </c>
      <c r="M80" s="646"/>
    </row>
    <row r="81" spans="2:13">
      <c r="B81" s="654">
        <f>IF(F81="","",(SUMIF(INTGRATE!$Y:$Y,data!D81,INTGRATE!$L:$L)+SUMIF(BRAN!$V:$V,data!D81,BRAN!$J:$J)))</f>
        <v>3300</v>
      </c>
      <c r="C81" s="655">
        <f>IF(F81="","",B81-K81)</f>
        <v>0</v>
      </c>
      <c r="D81" s="656" t="str">
        <f>IFERROR(VLOOKUP(E81,Map!$B:$F,4,0),"")&amp;IFERROR(VLOOKUP(E81,Map!$B:$F,5,0),"")</f>
        <v>88425</v>
      </c>
      <c r="E81" s="657" t="str">
        <f t="shared" si="5"/>
        <v>21123840000125</v>
      </c>
      <c r="F81" s="730">
        <v>21123840000125</v>
      </c>
      <c r="G81" s="659" t="s">
        <v>2718</v>
      </c>
      <c r="H81" s="659" t="s">
        <v>9</v>
      </c>
      <c r="I81" s="659">
        <v>25</v>
      </c>
      <c r="J81" s="663">
        <v>132</v>
      </c>
      <c r="K81" s="663">
        <v>3300</v>
      </c>
      <c r="L81" s="663">
        <v>30030000</v>
      </c>
      <c r="M81" s="646"/>
    </row>
    <row r="82" spans="2:13">
      <c r="B82" s="654">
        <f>IF(F82="","",(SUMIF(INTGRATE!$Y:$Y,data!D82,INTGRATE!$L:$L)+SUMIF(BRAN!$V:$V,data!D82,BRAN!$J:$J)))</f>
        <v>30300</v>
      </c>
      <c r="C82" s="655">
        <f>IF(F82="","",B82-K82)</f>
        <v>0</v>
      </c>
      <c r="D82" s="656" t="str">
        <f>IFERROR(VLOOKUP(E82,Map!$B:$F,4,0),"")&amp;IFERROR(VLOOKUP(E82,Map!$B:$F,5,0),"")</f>
        <v>56625</v>
      </c>
      <c r="E82" s="657" t="str">
        <f t="shared" si="5"/>
        <v>21115660000125</v>
      </c>
      <c r="F82" s="730">
        <v>21115660000125</v>
      </c>
      <c r="G82" s="659" t="s">
        <v>2719</v>
      </c>
      <c r="H82" s="659" t="s">
        <v>9</v>
      </c>
      <c r="I82" s="659">
        <v>25</v>
      </c>
      <c r="J82" s="663">
        <v>1212</v>
      </c>
      <c r="K82" s="663">
        <v>30300</v>
      </c>
      <c r="L82" s="663">
        <v>316514000</v>
      </c>
      <c r="M82" s="646"/>
    </row>
    <row r="83" spans="2:13">
      <c r="B83" s="654">
        <f>IF(F83="","",(SUMIF(INTGRATE!$Y:$Y,data!D83,INTGRATE!$L:$L)+SUMIF(BRAN!$V:$V,data!D83,BRAN!$J:$J)))</f>
        <v>83000</v>
      </c>
      <c r="C83" s="655">
        <f>IF(F83="","",B83-K83)</f>
        <v>0</v>
      </c>
      <c r="D83" s="656" t="str">
        <f>IFERROR(VLOOKUP(E83,Map!$B:$F,4,0),"")&amp;IFERROR(VLOOKUP(E83,Map!$B:$F,5,0),"")</f>
        <v>552FS90silo</v>
      </c>
      <c r="E83" s="657" t="str">
        <f t="shared" si="5"/>
        <v>21115520099300S90</v>
      </c>
      <c r="F83" s="881">
        <v>21115520099300</v>
      </c>
      <c r="G83" s="658" t="s">
        <v>937</v>
      </c>
      <c r="H83" s="658" t="s">
        <v>1620</v>
      </c>
      <c r="I83" s="658">
        <v>0</v>
      </c>
      <c r="J83" s="661">
        <v>0</v>
      </c>
      <c r="K83" s="661">
        <v>83000</v>
      </c>
      <c r="L83" s="661">
        <v>726250000</v>
      </c>
      <c r="M83" s="646"/>
    </row>
    <row r="84" spans="2:13">
      <c r="B84" s="654">
        <f>IF(F84="","",(SUMIF(INTGRATE!$Y:$Y,data!D84,INTGRATE!$L:$L)+SUMIF(BRAN!$V:$V,data!D84,BRAN!$J:$J)))</f>
        <v>124100</v>
      </c>
      <c r="C84" s="655">
        <f t="shared" ref="C84:C94" si="6">IF(F84="","",B84-K84)</f>
        <v>0</v>
      </c>
      <c r="D84" s="656" t="str">
        <f>IFERROR(VLOOKUP(E84,Map!$B:$F,4,0),"")&amp;IFERROR(VLOOKUP(E84,Map!$B:$F,5,0),"")</f>
        <v>566FS31SILO</v>
      </c>
      <c r="E84" s="657" t="str">
        <f t="shared" ref="E84:E95" si="7">IF(MID(F84,10,2)="99",F84&amp;H84,LEFT(F84,14))</f>
        <v>21115660099300S31</v>
      </c>
      <c r="F84" s="880">
        <v>21115660099300</v>
      </c>
      <c r="G84" s="635" t="s">
        <v>1196</v>
      </c>
      <c r="H84" s="438" t="s">
        <v>2685</v>
      </c>
      <c r="I84" s="438">
        <v>0</v>
      </c>
      <c r="J84" s="698">
        <v>0</v>
      </c>
      <c r="K84" s="711">
        <v>124100</v>
      </c>
      <c r="L84" s="635">
        <v>1140479000</v>
      </c>
      <c r="M84" s="646"/>
    </row>
    <row r="85" spans="2:13">
      <c r="B85" s="654">
        <f>IF(F85="","",(SUMIF(INTGRATE!$Y:$Y,data!D85,INTGRATE!$L:$L)+SUMIF(BRAN!$V:$V,data!D85,BRAN!$J:$J)))</f>
        <v>346900</v>
      </c>
      <c r="C85" s="655">
        <f t="shared" si="6"/>
        <v>0</v>
      </c>
      <c r="D85" s="656" t="str">
        <f>IFERROR(VLOOKUP(E85,Map!$B:$F,4,0),"")&amp;IFERROR(VLOOKUP(E85,Map!$B:$F,5,0),"")</f>
        <v>552FS9050</v>
      </c>
      <c r="E85" s="657" t="str">
        <f t="shared" si="7"/>
        <v>21115520099250S90</v>
      </c>
      <c r="F85" s="730">
        <v>21115520099250</v>
      </c>
      <c r="G85" s="659" t="s">
        <v>940</v>
      </c>
      <c r="H85" s="659" t="s">
        <v>1620</v>
      </c>
      <c r="I85" s="659">
        <v>50</v>
      </c>
      <c r="J85" s="663">
        <v>6938</v>
      </c>
      <c r="K85" s="663">
        <v>346900</v>
      </c>
      <c r="L85" s="663">
        <v>3077003000</v>
      </c>
      <c r="M85" s="646"/>
    </row>
    <row r="86" spans="2:13">
      <c r="B86" s="654">
        <f>IF(F86="","",(SUMIF(INTGRATE!$Y:$Y,data!D86,INTGRATE!$L:$L)+SUMIF(BRAN!$V:$V,data!D86,BRAN!$J:$J)))</f>
        <v>25500</v>
      </c>
      <c r="C86" s="655">
        <f t="shared" si="6"/>
        <v>0</v>
      </c>
      <c r="D86" s="656" t="str">
        <f>IFERROR(VLOOKUP(E86,Map!$B:$F,4,0),"")&amp;IFERROR(VLOOKUP(E86,Map!$B:$F,5,0),"")</f>
        <v>540F50</v>
      </c>
      <c r="E86" s="657" t="str">
        <f t="shared" si="7"/>
        <v>21115400000250</v>
      </c>
      <c r="F86" s="881">
        <v>21115400000250</v>
      </c>
      <c r="G86" s="645" t="s">
        <v>2720</v>
      </c>
      <c r="H86" s="658" t="s">
        <v>9</v>
      </c>
      <c r="I86" s="658">
        <v>50</v>
      </c>
      <c r="J86" s="661">
        <v>510</v>
      </c>
      <c r="K86" s="661">
        <v>25500</v>
      </c>
      <c r="L86" s="661">
        <v>228225000</v>
      </c>
      <c r="M86" s="646"/>
    </row>
    <row r="87" spans="2:13">
      <c r="B87" s="654">
        <f>IF(F87="","",(SUMIF(INTGRATE!$Y:$Y,data!D87,INTGRATE!$L:$L)+SUMIF(BRAN!$V:$V,data!D87,BRAN!$J:$J)))</f>
        <v>126500</v>
      </c>
      <c r="C87" s="655">
        <f t="shared" si="6"/>
        <v>0</v>
      </c>
      <c r="D87" s="656" t="str">
        <f>IFERROR(VLOOKUP(E87,Map!$B:$F,4,0),"")&amp;IFERROR(VLOOKUP(E87,Map!$B:$F,5,0),"")</f>
        <v>552SFS90silo</v>
      </c>
      <c r="E87" s="657" t="str">
        <f t="shared" si="7"/>
        <v>21115521999300S90</v>
      </c>
      <c r="F87" s="730">
        <v>21115521999300</v>
      </c>
      <c r="G87" s="659" t="s">
        <v>941</v>
      </c>
      <c r="H87" s="659" t="s">
        <v>1620</v>
      </c>
      <c r="I87" s="659">
        <v>0</v>
      </c>
      <c r="J87" s="663">
        <v>0</v>
      </c>
      <c r="K87" s="663">
        <v>126500</v>
      </c>
      <c r="L87" s="663">
        <v>1196690000</v>
      </c>
      <c r="M87" s="646"/>
    </row>
    <row r="88" spans="2:13">
      <c r="B88" s="654">
        <f>IF(F88="","",(SUMIF(INTGRATE!$Y:$Y,data!D88,INTGRATE!$L:$L)+SUMIF(BRAN!$V:$V,data!D88,BRAN!$J:$J)))</f>
        <v>1375</v>
      </c>
      <c r="C88" s="655">
        <f t="shared" si="6"/>
        <v>0</v>
      </c>
      <c r="D88" s="656" t="str">
        <f>IFERROR(VLOOKUP(E88,Map!$B:$F,4,0),"")&amp;IFERROR(VLOOKUP(E88,Map!$B:$F,5,0),"")</f>
        <v>51125</v>
      </c>
      <c r="E88" s="657" t="str">
        <f t="shared" si="7"/>
        <v>21115110000125</v>
      </c>
      <c r="F88" s="881">
        <v>21115110000125</v>
      </c>
      <c r="G88" s="645" t="s">
        <v>2721</v>
      </c>
      <c r="H88" s="658" t="s">
        <v>9</v>
      </c>
      <c r="I88" s="658">
        <v>25</v>
      </c>
      <c r="J88" s="661">
        <v>55</v>
      </c>
      <c r="K88" s="661">
        <v>1375</v>
      </c>
      <c r="L88" s="661">
        <v>16541250</v>
      </c>
      <c r="M88" s="646"/>
    </row>
    <row r="89" spans="2:13">
      <c r="B89" s="654">
        <f>IF(F89="","",(SUMIF(INTGRATE!$Y:$Y,data!D89,INTGRATE!$L:$L)+SUMIF(BRAN!$V:$V,data!D89,BRAN!$J:$J)))</f>
        <v>16800</v>
      </c>
      <c r="C89" s="655">
        <f t="shared" si="6"/>
        <v>0</v>
      </c>
      <c r="D89" s="656" t="str">
        <f>IFERROR(VLOOKUP(E89,Map!$B:$F,4,0),"")&amp;IFERROR(VLOOKUP(E89,Map!$B:$F,5,0),"")</f>
        <v>567SF50</v>
      </c>
      <c r="E89" s="657" t="str">
        <f t="shared" si="7"/>
        <v>21115671900250</v>
      </c>
      <c r="F89" s="730">
        <v>21115671900250</v>
      </c>
      <c r="G89" s="659" t="s">
        <v>2722</v>
      </c>
      <c r="H89" s="659" t="s">
        <v>9</v>
      </c>
      <c r="I89" s="659">
        <v>50</v>
      </c>
      <c r="J89" s="663">
        <v>336</v>
      </c>
      <c r="K89" s="663">
        <v>16800</v>
      </c>
      <c r="L89" s="663">
        <v>166992000</v>
      </c>
      <c r="M89" s="646"/>
    </row>
    <row r="90" spans="2:13">
      <c r="B90" s="654">
        <f>IF(F90="","",(SUMIF(INTGRATE!$Y:$Y,data!D90,INTGRATE!$L:$L)+SUMIF(BRAN!$V:$V,data!D90,BRAN!$J:$J)))</f>
        <v>43180</v>
      </c>
      <c r="C90" s="655">
        <f t="shared" si="6"/>
        <v>0</v>
      </c>
      <c r="D90" s="656" t="str">
        <f>IFERROR(VLOOKUP(E90,Map!$B:$F,4,0),"")&amp;IFERROR(VLOOKUP(E90,Map!$B:$F,5,0),"")</f>
        <v>567SFS25SILO</v>
      </c>
      <c r="E90" s="657" t="str">
        <f t="shared" si="7"/>
        <v>21115671999300S25</v>
      </c>
      <c r="F90" s="730">
        <v>21115671999300</v>
      </c>
      <c r="G90" s="659" t="s">
        <v>939</v>
      </c>
      <c r="H90" s="659" t="s">
        <v>2680</v>
      </c>
      <c r="I90" s="659">
        <v>0</v>
      </c>
      <c r="J90" s="663">
        <v>0</v>
      </c>
      <c r="K90" s="663">
        <v>43180</v>
      </c>
      <c r="L90" s="663">
        <v>457708000</v>
      </c>
      <c r="M90" s="646"/>
    </row>
    <row r="91" spans="2:13">
      <c r="B91" s="654">
        <f>IF(F91="","",(SUMIF(INTGRATE!$Y:$Y,data!D91,INTGRATE!$L:$L)+SUMIF(BRAN!$V:$V,data!D91,BRAN!$J:$J)))</f>
        <v>500</v>
      </c>
      <c r="C91" s="655">
        <f t="shared" si="6"/>
        <v>0</v>
      </c>
      <c r="D91" s="656" t="str">
        <f>IFERROR(VLOOKUP(E91,Map!$B:$F,4,0),"")&amp;IFERROR(VLOOKUP(E91,Map!$B:$F,5,0),"")</f>
        <v>35225</v>
      </c>
      <c r="E91" s="657" t="str">
        <f t="shared" si="7"/>
        <v>21113520000125</v>
      </c>
      <c r="F91" s="730">
        <v>21113520000125</v>
      </c>
      <c r="G91" s="659" t="s">
        <v>2723</v>
      </c>
      <c r="H91" s="659" t="s">
        <v>9</v>
      </c>
      <c r="I91" s="659">
        <v>25</v>
      </c>
      <c r="J91" s="663">
        <v>20</v>
      </c>
      <c r="K91" s="663">
        <v>500</v>
      </c>
      <c r="L91" s="663">
        <v>5580000</v>
      </c>
      <c r="M91" s="646"/>
    </row>
    <row r="92" spans="2:13">
      <c r="B92" s="654">
        <f>IF(F92="","",(SUMIF(INTGRATE!$Y:$Y,data!D92,INTGRATE!$L:$L)+SUMIF(BRAN!$V:$V,data!D92,BRAN!$J:$J)))</f>
        <v>250</v>
      </c>
      <c r="C92" s="655">
        <f t="shared" si="6"/>
        <v>0</v>
      </c>
      <c r="D92" s="656" t="str">
        <f>IFERROR(VLOOKUP(E92,Map!$B:$F,4,0),"")&amp;IFERROR(VLOOKUP(E92,Map!$B:$F,5,0),"")</f>
        <v>HT1225</v>
      </c>
      <c r="E92" s="657" t="str">
        <f t="shared" si="7"/>
        <v>21135520000125</v>
      </c>
      <c r="F92" s="881">
        <v>21135520000125</v>
      </c>
      <c r="G92" s="645" t="s">
        <v>2724</v>
      </c>
      <c r="H92" s="658" t="s">
        <v>9</v>
      </c>
      <c r="I92" s="658">
        <v>25</v>
      </c>
      <c r="J92" s="662">
        <v>10</v>
      </c>
      <c r="K92" s="661">
        <v>250</v>
      </c>
      <c r="L92" s="661">
        <v>2772500</v>
      </c>
      <c r="M92" s="646"/>
    </row>
    <row r="93" spans="2:13">
      <c r="B93" s="654">
        <f>IF(F93="","",(SUMIF(INTGRATE!$Y:$Y,data!D93,INTGRATE!$L:$L)+SUMIF(BRAN!$V:$V,data!D93,BRAN!$J:$J)))</f>
        <v>21240</v>
      </c>
      <c r="C93" s="655">
        <f t="shared" si="6"/>
        <v>0</v>
      </c>
      <c r="D93" s="656" t="str">
        <f>IFERROR(VLOOKUP(E93,Map!$B:$F,4,0),"")&amp;IFERROR(VLOOKUP(E93,Map!$B:$F,5,0),"")</f>
        <v>551FS54silo</v>
      </c>
      <c r="E93" s="657" t="str">
        <f t="shared" si="7"/>
        <v>21115510099300S54</v>
      </c>
      <c r="F93" s="881">
        <v>21115510099300</v>
      </c>
      <c r="G93" s="659" t="s">
        <v>1297</v>
      </c>
      <c r="H93" s="659" t="s">
        <v>2686</v>
      </c>
      <c r="I93" s="659">
        <v>0</v>
      </c>
      <c r="J93" s="664">
        <v>0</v>
      </c>
      <c r="K93" s="663">
        <v>21240</v>
      </c>
      <c r="L93" s="663">
        <v>265500000</v>
      </c>
      <c r="M93" s="646"/>
    </row>
    <row r="94" spans="2:13">
      <c r="B94" s="654">
        <f>IF(F94="","",(SUMIF(INTGRATE!$Y:$Y,data!D94,INTGRATE!$L:$L)+SUMIF(BRAN!$V:$V,data!D94,BRAN!$J:$J)))</f>
        <v>9520</v>
      </c>
      <c r="C94" s="655">
        <f t="shared" si="6"/>
        <v>0</v>
      </c>
      <c r="D94" s="656" t="str">
        <f>IFERROR(VLOOKUP(E94,Map!$B:$F,4,0),"")&amp;IFERROR(VLOOKUP(E94,Map!$B:$F,5,0),"")</f>
        <v>567SFSilo</v>
      </c>
      <c r="E94" s="657" t="str">
        <f t="shared" si="7"/>
        <v>21115671900300</v>
      </c>
      <c r="F94" s="730">
        <v>21115671900300</v>
      </c>
      <c r="G94" s="659" t="s">
        <v>2725</v>
      </c>
      <c r="H94" s="659" t="s">
        <v>9</v>
      </c>
      <c r="I94" s="659">
        <v>0</v>
      </c>
      <c r="J94" s="664">
        <v>0</v>
      </c>
      <c r="K94" s="663">
        <v>9520</v>
      </c>
      <c r="L94" s="663">
        <v>93486400</v>
      </c>
      <c r="M94" s="646"/>
    </row>
    <row r="95" spans="2:13">
      <c r="B95" s="654">
        <f>IF(F95="","",(SUMIF(INTGRATE!$Y:$Y,data!D95,INTGRATE!$L:$L)+SUMIF(BRAN!$V:$V,data!D95,BRAN!$J:$J)))</f>
        <v>5440</v>
      </c>
      <c r="C95" s="655">
        <f t="shared" ref="C95:C104" si="8">IF(F95="","",B95-K95)</f>
        <v>0</v>
      </c>
      <c r="D95" s="656" t="str">
        <f>IFERROR(VLOOKUP(E95,Map!$B:$F,4,0),"")&amp;IFERROR(VLOOKUP(E95,Map!$B:$F,5,0),"")</f>
        <v>HT12Ssilo</v>
      </c>
      <c r="E95" s="657" t="str">
        <f t="shared" si="7"/>
        <v>21135521900100</v>
      </c>
      <c r="F95" s="881">
        <v>21135521900100</v>
      </c>
      <c r="G95" s="645" t="s">
        <v>1623</v>
      </c>
      <c r="H95" s="658" t="s">
        <v>9</v>
      </c>
      <c r="I95" s="658">
        <v>0</v>
      </c>
      <c r="J95" s="661">
        <v>0</v>
      </c>
      <c r="K95" s="661">
        <v>5440</v>
      </c>
      <c r="L95" s="661">
        <v>65715200</v>
      </c>
      <c r="M95" s="646"/>
    </row>
    <row r="96" spans="2:13">
      <c r="B96" s="654">
        <f>IF(F96="","",(SUMIF(INTGRATE!$Y:$Y,data!D96,INTGRATE!$L:$L)+SUMIF(BRAN!$V:$V,data!D96,BRAN!$J:$J)))</f>
        <v>5000</v>
      </c>
      <c r="C96" s="655">
        <f t="shared" si="8"/>
        <v>0</v>
      </c>
      <c r="D96" s="656" t="str">
        <f>IFERROR(VLOOKUP(E96,Map!$B:$F,4,0),"")&amp;IFERROR(VLOOKUP(E96,Map!$B:$F,5,0),"")</f>
        <v>551FS2550</v>
      </c>
      <c r="E96" s="657" t="str">
        <f t="shared" ref="E96:E104" si="9">IF(MID(F96,10,2)="99",F96&amp;H96,LEFT(F96,14))</f>
        <v>21115510099250S25</v>
      </c>
      <c r="F96" s="730">
        <v>21115510099250</v>
      </c>
      <c r="G96" s="659" t="s">
        <v>1269</v>
      </c>
      <c r="H96" s="659" t="s">
        <v>2680</v>
      </c>
      <c r="I96" s="659">
        <v>50</v>
      </c>
      <c r="J96" s="663">
        <v>100</v>
      </c>
      <c r="K96" s="663">
        <v>5000</v>
      </c>
      <c r="L96" s="663">
        <v>64050000</v>
      </c>
      <c r="M96" s="646"/>
    </row>
    <row r="97" spans="2:13">
      <c r="B97" s="654">
        <f>IF(F97="","",(SUMIF(INTGRATE!$Y:$Y,data!D97,INTGRATE!$L:$L)+SUMIF(BRAN!$V:$V,data!D97,BRAN!$J:$J)))</f>
        <v>7850</v>
      </c>
      <c r="C97" s="655">
        <f t="shared" si="8"/>
        <v>0</v>
      </c>
      <c r="D97" s="656" t="str">
        <f>IFERROR(VLOOKUP(E97,Map!$B:$F,4,0),"")&amp;IFERROR(VLOOKUP(E97,Map!$B:$F,5,0),"")</f>
        <v>552M25</v>
      </c>
      <c r="E97" s="657" t="str">
        <f t="shared" si="9"/>
        <v>21115521300125</v>
      </c>
      <c r="F97" s="730">
        <v>21115521300125</v>
      </c>
      <c r="G97" s="659" t="s">
        <v>2726</v>
      </c>
      <c r="H97" s="659" t="s">
        <v>9</v>
      </c>
      <c r="I97" s="659">
        <v>25</v>
      </c>
      <c r="J97" s="663">
        <v>314</v>
      </c>
      <c r="K97" s="663">
        <v>7850</v>
      </c>
      <c r="L97" s="663">
        <v>89333000</v>
      </c>
      <c r="M97" s="646"/>
    </row>
    <row r="98" spans="2:13">
      <c r="B98" s="654">
        <f>IF(F98="","",(SUMIF(INTGRATE!$Y:$Y,data!D98,INTGRATE!$L:$L)+SUMIF(BRAN!$V:$V,data!D98,BRAN!$J:$J)))</f>
        <v>250</v>
      </c>
      <c r="C98" s="655">
        <f t="shared" si="8"/>
        <v>0</v>
      </c>
      <c r="D98" s="656" t="str">
        <f>IFERROR(VLOOKUP(E98,Map!$B:$F,4,0),"")&amp;IFERROR(VLOOKUP(E98,Map!$B:$F,5,0),"")</f>
        <v>699125</v>
      </c>
      <c r="E98" s="657" t="str">
        <f t="shared" si="9"/>
        <v>21165910000125</v>
      </c>
      <c r="F98" s="730">
        <v>21165910000125</v>
      </c>
      <c r="G98" s="659" t="s">
        <v>1470</v>
      </c>
      <c r="H98" s="659" t="s">
        <v>9</v>
      </c>
      <c r="I98" s="659">
        <v>25</v>
      </c>
      <c r="J98" s="663">
        <v>10</v>
      </c>
      <c r="K98" s="663">
        <v>250</v>
      </c>
      <c r="L98" s="663">
        <v>2470000</v>
      </c>
      <c r="M98" s="646"/>
    </row>
    <row r="99" spans="2:13">
      <c r="B99" s="654">
        <f>IF(F99="","",(SUMIF(INTGRATE!$Y:$Y,data!D99,INTGRATE!$L:$L)+SUMIF(BRAN!$V:$V,data!D99,BRAN!$J:$J)))</f>
        <v>9825</v>
      </c>
      <c r="C99" s="655">
        <f t="shared" si="8"/>
        <v>0</v>
      </c>
      <c r="D99" s="656" t="str">
        <f>IFERROR(VLOOKUP(E99,Map!$B:$F,4,0),"")&amp;IFERROR(VLOOKUP(E99,Map!$B:$F,5,0),"")</f>
        <v>94925</v>
      </c>
      <c r="E99" s="657" t="str">
        <f t="shared" si="9"/>
        <v>21125490000125</v>
      </c>
      <c r="F99" s="730">
        <v>21125490000125</v>
      </c>
      <c r="G99" s="659" t="s">
        <v>1360</v>
      </c>
      <c r="H99" s="659" t="s">
        <v>9</v>
      </c>
      <c r="I99" s="659">
        <v>25</v>
      </c>
      <c r="J99" s="663">
        <v>393</v>
      </c>
      <c r="K99" s="663">
        <v>9825</v>
      </c>
      <c r="L99" s="663">
        <v>109647000</v>
      </c>
      <c r="M99" s="646"/>
    </row>
    <row r="100" spans="2:13">
      <c r="B100" s="654">
        <f>IF(F100="","",(SUMIF(INTGRATE!$Y:$Y,data!D100,INTGRATE!$L:$L)+SUMIF(BRAN!$V:$V,data!D100,BRAN!$J:$J)))</f>
        <v>2775</v>
      </c>
      <c r="C100" s="655">
        <f t="shared" si="8"/>
        <v>0</v>
      </c>
      <c r="D100" s="656" t="str">
        <f>IFERROR(VLOOKUP(E100,Map!$B:$F,4,0),"")&amp;IFERROR(VLOOKUP(E100,Map!$B:$F,5,0),"")</f>
        <v>96625</v>
      </c>
      <c r="E100" s="657" t="str">
        <f t="shared" si="9"/>
        <v>21125660000125</v>
      </c>
      <c r="F100" s="730">
        <v>21125660000125</v>
      </c>
      <c r="G100" s="659" t="s">
        <v>2727</v>
      </c>
      <c r="H100" s="659" t="s">
        <v>9</v>
      </c>
      <c r="I100" s="659">
        <v>25</v>
      </c>
      <c r="J100" s="663">
        <v>111</v>
      </c>
      <c r="K100" s="663">
        <v>2775</v>
      </c>
      <c r="L100" s="663">
        <v>29498250</v>
      </c>
      <c r="M100" s="646"/>
    </row>
    <row r="101" spans="2:13">
      <c r="B101" s="654">
        <f>IF(F101="","",(SUMIF(INTGRATE!$Y:$Y,data!D101,INTGRATE!$L:$L)+SUMIF(BRAN!$V:$V,data!D101,BRAN!$J:$J)))</f>
        <v>99175</v>
      </c>
      <c r="C101" s="655">
        <f t="shared" si="8"/>
        <v>0</v>
      </c>
      <c r="D101" s="656" t="str">
        <f>IFERROR(VLOOKUP(E101,Map!$B:$F,4,0),"")&amp;IFERROR(VLOOKUP(E101,Map!$B:$F,5,0),"")</f>
        <v>511B25</v>
      </c>
      <c r="E101" s="657" t="str">
        <f t="shared" si="9"/>
        <v>21115110200125</v>
      </c>
      <c r="F101" s="730">
        <v>21115110200125</v>
      </c>
      <c r="G101" s="659" t="s">
        <v>2728</v>
      </c>
      <c r="H101" s="659" t="s">
        <v>9</v>
      </c>
      <c r="I101" s="659">
        <v>25</v>
      </c>
      <c r="J101" s="663">
        <v>3967</v>
      </c>
      <c r="K101" s="663">
        <v>99175</v>
      </c>
      <c r="L101" s="663">
        <v>1183157750</v>
      </c>
      <c r="M101" s="646"/>
    </row>
    <row r="102" spans="2:13">
      <c r="B102" s="654">
        <f>IF(F102="","",(SUMIF(INTGRATE!$Y:$Y,data!D102,INTGRATE!$L:$L)+SUMIF(BRAN!$V:$V,data!D102,BRAN!$J:$J)))</f>
        <v>7290</v>
      </c>
      <c r="C102" s="655">
        <f t="shared" si="8"/>
        <v>0</v>
      </c>
      <c r="D102" s="656" t="str">
        <f>IFERROR(VLOOKUP(E102,Map!$B:$F,4,0),"")&amp;IFERROR(VLOOKUP(E102,Map!$B:$F,5,0),"")</f>
        <v>HT11SILO</v>
      </c>
      <c r="E102" s="657" t="str">
        <f t="shared" si="9"/>
        <v>21135510000100</v>
      </c>
      <c r="F102" s="730">
        <v>21135510000100</v>
      </c>
      <c r="G102" s="659" t="s">
        <v>1509</v>
      </c>
      <c r="H102" s="659" t="s">
        <v>9</v>
      </c>
      <c r="I102" s="659">
        <v>0</v>
      </c>
      <c r="J102" s="663">
        <v>0</v>
      </c>
      <c r="K102" s="663">
        <v>7290</v>
      </c>
      <c r="L102" s="663">
        <v>118098000</v>
      </c>
      <c r="M102" s="646"/>
    </row>
    <row r="103" spans="2:13">
      <c r="B103" s="654">
        <f>IF(F103="","",(SUMIF(INTGRATE!$Y:$Y,data!D103,INTGRATE!$L:$L)+SUMIF(BRAN!$V:$V,data!D103,BRAN!$J:$J)))</f>
        <v>52100</v>
      </c>
      <c r="C103" s="655">
        <f t="shared" si="8"/>
        <v>0</v>
      </c>
      <c r="D103" s="656" t="str">
        <f>IFERROR(VLOOKUP(E103,Map!$B:$F,4,0),"")&amp;IFERROR(VLOOKUP(E103,Map!$B:$F,5,0),"")</f>
        <v>552SFSilo</v>
      </c>
      <c r="E103" s="657" t="str">
        <f>IF(MID(F103,10,2)="99",F103&amp;H103,LEFT(F103,14))</f>
        <v>21115521900300</v>
      </c>
      <c r="F103" s="730">
        <v>21115521900300</v>
      </c>
      <c r="G103" s="659" t="s">
        <v>2729</v>
      </c>
      <c r="H103" s="659" t="s">
        <v>9</v>
      </c>
      <c r="I103" s="659">
        <v>0</v>
      </c>
      <c r="J103" s="663">
        <v>0</v>
      </c>
      <c r="K103" s="663">
        <v>52100</v>
      </c>
      <c r="L103" s="663">
        <v>484009000</v>
      </c>
      <c r="M103" s="646"/>
    </row>
    <row r="104" spans="2:13">
      <c r="B104" s="654">
        <f>IF(F104="","",(SUMIF(INTGRATE!$Y:$Y,data!D104,INTGRATE!$L:$L)+SUMIF(BRAN!$V:$V,data!D104,BRAN!$J:$J)))</f>
        <v>133300</v>
      </c>
      <c r="C104" s="655">
        <f t="shared" si="8"/>
        <v>0</v>
      </c>
      <c r="D104" s="656" t="str">
        <f>IFERROR(VLOOKUP(E104,Map!$B:$F,4,0),"")&amp;IFERROR(VLOOKUP(E104,Map!$B:$F,5,0),"")</f>
        <v>550SFS3150</v>
      </c>
      <c r="E104" s="657" t="str">
        <f t="shared" si="9"/>
        <v>21115501999250S31</v>
      </c>
      <c r="F104" s="730">
        <v>21115501999250</v>
      </c>
      <c r="G104" s="659" t="s">
        <v>1936</v>
      </c>
      <c r="H104" s="659" t="s">
        <v>2685</v>
      </c>
      <c r="I104" s="659">
        <v>50</v>
      </c>
      <c r="J104" s="663">
        <v>2666</v>
      </c>
      <c r="K104" s="663">
        <v>133300</v>
      </c>
      <c r="L104" s="663">
        <v>2042156000</v>
      </c>
    </row>
    <row r="105" spans="2:13">
      <c r="B105" s="654">
        <f>IF(F105="","",(SUMIF(INTGRATE!$Y:$Y,data!D105,INTGRATE!$L:$L)+SUMIF(BRAN!$V:$V,data!D105,BRAN!$J:$J)))</f>
        <v>28400</v>
      </c>
      <c r="C105" s="655">
        <f t="shared" ref="C105:C126" si="10">IF(F105="","",B105-K105)</f>
        <v>0</v>
      </c>
      <c r="D105" s="656" t="str">
        <f>IFERROR(VLOOKUP(E105,Map!$B:$F,4,0),"")&amp;IFERROR(VLOOKUP(E105,Map!$B:$F,5,0),"")</f>
        <v>511NFP3550</v>
      </c>
      <c r="E105" s="657" t="str">
        <f t="shared" ref="E105:E159" si="11">IF(MID(F105,10,2)="99",F105&amp;H105,LEFT(F105,14))</f>
        <v>21115111499250P35</v>
      </c>
      <c r="F105" s="730">
        <v>21115111499250</v>
      </c>
      <c r="G105" s="659" t="s">
        <v>908</v>
      </c>
      <c r="H105" s="659" t="s">
        <v>2730</v>
      </c>
      <c r="I105" s="659">
        <v>50</v>
      </c>
      <c r="J105" s="663">
        <v>568</v>
      </c>
      <c r="K105" s="663">
        <v>28400</v>
      </c>
      <c r="L105" s="663">
        <v>306720000</v>
      </c>
    </row>
    <row r="106" spans="2:13">
      <c r="B106" s="654">
        <f>IF(F106="","",(SUMIF(INTGRATE!$Y:$Y,data!D106,INTGRATE!$L:$L)+SUMIF(BRAN!$V:$V,data!D106,BRAN!$J:$J)))</f>
        <v>2050</v>
      </c>
      <c r="C106" s="655">
        <f t="shared" si="10"/>
        <v>0</v>
      </c>
      <c r="D106" s="656" t="str">
        <f>IFERROR(VLOOKUP(E106,Map!$B:$F,4,0),"")&amp;IFERROR(VLOOKUP(E106,Map!$B:$F,5,0),"")</f>
        <v>695225</v>
      </c>
      <c r="E106" s="657" t="str">
        <f t="shared" si="11"/>
        <v>21165520000125</v>
      </c>
      <c r="F106" s="730">
        <v>21165520000125</v>
      </c>
      <c r="G106" s="659" t="s">
        <v>1471</v>
      </c>
      <c r="H106" s="659" t="s">
        <v>9</v>
      </c>
      <c r="I106" s="659">
        <v>25</v>
      </c>
      <c r="J106" s="663">
        <v>82</v>
      </c>
      <c r="K106" s="663">
        <v>2050</v>
      </c>
      <c r="L106" s="663">
        <v>20500000</v>
      </c>
    </row>
    <row r="107" spans="2:13">
      <c r="B107" s="654">
        <f>IF(F107="","",(SUMIF(INTGRATE!$Y:$Y,data!D107,INTGRATE!$L:$L)+SUMIF(BRAN!$V:$V,data!D107,BRAN!$J:$J)))</f>
        <v>2800</v>
      </c>
      <c r="C107" s="655">
        <f t="shared" si="10"/>
        <v>0</v>
      </c>
      <c r="D107" s="656" t="str">
        <f>IFERROR(VLOOKUP(E107,Map!$B:$F,4,0),"")&amp;IFERROR(VLOOKUP(E107,Map!$B:$F,5,0),"")</f>
        <v>511M25</v>
      </c>
      <c r="E107" s="657" t="str">
        <f t="shared" si="11"/>
        <v>21115111300125</v>
      </c>
      <c r="F107" s="730">
        <v>21115111300125</v>
      </c>
      <c r="G107" s="659" t="s">
        <v>2731</v>
      </c>
      <c r="H107" s="659" t="s">
        <v>9</v>
      </c>
      <c r="I107" s="659">
        <v>25</v>
      </c>
      <c r="J107" s="663">
        <v>112</v>
      </c>
      <c r="K107" s="663">
        <v>2800</v>
      </c>
      <c r="L107" s="663">
        <v>32060000</v>
      </c>
    </row>
    <row r="108" spans="2:13">
      <c r="B108" s="654">
        <f>IF(F108="","",(SUMIF(INTGRATE!$Y:$Y,data!D108,INTGRATE!$L:$L)+SUMIF(BRAN!$V:$V,data!D108,BRAN!$J:$J)))</f>
        <v>45500</v>
      </c>
      <c r="C108" s="655">
        <f t="shared" si="10"/>
        <v>0</v>
      </c>
      <c r="D108" s="656" t="str">
        <f>IFERROR(VLOOKUP(E108,Map!$B:$F,4,0),"")&amp;IFERROR(VLOOKUP(E108,Map!$B:$F,5,0),"")</f>
        <v>550SFS2550</v>
      </c>
      <c r="E108" s="657" t="str">
        <f t="shared" si="11"/>
        <v>21115501999250S25</v>
      </c>
      <c r="F108" s="730">
        <v>21115501999250</v>
      </c>
      <c r="G108" s="659" t="s">
        <v>1936</v>
      </c>
      <c r="H108" s="659" t="s">
        <v>2680</v>
      </c>
      <c r="I108" s="659">
        <v>50</v>
      </c>
      <c r="J108" s="663">
        <v>910</v>
      </c>
      <c r="K108" s="663">
        <v>45500</v>
      </c>
      <c r="L108" s="663">
        <v>704795000</v>
      </c>
    </row>
    <row r="109" spans="2:13">
      <c r="B109" s="654">
        <f>IF(F109="","",(SUMIF(INTGRATE!$Y:$Y,data!D109,INTGRATE!$L:$L)+SUMIF(BRAN!$V:$V,data!D109,BRAN!$J:$J)))</f>
        <v>35570</v>
      </c>
      <c r="C109" s="655">
        <f t="shared" si="10"/>
        <v>0</v>
      </c>
      <c r="D109" s="656" t="str">
        <f>IFERROR(VLOOKUP(E109,Map!$B:$F,4,0),"")&amp;IFERROR(VLOOKUP(E109,Map!$B:$F,5,0),"")</f>
        <v>552FSilo</v>
      </c>
      <c r="E109" s="657" t="str">
        <f t="shared" si="11"/>
        <v>21115520000300</v>
      </c>
      <c r="F109" s="730">
        <v>21115520000300</v>
      </c>
      <c r="G109" s="659" t="s">
        <v>626</v>
      </c>
      <c r="H109" s="659" t="s">
        <v>9</v>
      </c>
      <c r="I109" s="659">
        <v>0</v>
      </c>
      <c r="J109" s="663">
        <v>0</v>
      </c>
      <c r="K109" s="663">
        <v>35570</v>
      </c>
      <c r="L109" s="663">
        <v>305190600</v>
      </c>
    </row>
    <row r="110" spans="2:13">
      <c r="B110" s="654">
        <f>IF(F110="","",(SUMIF(INTGRATE!$Y:$Y,data!D110,INTGRATE!$L:$L)+SUMIF(BRAN!$V:$V,data!D110,BRAN!$J:$J)))</f>
        <v>875</v>
      </c>
      <c r="C110" s="655">
        <f>IF(F110="","",B110-K110)</f>
        <v>0</v>
      </c>
      <c r="D110" s="656" t="str">
        <f>IFERROR(VLOOKUP(E110,Map!$B:$F,4,0),"")&amp;IFERROR(VLOOKUP(E110,Map!$B:$F,5,0),"")</f>
        <v>699525</v>
      </c>
      <c r="E110" s="657" t="str">
        <f t="shared" si="11"/>
        <v>21165950000125</v>
      </c>
      <c r="F110" s="730">
        <v>21165950000125</v>
      </c>
      <c r="G110" s="659" t="s">
        <v>1551</v>
      </c>
      <c r="H110" s="659" t="s">
        <v>9</v>
      </c>
      <c r="I110" s="647">
        <v>25</v>
      </c>
      <c r="J110" s="663">
        <v>35</v>
      </c>
      <c r="K110" s="663">
        <v>875</v>
      </c>
      <c r="L110" s="663">
        <v>6965000</v>
      </c>
    </row>
    <row r="111" spans="2:13">
      <c r="B111" s="654">
        <f>IF(F111="","",(SUMIF(INTGRATE!$Y:$Y,data!D111,INTGRATE!$L:$L)+SUMIF(BRAN!$V:$V,data!D111,BRAN!$J:$J)))</f>
        <v>5975</v>
      </c>
      <c r="C111" s="655">
        <f>IF(F111="","",B111-K111)</f>
        <v>0</v>
      </c>
      <c r="D111" s="656" t="str">
        <f>IFERROR(VLOOKUP(E111,Map!$B:$F,4,0),"")&amp;IFERROR(VLOOKUP(E111,Map!$B:$F,5,0),"")</f>
        <v>692425</v>
      </c>
      <c r="E111" s="657" t="str">
        <f t="shared" si="11"/>
        <v>21165240000125</v>
      </c>
      <c r="F111" s="730">
        <v>21165240000125</v>
      </c>
      <c r="G111" s="659" t="s">
        <v>1562</v>
      </c>
      <c r="H111" s="659" t="s">
        <v>9</v>
      </c>
      <c r="I111" s="647">
        <v>25</v>
      </c>
      <c r="J111" s="663">
        <v>239</v>
      </c>
      <c r="K111" s="663">
        <v>5975</v>
      </c>
      <c r="L111" s="663">
        <v>59690250</v>
      </c>
    </row>
    <row r="112" spans="2:13">
      <c r="B112" s="654">
        <f>IF(F112="","",(SUMIF(INTGRATE!$Y:$Y,data!D112,INTGRATE!$L:$L)+SUMIF(BRAN!$V:$V,data!D112,BRAN!$J:$J)))</f>
        <v>250</v>
      </c>
      <c r="C112" s="655">
        <f t="shared" si="10"/>
        <v>0</v>
      </c>
      <c r="D112" s="656" t="str">
        <f>IFERROR(VLOOKUP(E112,Map!$B:$F,4,0),"")&amp;IFERROR(VLOOKUP(E112,Map!$B:$F,5,0),"")</f>
        <v>30225</v>
      </c>
      <c r="E112" s="657" t="str">
        <f t="shared" si="11"/>
        <v>21113020000125</v>
      </c>
      <c r="F112" s="730">
        <v>21113020000125</v>
      </c>
      <c r="G112" s="659" t="s">
        <v>2732</v>
      </c>
      <c r="H112" s="659" t="s">
        <v>9</v>
      </c>
      <c r="I112" s="647">
        <v>25</v>
      </c>
      <c r="J112" s="663">
        <v>10</v>
      </c>
      <c r="K112" s="663">
        <v>250</v>
      </c>
      <c r="L112" s="663">
        <v>2650000</v>
      </c>
    </row>
    <row r="113" spans="2:12">
      <c r="B113" s="654">
        <f>IF(F113="","",(SUMIF(INTGRATE!$Y:$Y,data!D113,INTGRATE!$L:$L)+SUMIF(BRAN!$V:$V,data!D113,BRAN!$J:$J)))</f>
        <v>29990</v>
      </c>
      <c r="C113" s="655">
        <f t="shared" si="10"/>
        <v>0</v>
      </c>
      <c r="D113" s="656" t="str">
        <f>IFERROR(VLOOKUP(E113,Map!$B:$F,4,0),"")&amp;IFERROR(VLOOKUP(E113,Map!$B:$F,5,0),"")</f>
        <v>549FSilo</v>
      </c>
      <c r="E113" s="657" t="str">
        <f t="shared" si="11"/>
        <v>21115490000300</v>
      </c>
      <c r="F113" s="730">
        <v>21115490000300</v>
      </c>
      <c r="G113" s="659" t="s">
        <v>2733</v>
      </c>
      <c r="H113" s="659" t="s">
        <v>9</v>
      </c>
      <c r="I113" s="647">
        <v>0</v>
      </c>
      <c r="J113" s="663">
        <v>0</v>
      </c>
      <c r="K113" s="663">
        <v>29990</v>
      </c>
      <c r="L113" s="663">
        <v>280106600</v>
      </c>
    </row>
    <row r="114" spans="2:12">
      <c r="B114" s="654">
        <f>IF(F114="","",(SUMIF(INTGRATE!$Y:$Y,data!D114,INTGRATE!$L:$L)+SUMIF(BRAN!$V:$V,data!D114,BRAN!$J:$J)))</f>
        <v>8000</v>
      </c>
      <c r="C114" s="655">
        <f t="shared" si="10"/>
        <v>0</v>
      </c>
      <c r="D114" s="656" t="str">
        <f>IFERROR(VLOOKUP(E114,Map!$B:$F,4,0),"")&amp;IFERROR(VLOOKUP(E114,Map!$B:$F,5,0),"")</f>
        <v>552SPro25</v>
      </c>
      <c r="E114" s="657" t="str">
        <f t="shared" si="11"/>
        <v>21115521916125</v>
      </c>
      <c r="F114" s="730">
        <v>21115521916125</v>
      </c>
      <c r="G114" s="659" t="s">
        <v>1463</v>
      </c>
      <c r="H114" s="659" t="s">
        <v>9</v>
      </c>
      <c r="I114" s="647">
        <v>25</v>
      </c>
      <c r="J114" s="663">
        <v>320</v>
      </c>
      <c r="K114" s="663">
        <v>8000</v>
      </c>
      <c r="L114" s="663">
        <v>92925000</v>
      </c>
    </row>
    <row r="115" spans="2:12">
      <c r="B115" s="654">
        <f>IF(F115="","",(SUMIF(INTGRATE!$Y:$Y,data!D115,INTGRATE!$L:$L)+SUMIF(BRAN!$V:$V,data!D115,BRAN!$J:$J)))</f>
        <v>18125</v>
      </c>
      <c r="C115" s="655">
        <f t="shared" si="10"/>
        <v>0</v>
      </c>
      <c r="D115" s="656" t="str">
        <f>IFERROR(VLOOKUP(E115,Map!$B:$F,4,0),"")&amp;IFERROR(VLOOKUP(E115,Map!$B:$F,5,0),"")</f>
        <v>VT1225</v>
      </c>
      <c r="E115" s="657" t="str">
        <f t="shared" si="11"/>
        <v>21135400000125</v>
      </c>
      <c r="F115" s="730">
        <v>21135400000125</v>
      </c>
      <c r="G115" s="659" t="s">
        <v>2734</v>
      </c>
      <c r="H115" s="659" t="s">
        <v>9</v>
      </c>
      <c r="I115" s="647">
        <v>25</v>
      </c>
      <c r="J115" s="663">
        <v>725</v>
      </c>
      <c r="K115" s="663">
        <v>18125</v>
      </c>
      <c r="L115" s="663">
        <v>201550000</v>
      </c>
    </row>
    <row r="116" spans="2:12">
      <c r="B116" s="654">
        <f>IF(F116="","",(SUMIF(INTGRATE!$Y:$Y,data!D116,INTGRATE!$L:$L)+SUMIF(BRAN!$V:$V,data!D116,BRAN!$J:$J)))</f>
        <v>150</v>
      </c>
      <c r="C116" s="655">
        <f t="shared" si="10"/>
        <v>0</v>
      </c>
      <c r="D116" s="656" t="str">
        <f>IFERROR(VLOOKUP(E116,Map!$B:$F,4,0),"")&amp;IFERROR(VLOOKUP(E116,Map!$B:$F,5,0),"")</f>
        <v>551 (5*5)25</v>
      </c>
      <c r="E116" s="657" t="str">
        <f t="shared" si="11"/>
        <v>21115510000425</v>
      </c>
      <c r="F116" s="730">
        <v>21115510000425</v>
      </c>
      <c r="G116" s="659" t="s">
        <v>2735</v>
      </c>
      <c r="H116" s="659" t="s">
        <v>9</v>
      </c>
      <c r="I116" s="647">
        <v>25</v>
      </c>
      <c r="J116" s="663">
        <v>6</v>
      </c>
      <c r="K116" s="663">
        <v>150</v>
      </c>
      <c r="L116" s="663">
        <v>2553000</v>
      </c>
    </row>
    <row r="117" spans="2:12">
      <c r="B117" s="654">
        <f>IF(F117="","",(SUMIF(INTGRATE!$Y:$Y,data!D117,INTGRATE!$L:$L)+SUMIF(BRAN!$V:$V,data!D117,BRAN!$J:$J)))</f>
        <v>5375</v>
      </c>
      <c r="C117" s="655">
        <f t="shared" si="10"/>
        <v>0</v>
      </c>
      <c r="D117" s="656" t="str">
        <f>IFERROR(VLOOKUP(E117,Map!$B:$F,4,0),"")&amp;IFERROR(VLOOKUP(E117,Map!$B:$F,5,0),"")</f>
        <v>95125</v>
      </c>
      <c r="E117" s="657" t="str">
        <f t="shared" si="11"/>
        <v>21125510000125</v>
      </c>
      <c r="F117" s="730">
        <v>21125510000125</v>
      </c>
      <c r="G117" s="659" t="s">
        <v>2736</v>
      </c>
      <c r="H117" s="659" t="s">
        <v>9</v>
      </c>
      <c r="I117" s="647">
        <v>25</v>
      </c>
      <c r="J117" s="663">
        <v>215</v>
      </c>
      <c r="K117" s="663">
        <v>5375</v>
      </c>
      <c r="L117" s="663">
        <v>90407500</v>
      </c>
    </row>
    <row r="118" spans="2:12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12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12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12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12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12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12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12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12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12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12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I45" sqref="I45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2737</v>
      </c>
      <c r="D1" s="438" t="s">
        <v>2738</v>
      </c>
      <c r="E1" s="438" t="s">
        <v>2739</v>
      </c>
      <c r="F1" s="438" t="s">
        <v>2740</v>
      </c>
      <c r="G1" s="438" t="s">
        <v>2741</v>
      </c>
      <c r="H1" s="438" t="s">
        <v>2742</v>
      </c>
      <c r="I1" s="438" t="s">
        <v>2743</v>
      </c>
      <c r="J1" s="438" t="s">
        <v>2742</v>
      </c>
      <c r="K1" s="438" t="s">
        <v>2743</v>
      </c>
      <c r="L1" s="438" t="s">
        <v>2742</v>
      </c>
      <c r="M1" s="438" t="s">
        <v>2743</v>
      </c>
      <c r="N1" s="438" t="s">
        <v>2742</v>
      </c>
      <c r="O1" s="438" t="s">
        <v>2743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30125</v>
      </c>
      <c r="B2" s="481">
        <f t="shared" si="1"/>
        <v>25</v>
      </c>
      <c r="C2" s="438" t="s">
        <v>1995</v>
      </c>
      <c r="D2" s="635">
        <v>25</v>
      </c>
      <c r="E2" s="438" t="s">
        <v>2744</v>
      </c>
      <c r="H2" s="711">
        <v>505</v>
      </c>
      <c r="I2" s="635">
        <v>12625</v>
      </c>
      <c r="J2" s="711">
        <v>0</v>
      </c>
      <c r="K2" s="635">
        <v>0</v>
      </c>
      <c r="L2" s="711">
        <v>0</v>
      </c>
      <c r="M2" s="635">
        <v>0</v>
      </c>
      <c r="N2" s="711">
        <v>505</v>
      </c>
      <c r="O2" s="635">
        <v>12625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35225</v>
      </c>
      <c r="B3" s="481">
        <f t="shared" si="1"/>
        <v>25</v>
      </c>
      <c r="C3" s="438" t="s">
        <v>2004</v>
      </c>
      <c r="D3" s="635">
        <v>25</v>
      </c>
      <c r="E3" s="438" t="s">
        <v>2745</v>
      </c>
      <c r="H3" s="711">
        <v>0</v>
      </c>
      <c r="I3" s="635">
        <v>0</v>
      </c>
      <c r="J3" s="711">
        <v>339</v>
      </c>
      <c r="K3" s="635">
        <v>8475</v>
      </c>
      <c r="L3" s="711">
        <v>0</v>
      </c>
      <c r="M3" s="635">
        <v>0</v>
      </c>
      <c r="N3" s="711">
        <v>339</v>
      </c>
      <c r="O3" s="635">
        <v>8475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51025</v>
      </c>
      <c r="B4" s="481">
        <f t="shared" si="1"/>
        <v>25</v>
      </c>
      <c r="C4" s="438" t="s">
        <v>2746</v>
      </c>
      <c r="D4" s="635">
        <v>25</v>
      </c>
      <c r="E4" s="438" t="s">
        <v>2747</v>
      </c>
      <c r="H4" s="711">
        <v>348</v>
      </c>
      <c r="I4" s="635">
        <v>8700</v>
      </c>
      <c r="J4" s="711">
        <v>10</v>
      </c>
      <c r="K4" s="635">
        <v>250</v>
      </c>
      <c r="L4" s="711">
        <v>835</v>
      </c>
      <c r="M4" s="635">
        <v>20875</v>
      </c>
      <c r="N4" s="711">
        <v>1193</v>
      </c>
      <c r="O4" s="635">
        <v>29825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511B25</v>
      </c>
      <c r="B5" s="481">
        <f t="shared" si="1"/>
        <v>25</v>
      </c>
      <c r="C5" s="438" t="s">
        <v>95</v>
      </c>
      <c r="D5" s="635">
        <v>25</v>
      </c>
      <c r="E5" s="438" t="s">
        <v>2748</v>
      </c>
      <c r="H5" s="711">
        <v>646</v>
      </c>
      <c r="I5" s="635">
        <v>16150</v>
      </c>
      <c r="J5" s="711">
        <v>0</v>
      </c>
      <c r="K5" s="635">
        <v>0</v>
      </c>
      <c r="L5" s="711">
        <v>0</v>
      </c>
      <c r="M5" s="635">
        <v>0</v>
      </c>
      <c r="N5" s="711">
        <v>646</v>
      </c>
      <c r="O5" s="635">
        <v>16150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511NFP3550</v>
      </c>
      <c r="B6" s="481">
        <f t="shared" si="1"/>
        <v>50</v>
      </c>
      <c r="C6" s="438" t="s">
        <v>129</v>
      </c>
      <c r="D6" s="635">
        <v>50</v>
      </c>
      <c r="E6" s="438" t="s">
        <v>2749</v>
      </c>
      <c r="F6" s="438" t="s">
        <v>2730</v>
      </c>
      <c r="H6" s="711">
        <v>756</v>
      </c>
      <c r="I6" s="635">
        <v>37800</v>
      </c>
      <c r="J6" s="711">
        <v>800</v>
      </c>
      <c r="K6" s="635">
        <v>40000</v>
      </c>
      <c r="L6" s="711">
        <v>977</v>
      </c>
      <c r="M6" s="635">
        <v>48850</v>
      </c>
      <c r="N6" s="711">
        <v>2533</v>
      </c>
      <c r="O6" s="635">
        <v>126650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549F50</v>
      </c>
      <c r="B7" s="481">
        <f t="shared" si="1"/>
        <v>50</v>
      </c>
      <c r="C7" s="438" t="s">
        <v>104</v>
      </c>
      <c r="D7" s="635">
        <v>50</v>
      </c>
      <c r="E7" s="438" t="s">
        <v>2750</v>
      </c>
      <c r="H7" s="711">
        <v>0</v>
      </c>
      <c r="I7" s="635">
        <v>0</v>
      </c>
      <c r="J7" s="711">
        <v>358</v>
      </c>
      <c r="K7" s="635">
        <v>17900</v>
      </c>
      <c r="L7" s="711">
        <v>0</v>
      </c>
      <c r="M7" s="635">
        <v>0</v>
      </c>
      <c r="N7" s="711">
        <v>358</v>
      </c>
      <c r="O7" s="635">
        <v>17900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550S25</v>
      </c>
      <c r="B8" s="481">
        <f t="shared" si="1"/>
        <v>25</v>
      </c>
      <c r="C8" s="438" t="s">
        <v>10</v>
      </c>
      <c r="D8" s="635">
        <v>25</v>
      </c>
      <c r="E8" s="438" t="s">
        <v>2751</v>
      </c>
      <c r="H8" s="711">
        <v>534</v>
      </c>
      <c r="I8" s="635">
        <v>13350</v>
      </c>
      <c r="J8" s="711">
        <v>0</v>
      </c>
      <c r="K8" s="635">
        <v>0</v>
      </c>
      <c r="L8" s="711">
        <v>0</v>
      </c>
      <c r="M8" s="635">
        <v>0</v>
      </c>
      <c r="N8" s="711">
        <v>534</v>
      </c>
      <c r="O8" s="635">
        <v>13350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550SFS2550</v>
      </c>
      <c r="B9" s="481">
        <f t="shared" si="1"/>
        <v>50</v>
      </c>
      <c r="C9" s="438" t="s">
        <v>58</v>
      </c>
      <c r="D9" s="635">
        <v>50</v>
      </c>
      <c r="E9" s="438" t="s">
        <v>1842</v>
      </c>
      <c r="F9" s="438" t="s">
        <v>2680</v>
      </c>
      <c r="H9" s="711">
        <v>0</v>
      </c>
      <c r="I9" s="635">
        <v>0</v>
      </c>
      <c r="J9" s="711">
        <v>0</v>
      </c>
      <c r="K9" s="635">
        <v>0</v>
      </c>
      <c r="L9" s="711">
        <v>1836</v>
      </c>
      <c r="M9" s="635">
        <v>91800</v>
      </c>
      <c r="N9" s="711">
        <v>1836</v>
      </c>
      <c r="O9" s="635">
        <v>91800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55125</v>
      </c>
      <c r="B10" s="481">
        <f t="shared" si="1"/>
        <v>25</v>
      </c>
      <c r="C10" s="438" t="s">
        <v>2069</v>
      </c>
      <c r="D10" s="635">
        <v>25</v>
      </c>
      <c r="E10" s="438" t="s">
        <v>2752</v>
      </c>
      <c r="H10" s="711">
        <v>0</v>
      </c>
      <c r="I10" s="635">
        <v>0</v>
      </c>
      <c r="J10" s="711">
        <v>311</v>
      </c>
      <c r="K10" s="635">
        <v>7775</v>
      </c>
      <c r="L10" s="711">
        <v>0</v>
      </c>
      <c r="M10" s="635">
        <v>0</v>
      </c>
      <c r="N10" s="711">
        <v>311</v>
      </c>
      <c r="O10" s="635">
        <v>7775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551FS5450</v>
      </c>
      <c r="B11" s="481">
        <f t="shared" si="1"/>
        <v>50</v>
      </c>
      <c r="C11" s="438" t="s">
        <v>54</v>
      </c>
      <c r="D11" s="635">
        <v>50</v>
      </c>
      <c r="E11" s="438" t="s">
        <v>2753</v>
      </c>
      <c r="F11" s="438" t="s">
        <v>2686</v>
      </c>
      <c r="H11" s="711">
        <v>0</v>
      </c>
      <c r="I11" s="635">
        <v>0</v>
      </c>
      <c r="J11" s="711">
        <v>0</v>
      </c>
      <c r="K11" s="635">
        <v>0</v>
      </c>
      <c r="L11" s="711">
        <v>543</v>
      </c>
      <c r="M11" s="635">
        <v>27150</v>
      </c>
      <c r="N11" s="711">
        <v>543</v>
      </c>
      <c r="O11" s="635">
        <v>27150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552FS9050</v>
      </c>
      <c r="B12" s="481">
        <f t="shared" si="1"/>
        <v>50</v>
      </c>
      <c r="C12" s="438" t="s">
        <v>24</v>
      </c>
      <c r="D12" s="635">
        <v>50</v>
      </c>
      <c r="E12" s="438" t="s">
        <v>2754</v>
      </c>
      <c r="F12" s="438" t="s">
        <v>1620</v>
      </c>
      <c r="H12" s="711">
        <v>1517</v>
      </c>
      <c r="I12" s="635">
        <v>75850</v>
      </c>
      <c r="J12" s="711">
        <v>127</v>
      </c>
      <c r="K12" s="635">
        <v>6350</v>
      </c>
      <c r="L12" s="711">
        <v>5235</v>
      </c>
      <c r="M12" s="635">
        <v>261750</v>
      </c>
      <c r="N12" s="711">
        <v>6879</v>
      </c>
      <c r="O12" s="635">
        <v>343950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552SFS9050</v>
      </c>
      <c r="B13" s="481">
        <f t="shared" si="1"/>
        <v>50</v>
      </c>
      <c r="C13" s="438" t="s">
        <v>23</v>
      </c>
      <c r="D13" s="635">
        <v>50</v>
      </c>
      <c r="E13" s="438" t="s">
        <v>2755</v>
      </c>
      <c r="F13" s="438" t="s">
        <v>1620</v>
      </c>
      <c r="H13" s="711">
        <v>0</v>
      </c>
      <c r="I13" s="635">
        <v>0</v>
      </c>
      <c r="J13" s="711">
        <v>359</v>
      </c>
      <c r="K13" s="635">
        <v>17950</v>
      </c>
      <c r="L13" s="711">
        <v>2160</v>
      </c>
      <c r="M13" s="635">
        <v>108000</v>
      </c>
      <c r="N13" s="711">
        <v>2519</v>
      </c>
      <c r="O13" s="635">
        <v>125950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553MF50</v>
      </c>
      <c r="B14" s="481">
        <f t="shared" si="1"/>
        <v>50</v>
      </c>
      <c r="C14" s="438" t="s">
        <v>125</v>
      </c>
      <c r="D14" s="635">
        <v>50</v>
      </c>
      <c r="E14" s="438" t="s">
        <v>2756</v>
      </c>
      <c r="H14" s="711">
        <v>216</v>
      </c>
      <c r="I14" s="635">
        <v>10800</v>
      </c>
      <c r="J14" s="711">
        <v>0</v>
      </c>
      <c r="K14" s="635">
        <v>0</v>
      </c>
      <c r="L14" s="711">
        <v>0</v>
      </c>
      <c r="M14" s="635">
        <v>0</v>
      </c>
      <c r="N14" s="711">
        <v>216</v>
      </c>
      <c r="O14" s="635">
        <v>10800</v>
      </c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56225</v>
      </c>
      <c r="B15" s="481">
        <f t="shared" si="1"/>
        <v>25</v>
      </c>
      <c r="C15" s="438" t="s">
        <v>2105</v>
      </c>
      <c r="D15" s="635">
        <v>25</v>
      </c>
      <c r="E15" s="438" t="s">
        <v>2757</v>
      </c>
      <c r="H15" s="711">
        <v>0</v>
      </c>
      <c r="I15" s="635">
        <v>0</v>
      </c>
      <c r="J15" s="711">
        <v>0</v>
      </c>
      <c r="K15" s="635">
        <v>0</v>
      </c>
      <c r="L15" s="711">
        <v>550</v>
      </c>
      <c r="M15" s="635">
        <v>13750</v>
      </c>
      <c r="N15" s="711">
        <v>550</v>
      </c>
      <c r="O15" s="635">
        <v>13750</v>
      </c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562PFS9050</v>
      </c>
      <c r="B16" s="481">
        <f t="shared" si="1"/>
        <v>50</v>
      </c>
      <c r="C16" s="438" t="s">
        <v>84</v>
      </c>
      <c r="D16" s="635">
        <v>50</v>
      </c>
      <c r="E16" s="438" t="s">
        <v>2758</v>
      </c>
      <c r="F16" s="438" t="s">
        <v>1620</v>
      </c>
      <c r="H16" s="711">
        <v>1308</v>
      </c>
      <c r="I16" s="635">
        <v>65400</v>
      </c>
      <c r="J16" s="711">
        <v>0</v>
      </c>
      <c r="K16" s="635">
        <v>0</v>
      </c>
      <c r="L16" s="711">
        <v>0</v>
      </c>
      <c r="M16" s="635">
        <v>0</v>
      </c>
      <c r="N16" s="711">
        <v>1308</v>
      </c>
      <c r="O16" s="635">
        <v>65400</v>
      </c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56625</v>
      </c>
      <c r="B17" s="481">
        <f t="shared" si="1"/>
        <v>25</v>
      </c>
      <c r="C17" s="438" t="s">
        <v>1984</v>
      </c>
      <c r="D17" s="635">
        <v>25</v>
      </c>
      <c r="E17" s="438" t="s">
        <v>2759</v>
      </c>
      <c r="H17" s="711">
        <v>0</v>
      </c>
      <c r="I17" s="635">
        <v>0</v>
      </c>
      <c r="J17" s="711">
        <v>202</v>
      </c>
      <c r="K17" s="635">
        <v>5050</v>
      </c>
      <c r="L17" s="711">
        <v>0</v>
      </c>
      <c r="M17" s="635">
        <v>0</v>
      </c>
      <c r="N17" s="711">
        <v>202</v>
      </c>
      <c r="O17" s="635">
        <v>5050</v>
      </c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566FS3150</v>
      </c>
      <c r="B18" s="481">
        <f t="shared" si="1"/>
        <v>50</v>
      </c>
      <c r="C18" s="438" t="s">
        <v>49</v>
      </c>
      <c r="D18" s="635">
        <v>50</v>
      </c>
      <c r="E18" s="438" t="s">
        <v>2760</v>
      </c>
      <c r="F18" s="438" t="s">
        <v>2685</v>
      </c>
      <c r="H18" s="711">
        <v>0</v>
      </c>
      <c r="I18" s="635">
        <v>0</v>
      </c>
      <c r="J18" s="711">
        <v>408</v>
      </c>
      <c r="K18" s="635">
        <v>20400</v>
      </c>
      <c r="L18" s="711">
        <v>0</v>
      </c>
      <c r="M18" s="635">
        <v>0</v>
      </c>
      <c r="N18" s="711">
        <v>408</v>
      </c>
      <c r="O18" s="635">
        <v>20400</v>
      </c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567SFS2550</v>
      </c>
      <c r="B19" s="481">
        <f t="shared" si="1"/>
        <v>50</v>
      </c>
      <c r="C19" s="438" t="s">
        <v>50</v>
      </c>
      <c r="D19" s="635">
        <v>50</v>
      </c>
      <c r="E19" s="438" t="s">
        <v>2761</v>
      </c>
      <c r="F19" s="438" t="s">
        <v>2680</v>
      </c>
      <c r="H19" s="711">
        <v>376</v>
      </c>
      <c r="I19" s="635">
        <v>18800</v>
      </c>
      <c r="J19" s="711">
        <v>99</v>
      </c>
      <c r="K19" s="635">
        <v>4950</v>
      </c>
      <c r="L19" s="711">
        <v>0</v>
      </c>
      <c r="M19" s="635">
        <v>0</v>
      </c>
      <c r="N19" s="711">
        <v>475</v>
      </c>
      <c r="O19" s="635">
        <v>23750</v>
      </c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567SFS3150</v>
      </c>
      <c r="B20" s="481">
        <f t="shared" si="1"/>
        <v>50</v>
      </c>
      <c r="C20" s="438" t="s">
        <v>50</v>
      </c>
      <c r="D20" s="635">
        <v>50</v>
      </c>
      <c r="E20" s="438" t="s">
        <v>2761</v>
      </c>
      <c r="F20" s="438" t="s">
        <v>2685</v>
      </c>
      <c r="H20" s="711">
        <v>756</v>
      </c>
      <c r="I20" s="635">
        <v>37800</v>
      </c>
      <c r="J20" s="711">
        <v>1418</v>
      </c>
      <c r="K20" s="635">
        <v>70900</v>
      </c>
      <c r="L20" s="711">
        <v>0</v>
      </c>
      <c r="M20" s="635">
        <v>0</v>
      </c>
      <c r="N20" s="711">
        <v>2174</v>
      </c>
      <c r="O20" s="635">
        <v>108700</v>
      </c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59425</v>
      </c>
      <c r="B21" s="481">
        <f t="shared" si="1"/>
        <v>25</v>
      </c>
      <c r="C21" s="438" t="s">
        <v>2123</v>
      </c>
      <c r="D21" s="635">
        <v>25</v>
      </c>
      <c r="E21" s="438" t="s">
        <v>2762</v>
      </c>
      <c r="H21" s="711">
        <v>110</v>
      </c>
      <c r="I21" s="635">
        <v>2750</v>
      </c>
      <c r="J21" s="711">
        <v>343</v>
      </c>
      <c r="K21" s="635">
        <v>8575</v>
      </c>
      <c r="L21" s="711">
        <v>0</v>
      </c>
      <c r="M21" s="635">
        <v>0</v>
      </c>
      <c r="N21" s="711">
        <v>453</v>
      </c>
      <c r="O21" s="635">
        <v>11325</v>
      </c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96625</v>
      </c>
      <c r="B22" s="481">
        <f t="shared" si="1"/>
        <v>25</v>
      </c>
      <c r="C22" s="438" t="s">
        <v>1986</v>
      </c>
      <c r="D22" s="635">
        <v>25</v>
      </c>
      <c r="E22" s="438" t="s">
        <v>2763</v>
      </c>
      <c r="H22" s="711">
        <v>0</v>
      </c>
      <c r="I22" s="635">
        <v>0</v>
      </c>
      <c r="J22" s="711">
        <v>437</v>
      </c>
      <c r="K22" s="635">
        <v>10925</v>
      </c>
      <c r="L22" s="711">
        <v>0</v>
      </c>
      <c r="M22" s="635">
        <v>0</v>
      </c>
      <c r="N22" s="711">
        <v>437</v>
      </c>
      <c r="O22" s="635">
        <v>10925</v>
      </c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HT1125</v>
      </c>
      <c r="B23" s="481">
        <f t="shared" si="1"/>
        <v>25</v>
      </c>
      <c r="C23" s="438" t="s">
        <v>19</v>
      </c>
      <c r="D23" s="635">
        <v>25</v>
      </c>
      <c r="E23" s="438" t="s">
        <v>2764</v>
      </c>
      <c r="H23" s="711">
        <v>0</v>
      </c>
      <c r="I23" s="635">
        <v>0</v>
      </c>
      <c r="J23" s="711">
        <v>155</v>
      </c>
      <c r="K23" s="635">
        <v>3875</v>
      </c>
      <c r="L23" s="711">
        <v>0</v>
      </c>
      <c r="M23" s="635">
        <v>0</v>
      </c>
      <c r="N23" s="711">
        <v>155</v>
      </c>
      <c r="O23" s="635">
        <v>3875</v>
      </c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HT11GP25</v>
      </c>
      <c r="B24" s="481">
        <f t="shared" si="1"/>
        <v>25</v>
      </c>
      <c r="C24" s="438" t="s">
        <v>1356</v>
      </c>
      <c r="D24" s="635">
        <v>25</v>
      </c>
      <c r="E24" s="438" t="s">
        <v>2765</v>
      </c>
      <c r="H24" s="711">
        <v>0</v>
      </c>
      <c r="I24" s="635">
        <v>0</v>
      </c>
      <c r="J24" s="711">
        <v>271</v>
      </c>
      <c r="K24" s="635">
        <v>6775</v>
      </c>
      <c r="L24" s="711">
        <v>0</v>
      </c>
      <c r="M24" s="635">
        <v>0</v>
      </c>
      <c r="N24" s="711">
        <v>271</v>
      </c>
      <c r="O24" s="635">
        <v>6775</v>
      </c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HT12S25</v>
      </c>
      <c r="B25" s="481">
        <f t="shared" si="1"/>
        <v>25</v>
      </c>
      <c r="C25" s="438" t="s">
        <v>55</v>
      </c>
      <c r="D25" s="635">
        <v>25</v>
      </c>
      <c r="E25" s="438" t="s">
        <v>2766</v>
      </c>
      <c r="H25" s="711">
        <v>133</v>
      </c>
      <c r="I25" s="635">
        <v>3325</v>
      </c>
      <c r="J25" s="711">
        <v>4</v>
      </c>
      <c r="K25" s="635">
        <v>100</v>
      </c>
      <c r="L25" s="711">
        <v>0</v>
      </c>
      <c r="M25" s="635">
        <v>0</v>
      </c>
      <c r="N25" s="711">
        <v>137</v>
      </c>
      <c r="O25" s="635">
        <v>3425</v>
      </c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HG1625</v>
      </c>
      <c r="B26" s="481">
        <f t="shared" si="1"/>
        <v>25</v>
      </c>
      <c r="C26" s="438" t="s">
        <v>51</v>
      </c>
      <c r="D26" s="635">
        <v>25</v>
      </c>
      <c r="E26" s="438" t="s">
        <v>2767</v>
      </c>
      <c r="H26" s="711">
        <v>0</v>
      </c>
      <c r="I26" s="635">
        <v>0</v>
      </c>
      <c r="J26" s="711">
        <v>1020</v>
      </c>
      <c r="K26" s="635">
        <v>25500</v>
      </c>
      <c r="L26" s="711">
        <v>0</v>
      </c>
      <c r="M26" s="635">
        <v>0</v>
      </c>
      <c r="N26" s="711">
        <v>1020</v>
      </c>
      <c r="O26" s="635">
        <v>25500</v>
      </c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695125</v>
      </c>
      <c r="B27" s="481">
        <f t="shared" si="1"/>
        <v>25</v>
      </c>
      <c r="C27" s="438" t="s">
        <v>2768</v>
      </c>
      <c r="D27" s="635">
        <v>25</v>
      </c>
      <c r="E27" s="438" t="s">
        <v>2769</v>
      </c>
      <c r="H27" s="711">
        <v>0</v>
      </c>
      <c r="I27" s="635">
        <v>0</v>
      </c>
      <c r="J27" s="711">
        <v>220</v>
      </c>
      <c r="K27" s="635">
        <v>5500</v>
      </c>
      <c r="L27" s="711">
        <v>478</v>
      </c>
      <c r="M27" s="635">
        <v>11950</v>
      </c>
      <c r="N27" s="711">
        <v>698</v>
      </c>
      <c r="O27" s="635">
        <v>17450</v>
      </c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695225</v>
      </c>
      <c r="B28" s="481">
        <f t="shared" si="1"/>
        <v>25</v>
      </c>
      <c r="C28" s="438" t="s">
        <v>2250</v>
      </c>
      <c r="D28" s="635">
        <v>25</v>
      </c>
      <c r="E28" s="438" t="s">
        <v>2770</v>
      </c>
      <c r="H28" s="711">
        <v>0</v>
      </c>
      <c r="I28" s="635">
        <v>0</v>
      </c>
      <c r="J28" s="711">
        <v>0</v>
      </c>
      <c r="K28" s="635">
        <v>0</v>
      </c>
      <c r="L28" s="711">
        <v>659</v>
      </c>
      <c r="M28" s="635">
        <v>16475</v>
      </c>
      <c r="N28" s="711">
        <v>659</v>
      </c>
      <c r="O28" s="635">
        <v>16475</v>
      </c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699125</v>
      </c>
      <c r="B29" s="481">
        <f t="shared" si="1"/>
        <v>25</v>
      </c>
      <c r="C29" s="438" t="s">
        <v>2256</v>
      </c>
      <c r="D29" s="635">
        <v>25</v>
      </c>
      <c r="E29" s="438" t="s">
        <v>2771</v>
      </c>
      <c r="H29" s="711">
        <v>0</v>
      </c>
      <c r="I29" s="635">
        <v>0</v>
      </c>
      <c r="J29" s="711">
        <v>0</v>
      </c>
      <c r="K29" s="635">
        <v>0</v>
      </c>
      <c r="L29" s="711">
        <v>250</v>
      </c>
      <c r="M29" s="635">
        <v>6250</v>
      </c>
      <c r="N29" s="711">
        <v>250</v>
      </c>
      <c r="O29" s="635">
        <v>6250</v>
      </c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699525</v>
      </c>
      <c r="B30" s="481">
        <f t="shared" si="1"/>
        <v>25</v>
      </c>
      <c r="C30" s="438" t="s">
        <v>2259</v>
      </c>
      <c r="D30" s="635">
        <v>25</v>
      </c>
      <c r="E30" s="438" t="s">
        <v>2772</v>
      </c>
      <c r="H30" s="711">
        <v>0</v>
      </c>
      <c r="I30" s="635">
        <v>0</v>
      </c>
      <c r="J30" s="711">
        <v>330</v>
      </c>
      <c r="K30" s="635">
        <v>8250</v>
      </c>
      <c r="L30" s="711">
        <v>365</v>
      </c>
      <c r="M30" s="635">
        <v>9125</v>
      </c>
      <c r="N30" s="711">
        <v>695</v>
      </c>
      <c r="O30" s="635">
        <v>17375</v>
      </c>
    </row>
    <row r="31" spans="1:28">
      <c r="A31" s="480" t="str">
        <f t="shared" si="0"/>
        <v>Grand Total72117205</v>
      </c>
      <c r="B31" s="481">
        <f t="shared" si="1"/>
        <v>7205</v>
      </c>
      <c r="C31" s="438" t="s">
        <v>2773</v>
      </c>
      <c r="D31" s="912">
        <v>7205</v>
      </c>
      <c r="E31" s="635">
        <v>303350</v>
      </c>
      <c r="F31" s="912">
        <v>7211</v>
      </c>
      <c r="G31" s="635">
        <v>269500</v>
      </c>
      <c r="H31" s="912">
        <v>13888</v>
      </c>
      <c r="I31" s="635">
        <v>615975</v>
      </c>
      <c r="J31" s="912">
        <v>28304</v>
      </c>
      <c r="K31" s="635">
        <v>1188825</v>
      </c>
    </row>
    <row r="32" spans="1:28">
      <c r="A32" s="480" t="str">
        <f t="shared" si="0"/>
        <v>0</v>
      </c>
      <c r="B32" s="481">
        <f t="shared" si="1"/>
        <v>0</v>
      </c>
      <c r="D32" s="635"/>
      <c r="H32" s="711"/>
      <c r="I32" s="635"/>
      <c r="J32" s="711"/>
      <c r="K32" s="635"/>
      <c r="L32" s="711"/>
      <c r="M32" s="635"/>
      <c r="N32" s="711"/>
      <c r="O32" s="635"/>
    </row>
    <row r="33" spans="1:15">
      <c r="A33" s="480" t="str">
        <f t="shared" ref="A33:A49" si="2">C33&amp;F33&amp;B33</f>
        <v>0</v>
      </c>
      <c r="B33" s="481">
        <f t="shared" ref="B33:B49" si="3">D33</f>
        <v>0</v>
      </c>
      <c r="D33" s="635"/>
      <c r="H33" s="711"/>
      <c r="I33" s="635"/>
      <c r="J33" s="711"/>
      <c r="K33" s="635"/>
      <c r="L33" s="711"/>
      <c r="M33" s="635"/>
      <c r="N33" s="711"/>
      <c r="O33" s="635"/>
    </row>
    <row r="34" spans="1:15">
      <c r="A34" s="480" t="str">
        <f t="shared" si="2"/>
        <v>0</v>
      </c>
      <c r="B34" s="481">
        <f t="shared" si="3"/>
        <v>0</v>
      </c>
      <c r="D34" s="635"/>
      <c r="H34" s="711"/>
      <c r="I34" s="635"/>
      <c r="J34" s="711"/>
      <c r="K34" s="635"/>
      <c r="L34" s="711"/>
      <c r="M34" s="635"/>
      <c r="N34" s="711"/>
      <c r="O34" s="635"/>
    </row>
    <row r="35" spans="1:15">
      <c r="A35" s="480" t="str">
        <f t="shared" si="2"/>
        <v>0</v>
      </c>
      <c r="B35" s="481">
        <f t="shared" si="3"/>
        <v>0</v>
      </c>
      <c r="D35" s="635"/>
      <c r="H35" s="711"/>
      <c r="I35" s="635"/>
      <c r="J35" s="711"/>
      <c r="K35" s="635"/>
      <c r="L35" s="711"/>
      <c r="M35" s="635"/>
      <c r="N35" s="711"/>
      <c r="O35" s="635"/>
    </row>
    <row r="36" spans="1:15">
      <c r="A36" s="480" t="str">
        <f t="shared" si="2"/>
        <v>0</v>
      </c>
      <c r="B36" s="481">
        <f t="shared" si="3"/>
        <v>0</v>
      </c>
      <c r="D36" s="635"/>
      <c r="H36" s="711"/>
      <c r="I36" s="635"/>
      <c r="J36" s="711"/>
      <c r="K36" s="635"/>
      <c r="L36" s="711"/>
      <c r="M36" s="635"/>
      <c r="N36" s="711"/>
      <c r="O36" s="635"/>
    </row>
    <row r="37" spans="1:15">
      <c r="A37" s="480" t="str">
        <f t="shared" si="2"/>
        <v>0</v>
      </c>
      <c r="B37" s="481">
        <f t="shared" si="3"/>
        <v>0</v>
      </c>
      <c r="D37" s="635"/>
      <c r="H37" s="711"/>
      <c r="I37" s="635"/>
      <c r="J37" s="711"/>
      <c r="K37" s="635"/>
      <c r="L37" s="711"/>
      <c r="M37" s="635"/>
      <c r="N37" s="711"/>
      <c r="O37" s="635"/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912"/>
      <c r="E44" s="635"/>
      <c r="F44" s="912"/>
      <c r="G44" s="635"/>
      <c r="H44" s="912"/>
      <c r="I44" s="635"/>
      <c r="J44" s="912"/>
      <c r="K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  <c r="N45" s="698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8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87"/>
      <c r="G3" s="988"/>
      <c r="H3" s="989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989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635"/>
      <c r="F5" s="438"/>
      <c r="G5" s="438"/>
      <c r="H5" s="438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438"/>
      <c r="F6" s="919"/>
      <c r="G6" s="711"/>
      <c r="H6" s="635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D28" sqref="D28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87"/>
      <c r="G2" s="988"/>
      <c r="H2" s="989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989"/>
      <c r="F3" s="438"/>
      <c r="G3" s="438"/>
      <c r="H3" s="438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438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E39" sqref="E39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438"/>
      <c r="J1" s="438"/>
      <c r="K1" s="438"/>
      <c r="L1" s="678" t="e">
        <f>+H1/F1</f>
        <v>#DIV/0!</v>
      </c>
      <c r="M1" s="930">
        <f>SUM(H:H)</f>
        <v>0</v>
      </c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/>
      </c>
      <c r="B2" s="619" t="str">
        <f t="shared" ref="B2:B14" si="0">IF(MID(C2,10,2)="99",C2&amp;E2,LEFT(C2,14))</f>
        <v/>
      </c>
      <c r="C2" s="438"/>
      <c r="D2" s="438"/>
      <c r="E2" s="438"/>
      <c r="F2" s="865"/>
      <c r="G2" s="438"/>
      <c r="H2" s="635"/>
      <c r="I2" s="438" t="s">
        <v>1975</v>
      </c>
      <c r="J2" s="438"/>
      <c r="K2" s="438"/>
      <c r="L2" s="678" t="e">
        <f>+H2/F2</f>
        <v>#DIV/0!</v>
      </c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/>
      </c>
      <c r="C3" s="438"/>
      <c r="D3" s="438"/>
      <c r="E3" s="438"/>
      <c r="F3" s="865"/>
      <c r="G3" s="438"/>
      <c r="H3" s="635"/>
      <c r="I3" s="438"/>
      <c r="J3" s="438" t="s">
        <v>1406</v>
      </c>
      <c r="K3" s="438" t="s">
        <v>1407</v>
      </c>
      <c r="L3" s="678" t="e">
        <f>+H3/F3</f>
        <v>#DIV/0!</v>
      </c>
      <c r="M3" s="438" t="s">
        <v>1976</v>
      </c>
      <c r="N3" s="438" t="s">
        <v>1977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438"/>
      <c r="F17" s="865"/>
      <c r="G17" s="438"/>
      <c r="H17" s="635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2446</v>
      </c>
      <c r="B1" s="917" t="s">
        <v>2452</v>
      </c>
      <c r="C1" s="916" t="s">
        <v>2447</v>
      </c>
      <c r="D1" s="916" t="s">
        <v>2451</v>
      </c>
      <c r="E1" s="916" t="s">
        <v>2448</v>
      </c>
      <c r="F1" s="916" t="s">
        <v>3</v>
      </c>
      <c r="G1" s="916" t="s">
        <v>2453</v>
      </c>
      <c r="H1" s="916" t="s">
        <v>2454</v>
      </c>
      <c r="I1" s="916" t="s">
        <v>2455</v>
      </c>
      <c r="J1" s="917" t="s">
        <v>2449</v>
      </c>
      <c r="K1" s="917" t="s">
        <v>2456</v>
      </c>
      <c r="L1" s="917" t="s">
        <v>2450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1991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1990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1992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1990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1991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1990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1993</v>
      </c>
      <c r="U90" t="s">
        <v>1991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1994</v>
      </c>
      <c r="U91" t="s">
        <v>1990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2311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1989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1988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1987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1978</v>
      </c>
      <c r="M299" s="439" t="s">
        <v>1978</v>
      </c>
      <c r="N299" s="438" t="s">
        <v>1979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1982</v>
      </c>
      <c r="N304" s="438" t="s">
        <v>1980</v>
      </c>
      <c r="O304" s="437" t="str">
        <f t="shared" si="41"/>
        <v>125</v>
      </c>
      <c r="P304" t="str">
        <f t="shared" si="42"/>
        <v>GD1525</v>
      </c>
      <c r="Q304" s="16" t="s">
        <v>1981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2312</v>
      </c>
      <c r="B2" s="497" t="s">
        <v>1995</v>
      </c>
      <c r="C2" t="s">
        <v>1996</v>
      </c>
      <c r="D2" s="17" t="s">
        <v>1997</v>
      </c>
      <c r="E2" s="511" t="s">
        <v>1998</v>
      </c>
      <c r="F2" s="511"/>
      <c r="G2" s="14"/>
      <c r="M2" s="615"/>
    </row>
    <row r="3" spans="1:13">
      <c r="A3" t="s">
        <v>2313</v>
      </c>
      <c r="B3" s="497">
        <v>302</v>
      </c>
      <c r="C3" t="s">
        <v>1999</v>
      </c>
      <c r="D3" s="17" t="s">
        <v>1997</v>
      </c>
      <c r="E3" s="511" t="s">
        <v>2000</v>
      </c>
      <c r="F3" s="511"/>
      <c r="G3" s="14"/>
      <c r="M3" s="615"/>
    </row>
    <row r="4" spans="1:13">
      <c r="A4" t="s">
        <v>2314</v>
      </c>
      <c r="B4" s="497" t="s">
        <v>2001</v>
      </c>
      <c r="C4" t="s">
        <v>2002</v>
      </c>
      <c r="D4" s="17" t="s">
        <v>1997</v>
      </c>
      <c r="E4" s="511" t="s">
        <v>2003</v>
      </c>
      <c r="G4" s="14"/>
      <c r="M4" s="615"/>
    </row>
    <row r="5" spans="1:13">
      <c r="A5" t="s">
        <v>2315</v>
      </c>
      <c r="B5" s="497" t="s">
        <v>2004</v>
      </c>
      <c r="C5" t="s">
        <v>2005</v>
      </c>
      <c r="D5" s="17" t="s">
        <v>1997</v>
      </c>
      <c r="E5" s="511" t="s">
        <v>2006</v>
      </c>
      <c r="G5" s="14"/>
      <c r="M5" s="615"/>
    </row>
    <row r="6" spans="1:13">
      <c r="A6" t="s">
        <v>2316</v>
      </c>
      <c r="B6" s="497">
        <v>384</v>
      </c>
      <c r="C6" t="s">
        <v>2007</v>
      </c>
      <c r="D6" s="17" t="s">
        <v>1997</v>
      </c>
      <c r="E6" s="511" t="s">
        <v>2008</v>
      </c>
      <c r="F6" s="511"/>
      <c r="G6" s="14"/>
      <c r="M6" s="615"/>
    </row>
    <row r="7" spans="1:13">
      <c r="A7" t="s">
        <v>2317</v>
      </c>
      <c r="B7" s="497" t="s">
        <v>950</v>
      </c>
      <c r="C7" t="s">
        <v>2009</v>
      </c>
      <c r="D7" s="17" t="s">
        <v>1997</v>
      </c>
      <c r="E7" s="511" t="s">
        <v>2010</v>
      </c>
      <c r="F7" s="511"/>
      <c r="G7" s="14"/>
      <c r="M7" s="615"/>
    </row>
    <row r="8" spans="1:13">
      <c r="A8" t="s">
        <v>2318</v>
      </c>
      <c r="B8" s="497">
        <v>510</v>
      </c>
      <c r="C8" t="s">
        <v>2011</v>
      </c>
      <c r="D8" s="17" t="s">
        <v>1997</v>
      </c>
      <c r="E8" s="511" t="s">
        <v>2012</v>
      </c>
      <c r="F8" s="511"/>
      <c r="G8" s="14"/>
      <c r="M8" s="615"/>
    </row>
    <row r="9" spans="1:13">
      <c r="A9" t="s">
        <v>2319</v>
      </c>
      <c r="B9" s="497" t="s">
        <v>1034</v>
      </c>
      <c r="C9" t="s">
        <v>2013</v>
      </c>
      <c r="D9" s="17">
        <v>25</v>
      </c>
      <c r="E9" s="511" t="s">
        <v>2014</v>
      </c>
      <c r="F9" s="511"/>
      <c r="G9" s="14"/>
      <c r="M9" s="615"/>
    </row>
    <row r="10" spans="1:13">
      <c r="A10" t="s">
        <v>2320</v>
      </c>
      <c r="B10" s="497" t="s">
        <v>110</v>
      </c>
      <c r="C10" t="s">
        <v>2015</v>
      </c>
      <c r="D10" s="17" t="s">
        <v>1997</v>
      </c>
      <c r="E10" s="511" t="s">
        <v>2016</v>
      </c>
      <c r="F10" s="511"/>
      <c r="G10" s="14"/>
      <c r="M10" s="615"/>
    </row>
    <row r="11" spans="1:13">
      <c r="A11" t="s">
        <v>2321</v>
      </c>
      <c r="B11" s="497" t="s">
        <v>2017</v>
      </c>
      <c r="C11" t="s">
        <v>2018</v>
      </c>
      <c r="D11" s="17" t="s">
        <v>1997</v>
      </c>
      <c r="E11" s="511" t="s">
        <v>2019</v>
      </c>
      <c r="F11" s="511"/>
      <c r="G11" s="14"/>
      <c r="M11" s="615"/>
    </row>
    <row r="12" spans="1:13">
      <c r="A12" t="s">
        <v>2322</v>
      </c>
      <c r="B12" s="497" t="s">
        <v>95</v>
      </c>
      <c r="C12" t="s">
        <v>2020</v>
      </c>
      <c r="D12" s="17" t="s">
        <v>1997</v>
      </c>
      <c r="E12" s="511" t="s">
        <v>2021</v>
      </c>
      <c r="F12" s="511"/>
      <c r="G12" s="14"/>
      <c r="M12" s="615"/>
    </row>
    <row r="13" spans="1:13">
      <c r="A13" t="s">
        <v>2323</v>
      </c>
      <c r="B13" s="497" t="s">
        <v>8</v>
      </c>
      <c r="C13" t="s">
        <v>2022</v>
      </c>
      <c r="D13" s="17" t="s">
        <v>1997</v>
      </c>
      <c r="E13" s="511" t="s">
        <v>2023</v>
      </c>
      <c r="F13" s="511"/>
      <c r="G13" s="14"/>
      <c r="M13" s="615"/>
    </row>
    <row r="14" spans="1:13">
      <c r="A14" t="s">
        <v>2324</v>
      </c>
      <c r="B14" s="497" t="s">
        <v>111</v>
      </c>
      <c r="C14" t="s">
        <v>2024</v>
      </c>
      <c r="D14" s="17" t="s">
        <v>1997</v>
      </c>
      <c r="E14" s="511" t="s">
        <v>2025</v>
      </c>
      <c r="F14" s="511"/>
      <c r="G14" s="14"/>
      <c r="M14" s="615"/>
    </row>
    <row r="15" spans="1:13">
      <c r="A15" t="s">
        <v>2325</v>
      </c>
      <c r="B15" s="497" t="s">
        <v>1926</v>
      </c>
      <c r="C15" t="s">
        <v>2026</v>
      </c>
      <c r="D15" s="17" t="s">
        <v>1997</v>
      </c>
      <c r="E15" s="511" t="s">
        <v>2027</v>
      </c>
      <c r="F15" s="511"/>
      <c r="G15" s="14"/>
      <c r="M15" s="615"/>
    </row>
    <row r="16" spans="1:13">
      <c r="A16" t="s">
        <v>2326</v>
      </c>
      <c r="B16" s="497" t="s">
        <v>1894</v>
      </c>
      <c r="C16" t="s">
        <v>2028</v>
      </c>
      <c r="D16" s="17" t="s">
        <v>1997</v>
      </c>
      <c r="E16" s="511" t="s">
        <v>2029</v>
      </c>
      <c r="F16" s="511"/>
      <c r="G16" s="14"/>
      <c r="M16" s="615"/>
    </row>
    <row r="17" spans="1:13">
      <c r="A17" t="s">
        <v>2327</v>
      </c>
      <c r="B17" s="497" t="s">
        <v>2030</v>
      </c>
      <c r="C17" t="s">
        <v>2031</v>
      </c>
      <c r="D17" s="17" t="s">
        <v>1997</v>
      </c>
      <c r="E17" s="511" t="s">
        <v>2032</v>
      </c>
      <c r="G17" s="14"/>
      <c r="M17" s="615"/>
    </row>
    <row r="18" spans="1:13">
      <c r="A18" t="s">
        <v>2328</v>
      </c>
      <c r="B18" s="497" t="s">
        <v>2033</v>
      </c>
      <c r="C18" t="s">
        <v>2034</v>
      </c>
      <c r="D18" s="17">
        <v>25</v>
      </c>
      <c r="E18" s="511" t="s">
        <v>2035</v>
      </c>
      <c r="F18" s="511"/>
      <c r="G18" s="14"/>
      <c r="M18" s="615"/>
    </row>
    <row r="19" spans="1:13">
      <c r="A19" t="s">
        <v>2329</v>
      </c>
      <c r="B19" s="497" t="s">
        <v>2036</v>
      </c>
      <c r="C19" t="s">
        <v>2037</v>
      </c>
      <c r="D19" s="17">
        <v>25</v>
      </c>
      <c r="E19" s="511" t="s">
        <v>2038</v>
      </c>
      <c r="F19" s="511"/>
      <c r="G19" s="14"/>
      <c r="M19" s="615"/>
    </row>
    <row r="20" spans="1:13">
      <c r="A20" t="s">
        <v>2330</v>
      </c>
      <c r="B20" s="497" t="s">
        <v>2039</v>
      </c>
      <c r="C20" t="s">
        <v>2040</v>
      </c>
      <c r="D20" s="17" t="s">
        <v>1997</v>
      </c>
      <c r="E20" s="511" t="s">
        <v>2041</v>
      </c>
      <c r="F20" s="511"/>
      <c r="G20" s="14"/>
      <c r="M20" s="615"/>
    </row>
    <row r="21" spans="1:13">
      <c r="A21" t="s">
        <v>2331</v>
      </c>
      <c r="B21" s="497" t="s">
        <v>2042</v>
      </c>
      <c r="C21" t="s">
        <v>2043</v>
      </c>
      <c r="D21" s="17">
        <v>25</v>
      </c>
      <c r="E21" s="511" t="s">
        <v>2044</v>
      </c>
      <c r="F21" s="511"/>
      <c r="G21" s="14"/>
      <c r="M21" s="615"/>
    </row>
    <row r="22" spans="1:13">
      <c r="A22" t="s">
        <v>2332</v>
      </c>
      <c r="B22" s="497" t="s">
        <v>2045</v>
      </c>
      <c r="C22" t="s">
        <v>2046</v>
      </c>
      <c r="D22" s="17" t="s">
        <v>1997</v>
      </c>
      <c r="E22" s="511" t="s">
        <v>2047</v>
      </c>
      <c r="F22" s="511"/>
      <c r="G22" s="14"/>
    </row>
    <row r="23" spans="1:13">
      <c r="A23" t="s">
        <v>2332</v>
      </c>
      <c r="B23" s="497" t="s">
        <v>2045</v>
      </c>
      <c r="C23" t="s">
        <v>2046</v>
      </c>
      <c r="D23" s="17" t="s">
        <v>1997</v>
      </c>
      <c r="E23" s="511" t="s">
        <v>2048</v>
      </c>
      <c r="G23" s="14"/>
    </row>
    <row r="24" spans="1:13">
      <c r="A24" t="s">
        <v>2333</v>
      </c>
      <c r="B24" s="497" t="s">
        <v>2049</v>
      </c>
      <c r="C24" t="s">
        <v>2050</v>
      </c>
      <c r="D24" s="17" t="s">
        <v>1997</v>
      </c>
      <c r="E24" s="511" t="s">
        <v>2051</v>
      </c>
      <c r="F24" s="511"/>
      <c r="G24" s="14"/>
    </row>
    <row r="25" spans="1:13">
      <c r="A25" t="s">
        <v>2334</v>
      </c>
      <c r="B25" s="497" t="s">
        <v>2052</v>
      </c>
      <c r="C25" t="s">
        <v>2053</v>
      </c>
      <c r="D25" s="17" t="s">
        <v>1997</v>
      </c>
      <c r="E25" s="511" t="s">
        <v>2054</v>
      </c>
      <c r="F25" s="511"/>
      <c r="G25" s="14"/>
    </row>
    <row r="26" spans="1:13">
      <c r="A26" t="s">
        <v>2335</v>
      </c>
      <c r="B26" s="497" t="s">
        <v>2055</v>
      </c>
      <c r="C26" t="s">
        <v>2056</v>
      </c>
      <c r="D26" s="17" t="s">
        <v>1997</v>
      </c>
      <c r="E26" s="511" t="s">
        <v>2057</v>
      </c>
      <c r="F26" s="511"/>
      <c r="G26" s="14"/>
    </row>
    <row r="27" spans="1:13">
      <c r="A27" t="s">
        <v>2336</v>
      </c>
      <c r="B27" s="497" t="s">
        <v>2058</v>
      </c>
      <c r="C27" t="s">
        <v>2059</v>
      </c>
      <c r="D27" s="17">
        <v>25</v>
      </c>
      <c r="E27" s="511" t="s">
        <v>2060</v>
      </c>
      <c r="F27" s="511"/>
      <c r="G27" s="14"/>
    </row>
    <row r="28" spans="1:13">
      <c r="A28" t="s">
        <v>2337</v>
      </c>
      <c r="B28" s="497" t="s">
        <v>2061</v>
      </c>
      <c r="C28" t="s">
        <v>2062</v>
      </c>
      <c r="D28" s="17" t="s">
        <v>1997</v>
      </c>
      <c r="E28" s="511" t="s">
        <v>2063</v>
      </c>
      <c r="G28" s="14"/>
    </row>
    <row r="29" spans="1:13">
      <c r="A29" t="s">
        <v>2338</v>
      </c>
      <c r="B29" s="497" t="s">
        <v>10</v>
      </c>
      <c r="C29" t="s">
        <v>2064</v>
      </c>
      <c r="D29" s="17" t="s">
        <v>1997</v>
      </c>
      <c r="E29" s="511" t="s">
        <v>2065</v>
      </c>
      <c r="F29" s="511"/>
      <c r="G29" s="14"/>
    </row>
    <row r="30" spans="1:13">
      <c r="A30" t="s">
        <v>2339</v>
      </c>
      <c r="B30" s="497" t="s">
        <v>2066</v>
      </c>
      <c r="C30" t="s">
        <v>2067</v>
      </c>
      <c r="D30" s="17" t="s">
        <v>1997</v>
      </c>
      <c r="E30" s="511" t="s">
        <v>2068</v>
      </c>
      <c r="G30" s="14"/>
    </row>
    <row r="31" spans="1:13">
      <c r="A31" t="s">
        <v>2340</v>
      </c>
      <c r="B31" s="497" t="s">
        <v>2069</v>
      </c>
      <c r="C31" t="s">
        <v>2070</v>
      </c>
      <c r="D31" s="17" t="s">
        <v>1997</v>
      </c>
      <c r="E31" s="511" t="s">
        <v>2071</v>
      </c>
      <c r="G31" s="14"/>
    </row>
    <row r="32" spans="1:13">
      <c r="A32" t="s">
        <v>2341</v>
      </c>
      <c r="B32" s="497" t="s">
        <v>1810</v>
      </c>
      <c r="C32" t="s">
        <v>2072</v>
      </c>
      <c r="D32" s="17" t="s">
        <v>1997</v>
      </c>
      <c r="E32" s="511" t="s">
        <v>2073</v>
      </c>
      <c r="F32" s="511"/>
      <c r="G32" s="14"/>
    </row>
    <row r="33" spans="1:13">
      <c r="A33" t="s">
        <v>2342</v>
      </c>
      <c r="B33" s="497" t="s">
        <v>2074</v>
      </c>
      <c r="C33" t="s">
        <v>2075</v>
      </c>
      <c r="D33" s="17" t="s">
        <v>1997</v>
      </c>
      <c r="E33" s="511" t="s">
        <v>2076</v>
      </c>
      <c r="G33" s="14"/>
    </row>
    <row r="34" spans="1:13">
      <c r="A34" t="s">
        <v>2343</v>
      </c>
      <c r="B34" s="497" t="s">
        <v>103</v>
      </c>
      <c r="C34" t="s">
        <v>2077</v>
      </c>
      <c r="D34" s="17" t="s">
        <v>1997</v>
      </c>
      <c r="E34" s="511" t="s">
        <v>2078</v>
      </c>
      <c r="G34" s="14"/>
    </row>
    <row r="35" spans="1:13">
      <c r="A35" t="s">
        <v>2344</v>
      </c>
      <c r="B35" s="497" t="s">
        <v>1983</v>
      </c>
      <c r="C35" t="s">
        <v>2079</v>
      </c>
      <c r="D35" s="17" t="s">
        <v>1997</v>
      </c>
      <c r="E35" s="511" t="s">
        <v>2080</v>
      </c>
      <c r="F35" s="511"/>
      <c r="G35" s="14"/>
    </row>
    <row r="36" spans="1:13">
      <c r="A36" t="s">
        <v>2345</v>
      </c>
      <c r="B36" s="497" t="s">
        <v>1864</v>
      </c>
      <c r="C36" t="s">
        <v>2081</v>
      </c>
      <c r="D36" s="17">
        <v>25</v>
      </c>
      <c r="E36" s="511" t="s">
        <v>2082</v>
      </c>
      <c r="F36" s="511"/>
      <c r="G36" s="14"/>
    </row>
    <row r="37" spans="1:13">
      <c r="A37" t="s">
        <v>2346</v>
      </c>
      <c r="B37" s="497" t="s">
        <v>2083</v>
      </c>
      <c r="C37" t="s">
        <v>2084</v>
      </c>
      <c r="D37" s="17" t="s">
        <v>1997</v>
      </c>
      <c r="E37" s="511" t="s">
        <v>2085</v>
      </c>
      <c r="F37" s="511"/>
      <c r="G37" s="14"/>
    </row>
    <row r="38" spans="1:13">
      <c r="A38" t="s">
        <v>2347</v>
      </c>
      <c r="B38" s="497" t="s">
        <v>123</v>
      </c>
      <c r="C38" t="s">
        <v>2086</v>
      </c>
      <c r="D38" s="17" t="s">
        <v>1997</v>
      </c>
      <c r="E38" s="511" t="s">
        <v>2087</v>
      </c>
      <c r="F38" s="511"/>
      <c r="G38" s="14"/>
    </row>
    <row r="39" spans="1:13">
      <c r="A39" t="s">
        <v>2348</v>
      </c>
      <c r="B39" s="497" t="s">
        <v>1384</v>
      </c>
      <c r="C39" t="s">
        <v>2088</v>
      </c>
      <c r="D39" s="17" t="s">
        <v>1997</v>
      </c>
      <c r="E39" s="511" t="s">
        <v>2089</v>
      </c>
      <c r="F39" s="511"/>
      <c r="G39" s="14"/>
    </row>
    <row r="40" spans="1:13">
      <c r="A40" t="s">
        <v>2349</v>
      </c>
      <c r="B40" s="497" t="s">
        <v>25</v>
      </c>
      <c r="C40" t="s">
        <v>2090</v>
      </c>
      <c r="D40" s="17">
        <v>25</v>
      </c>
      <c r="E40" s="511" t="s">
        <v>2091</v>
      </c>
      <c r="F40" s="511"/>
      <c r="G40" s="14"/>
      <c r="M40" s="615"/>
    </row>
    <row r="41" spans="1:13">
      <c r="A41" t="s">
        <v>2350</v>
      </c>
      <c r="B41" s="497" t="s">
        <v>2092</v>
      </c>
      <c r="C41" t="s">
        <v>2093</v>
      </c>
      <c r="D41" s="17" t="s">
        <v>1997</v>
      </c>
      <c r="E41" s="511" t="s">
        <v>2094</v>
      </c>
      <c r="F41" s="511"/>
      <c r="G41" s="14"/>
      <c r="M41" s="615"/>
    </row>
    <row r="42" spans="1:13">
      <c r="A42" t="s">
        <v>2351</v>
      </c>
      <c r="B42" s="497" t="s">
        <v>1330</v>
      </c>
      <c r="C42" t="s">
        <v>2095</v>
      </c>
      <c r="D42" s="17" t="s">
        <v>1997</v>
      </c>
      <c r="E42" s="511" t="s">
        <v>2096</v>
      </c>
      <c r="G42" s="14"/>
      <c r="M42" s="615"/>
    </row>
    <row r="43" spans="1:13">
      <c r="A43" t="s">
        <v>2352</v>
      </c>
      <c r="B43" s="497" t="s">
        <v>2097</v>
      </c>
      <c r="C43" t="s">
        <v>2098</v>
      </c>
      <c r="D43" s="17" t="s">
        <v>1997</v>
      </c>
      <c r="E43" s="511" t="s">
        <v>2099</v>
      </c>
      <c r="G43" s="14"/>
      <c r="M43" s="615"/>
    </row>
    <row r="44" spans="1:13">
      <c r="A44" t="s">
        <v>2353</v>
      </c>
      <c r="B44" s="497" t="s">
        <v>68</v>
      </c>
      <c r="C44" t="s">
        <v>2100</v>
      </c>
      <c r="D44" s="17" t="s">
        <v>1997</v>
      </c>
      <c r="E44" s="511" t="s">
        <v>2101</v>
      </c>
      <c r="F44" s="511"/>
      <c r="G44" s="14"/>
      <c r="M44" s="615"/>
    </row>
    <row r="45" spans="1:13">
      <c r="A45" t="s">
        <v>2354</v>
      </c>
      <c r="B45" s="497" t="s">
        <v>2102</v>
      </c>
      <c r="C45" t="s">
        <v>2103</v>
      </c>
      <c r="D45" s="17" t="s">
        <v>1997</v>
      </c>
      <c r="E45" s="511" t="s">
        <v>2104</v>
      </c>
      <c r="F45" s="511"/>
      <c r="G45" s="14"/>
      <c r="M45" s="615"/>
    </row>
    <row r="46" spans="1:13">
      <c r="A46" t="s">
        <v>2355</v>
      </c>
      <c r="B46" s="497" t="s">
        <v>2105</v>
      </c>
      <c r="C46" t="s">
        <v>2106</v>
      </c>
      <c r="D46" s="17" t="s">
        <v>1997</v>
      </c>
      <c r="E46" s="511" t="s">
        <v>2107</v>
      </c>
      <c r="F46" s="511"/>
      <c r="G46" s="14"/>
    </row>
    <row r="47" spans="1:13">
      <c r="A47" t="s">
        <v>2356</v>
      </c>
      <c r="B47" s="497" t="s">
        <v>102</v>
      </c>
      <c r="C47" t="s">
        <v>2108</v>
      </c>
      <c r="D47" s="17" t="s">
        <v>1997</v>
      </c>
      <c r="E47" s="14" t="s">
        <v>2109</v>
      </c>
      <c r="F47" s="511"/>
      <c r="G47" s="511"/>
    </row>
    <row r="48" spans="1:13">
      <c r="A48" t="s">
        <v>2357</v>
      </c>
      <c r="B48" s="497" t="s">
        <v>1984</v>
      </c>
      <c r="C48" t="s">
        <v>2110</v>
      </c>
      <c r="D48" s="17" t="s">
        <v>1997</v>
      </c>
      <c r="E48" t="s">
        <v>2111</v>
      </c>
      <c r="F48" s="511"/>
      <c r="G48" s="14"/>
    </row>
    <row r="49" spans="1:13">
      <c r="A49" t="s">
        <v>2358</v>
      </c>
      <c r="B49" s="497" t="s">
        <v>2112</v>
      </c>
      <c r="C49" t="s">
        <v>2113</v>
      </c>
      <c r="D49" s="17" t="s">
        <v>1997</v>
      </c>
      <c r="E49" s="511" t="s">
        <v>2114</v>
      </c>
      <c r="F49" s="511"/>
      <c r="G49" s="14"/>
      <c r="M49" s="615"/>
    </row>
    <row r="50" spans="1:13">
      <c r="A50" t="s">
        <v>2359</v>
      </c>
      <c r="B50" s="497" t="s">
        <v>60</v>
      </c>
      <c r="C50" t="s">
        <v>2115</v>
      </c>
      <c r="D50" s="17" t="s">
        <v>1997</v>
      </c>
      <c r="E50" s="511" t="s">
        <v>2116</v>
      </c>
      <c r="F50" s="511"/>
      <c r="G50" s="14"/>
      <c r="M50" s="615"/>
    </row>
    <row r="51" spans="1:13" ht="12" customHeight="1">
      <c r="A51" t="s">
        <v>2360</v>
      </c>
      <c r="B51" s="497" t="s">
        <v>2117</v>
      </c>
      <c r="C51" t="s">
        <v>2118</v>
      </c>
      <c r="D51" s="17" t="s">
        <v>1997</v>
      </c>
      <c r="E51" s="511" t="s">
        <v>2119</v>
      </c>
      <c r="F51" s="511"/>
      <c r="G51" s="14"/>
      <c r="M51" s="615"/>
    </row>
    <row r="52" spans="1:13">
      <c r="A52" t="s">
        <v>2361</v>
      </c>
      <c r="B52" s="497" t="s">
        <v>2120</v>
      </c>
      <c r="C52" t="s">
        <v>2121</v>
      </c>
      <c r="D52" s="17">
        <v>25</v>
      </c>
      <c r="E52" s="511" t="s">
        <v>2122</v>
      </c>
      <c r="G52" s="14"/>
      <c r="M52" s="615"/>
    </row>
    <row r="53" spans="1:13">
      <c r="A53" t="s">
        <v>2362</v>
      </c>
      <c r="B53" s="497" t="s">
        <v>2123</v>
      </c>
      <c r="C53" t="s">
        <v>2124</v>
      </c>
      <c r="D53" s="17" t="s">
        <v>1997</v>
      </c>
      <c r="E53" s="511" t="s">
        <v>2125</v>
      </c>
      <c r="G53" s="14"/>
      <c r="M53" s="615"/>
    </row>
    <row r="54" spans="1:13">
      <c r="A54" t="s">
        <v>2363</v>
      </c>
      <c r="B54" s="497" t="s">
        <v>1985</v>
      </c>
      <c r="C54" t="s">
        <v>2126</v>
      </c>
      <c r="D54" s="17" t="s">
        <v>1997</v>
      </c>
      <c r="E54" s="511" t="s">
        <v>2127</v>
      </c>
      <c r="G54" s="14"/>
      <c r="M54" s="615"/>
    </row>
    <row r="55" spans="1:13">
      <c r="A55" t="s">
        <v>2364</v>
      </c>
      <c r="B55" s="497" t="s">
        <v>1825</v>
      </c>
      <c r="C55" t="s">
        <v>2128</v>
      </c>
      <c r="D55" s="17" t="s">
        <v>1997</v>
      </c>
      <c r="E55" t="s">
        <v>2129</v>
      </c>
      <c r="G55" s="14"/>
    </row>
    <row r="56" spans="1:13">
      <c r="A56" t="s">
        <v>2365</v>
      </c>
      <c r="B56" s="497" t="s">
        <v>2052</v>
      </c>
      <c r="C56" t="s">
        <v>2130</v>
      </c>
      <c r="D56" s="17">
        <v>40</v>
      </c>
      <c r="E56" t="s">
        <v>2131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1997</v>
      </c>
      <c r="D59" s="17" t="s">
        <v>1997</v>
      </c>
      <c r="F59" s="511"/>
      <c r="G59" s="14"/>
    </row>
    <row r="60" spans="1:13">
      <c r="A60" t="s">
        <v>1997</v>
      </c>
      <c r="D60" s="17" t="s">
        <v>1997</v>
      </c>
      <c r="F60" s="511"/>
      <c r="G60" s="14"/>
    </row>
    <row r="61" spans="1:13">
      <c r="A61" t="s">
        <v>2366</v>
      </c>
      <c r="B61" s="497" t="s">
        <v>2132</v>
      </c>
      <c r="C61" t="s">
        <v>2133</v>
      </c>
      <c r="D61" s="17" t="s">
        <v>1997</v>
      </c>
      <c r="E61" t="s">
        <v>2134</v>
      </c>
      <c r="F61" s="511"/>
      <c r="G61" s="14"/>
    </row>
    <row r="62" spans="1:13">
      <c r="A62" t="s">
        <v>2367</v>
      </c>
      <c r="B62" s="497" t="s">
        <v>139</v>
      </c>
      <c r="C62" t="s">
        <v>2135</v>
      </c>
      <c r="D62" s="17" t="s">
        <v>1997</v>
      </c>
      <c r="E62" t="s">
        <v>2136</v>
      </c>
      <c r="F62" s="511"/>
      <c r="G62" s="14"/>
    </row>
    <row r="63" spans="1:13">
      <c r="A63" t="s">
        <v>2368</v>
      </c>
      <c r="B63" s="497" t="s">
        <v>2137</v>
      </c>
      <c r="C63" t="s">
        <v>2138</v>
      </c>
      <c r="D63" s="17" t="s">
        <v>1997</v>
      </c>
      <c r="E63" t="s">
        <v>2139</v>
      </c>
      <c r="F63" s="511"/>
      <c r="G63" s="14"/>
    </row>
    <row r="64" spans="1:13">
      <c r="A64" t="s">
        <v>2369</v>
      </c>
      <c r="B64" s="497" t="s">
        <v>2140</v>
      </c>
      <c r="C64" t="s">
        <v>2141</v>
      </c>
      <c r="D64" s="17" t="s">
        <v>1997</v>
      </c>
      <c r="E64" t="s">
        <v>2142</v>
      </c>
      <c r="G64" s="14"/>
    </row>
    <row r="65" spans="1:7">
      <c r="A65" t="s">
        <v>2370</v>
      </c>
      <c r="B65" s="497" t="s">
        <v>2143</v>
      </c>
      <c r="C65" t="s">
        <v>2144</v>
      </c>
      <c r="D65" s="17" t="s">
        <v>1997</v>
      </c>
      <c r="E65" t="s">
        <v>2145</v>
      </c>
      <c r="F65" s="511"/>
      <c r="G65" s="14"/>
    </row>
    <row r="66" spans="1:7">
      <c r="A66" t="s">
        <v>2371</v>
      </c>
      <c r="B66" s="497" t="s">
        <v>2146</v>
      </c>
      <c r="C66" t="s">
        <v>2147</v>
      </c>
      <c r="D66" s="17" t="s">
        <v>1997</v>
      </c>
      <c r="E66" t="s">
        <v>2148</v>
      </c>
      <c r="F66" s="511"/>
      <c r="G66" s="14"/>
    </row>
    <row r="67" spans="1:7">
      <c r="A67" t="s">
        <v>2372</v>
      </c>
      <c r="B67" s="497" t="s">
        <v>2149</v>
      </c>
      <c r="C67" t="s">
        <v>2150</v>
      </c>
      <c r="D67" s="17" t="s">
        <v>1997</v>
      </c>
      <c r="E67" t="s">
        <v>2151</v>
      </c>
      <c r="G67" s="14"/>
    </row>
    <row r="68" spans="1:7">
      <c r="A68" t="s">
        <v>2373</v>
      </c>
      <c r="B68" s="497" t="s">
        <v>124</v>
      </c>
      <c r="C68" t="s">
        <v>2152</v>
      </c>
      <c r="D68" s="17" t="s">
        <v>1997</v>
      </c>
      <c r="E68" t="s">
        <v>2153</v>
      </c>
      <c r="F68" s="511"/>
      <c r="G68" s="14"/>
    </row>
    <row r="69" spans="1:7">
      <c r="A69" t="s">
        <v>2374</v>
      </c>
      <c r="B69" s="497" t="s">
        <v>47</v>
      </c>
      <c r="C69" t="s">
        <v>2154</v>
      </c>
      <c r="D69" s="17" t="s">
        <v>1997</v>
      </c>
      <c r="E69" t="s">
        <v>2155</v>
      </c>
      <c r="F69" s="511"/>
      <c r="G69" s="14"/>
    </row>
    <row r="70" spans="1:7">
      <c r="A70" t="s">
        <v>2375</v>
      </c>
      <c r="B70" s="497" t="s">
        <v>2156</v>
      </c>
      <c r="C70" t="s">
        <v>2157</v>
      </c>
      <c r="D70" s="17" t="s">
        <v>1997</v>
      </c>
      <c r="E70" t="s">
        <v>2158</v>
      </c>
      <c r="F70" s="511"/>
      <c r="G70" s="14"/>
    </row>
    <row r="71" spans="1:7">
      <c r="A71" t="s">
        <v>2376</v>
      </c>
      <c r="B71" s="497" t="s">
        <v>2159</v>
      </c>
      <c r="C71" t="s">
        <v>2160</v>
      </c>
      <c r="D71" s="17" t="s">
        <v>1997</v>
      </c>
      <c r="E71" t="s">
        <v>2161</v>
      </c>
      <c r="F71" s="511"/>
      <c r="G71" s="14"/>
    </row>
    <row r="72" spans="1:7">
      <c r="A72" t="s">
        <v>2377</v>
      </c>
      <c r="B72" s="497" t="s">
        <v>76</v>
      </c>
      <c r="C72" t="s">
        <v>2162</v>
      </c>
      <c r="D72" s="17" t="s">
        <v>1997</v>
      </c>
      <c r="E72" t="s">
        <v>2163</v>
      </c>
      <c r="G72" s="14"/>
    </row>
    <row r="73" spans="1:7">
      <c r="A73" t="s">
        <v>2378</v>
      </c>
      <c r="B73" s="497" t="s">
        <v>1986</v>
      </c>
      <c r="C73" t="s">
        <v>2164</v>
      </c>
      <c r="D73" s="17" t="s">
        <v>1997</v>
      </c>
      <c r="E73" t="s">
        <v>2165</v>
      </c>
      <c r="F73" s="511"/>
      <c r="G73" s="14"/>
    </row>
    <row r="74" spans="1:7">
      <c r="A74" t="s">
        <v>2379</v>
      </c>
      <c r="B74" s="497" t="s">
        <v>2166</v>
      </c>
      <c r="C74" t="s">
        <v>2167</v>
      </c>
      <c r="D74" s="17" t="s">
        <v>1997</v>
      </c>
      <c r="E74" t="s">
        <v>2168</v>
      </c>
      <c r="F74" s="511"/>
      <c r="G74" s="14"/>
    </row>
    <row r="75" spans="1:7">
      <c r="A75" t="s">
        <v>2380</v>
      </c>
      <c r="B75" s="497" t="s">
        <v>130</v>
      </c>
      <c r="C75" t="s">
        <v>2169</v>
      </c>
      <c r="D75" s="17" t="s">
        <v>1997</v>
      </c>
      <c r="E75" t="s">
        <v>2170</v>
      </c>
      <c r="F75" s="511"/>
      <c r="G75" s="14"/>
    </row>
    <row r="76" spans="1:7">
      <c r="A76" t="s">
        <v>2381</v>
      </c>
      <c r="B76" s="497" t="s">
        <v>2171</v>
      </c>
      <c r="C76" t="s">
        <v>2172</v>
      </c>
      <c r="D76" s="17">
        <v>25</v>
      </c>
      <c r="E76" t="s">
        <v>2173</v>
      </c>
      <c r="F76" s="511"/>
      <c r="G76" s="14"/>
    </row>
    <row r="77" spans="1:7">
      <c r="A77" t="s">
        <v>2382</v>
      </c>
      <c r="B77" s="497" t="s">
        <v>679</v>
      </c>
      <c r="C77" t="s">
        <v>2174</v>
      </c>
      <c r="D77" s="17">
        <v>25</v>
      </c>
      <c r="E77" t="s">
        <v>2175</v>
      </c>
      <c r="F77" s="511"/>
      <c r="G77" s="14"/>
    </row>
    <row r="78" spans="1:7">
      <c r="A78" t="s">
        <v>2383</v>
      </c>
      <c r="B78" s="497" t="s">
        <v>820</v>
      </c>
      <c r="C78" t="s">
        <v>2176</v>
      </c>
      <c r="D78" s="17" t="s">
        <v>1997</v>
      </c>
      <c r="E78" t="s">
        <v>2177</v>
      </c>
      <c r="F78" s="511"/>
      <c r="G78" s="14"/>
    </row>
    <row r="79" spans="1:7">
      <c r="F79" s="511"/>
      <c r="G79" s="14"/>
    </row>
    <row r="80" spans="1:7">
      <c r="D80" s="17" t="s">
        <v>1997</v>
      </c>
      <c r="F80" s="511"/>
      <c r="G80" s="14"/>
    </row>
    <row r="81" spans="1:7">
      <c r="D81" s="17" t="s">
        <v>1997</v>
      </c>
      <c r="F81" s="511"/>
      <c r="G81" s="14"/>
    </row>
    <row r="82" spans="1:7">
      <c r="A82" t="s">
        <v>2384</v>
      </c>
      <c r="B82" s="497" t="s">
        <v>1783</v>
      </c>
      <c r="C82" t="s">
        <v>2178</v>
      </c>
      <c r="D82" s="17" t="s">
        <v>1997</v>
      </c>
      <c r="E82" t="s">
        <v>2179</v>
      </c>
    </row>
    <row r="83" spans="1:7">
      <c r="A83" t="s">
        <v>2385</v>
      </c>
      <c r="B83" s="497" t="s">
        <v>1788</v>
      </c>
      <c r="C83" t="s">
        <v>2180</v>
      </c>
      <c r="D83" s="17" t="s">
        <v>1997</v>
      </c>
      <c r="E83" t="s">
        <v>2181</v>
      </c>
    </row>
    <row r="84" spans="1:7">
      <c r="A84" t="s">
        <v>2386</v>
      </c>
      <c r="B84" s="497" t="s">
        <v>2182</v>
      </c>
      <c r="C84" t="s">
        <v>2183</v>
      </c>
      <c r="D84" s="17" t="s">
        <v>1997</v>
      </c>
      <c r="E84" t="s">
        <v>2184</v>
      </c>
    </row>
    <row r="85" spans="1:7">
      <c r="A85" t="s">
        <v>2387</v>
      </c>
      <c r="B85" s="497" t="s">
        <v>1900</v>
      </c>
      <c r="C85" t="s">
        <v>2185</v>
      </c>
      <c r="D85" s="17" t="s">
        <v>1997</v>
      </c>
      <c r="E85" t="s">
        <v>2186</v>
      </c>
    </row>
    <row r="86" spans="1:7">
      <c r="A86" t="s">
        <v>2388</v>
      </c>
      <c r="B86" s="497" t="s">
        <v>19</v>
      </c>
      <c r="C86" t="s">
        <v>2187</v>
      </c>
      <c r="D86" s="17" t="s">
        <v>1997</v>
      </c>
      <c r="E86" t="s">
        <v>2188</v>
      </c>
    </row>
    <row r="87" spans="1:7">
      <c r="A87" t="s">
        <v>2389</v>
      </c>
      <c r="B87" s="497" t="s">
        <v>1356</v>
      </c>
      <c r="C87" t="s">
        <v>2189</v>
      </c>
      <c r="D87" s="17" t="s">
        <v>1997</v>
      </c>
      <c r="E87" t="s">
        <v>2190</v>
      </c>
    </row>
    <row r="88" spans="1:7">
      <c r="A88" t="s">
        <v>2390</v>
      </c>
      <c r="B88" s="497" t="s">
        <v>12</v>
      </c>
      <c r="C88" t="s">
        <v>2191</v>
      </c>
      <c r="D88" s="17" t="s">
        <v>1997</v>
      </c>
      <c r="E88" t="s">
        <v>2192</v>
      </c>
    </row>
    <row r="89" spans="1:7">
      <c r="A89" t="s">
        <v>2391</v>
      </c>
      <c r="B89" s="497" t="s">
        <v>55</v>
      </c>
      <c r="C89" t="s">
        <v>2193</v>
      </c>
      <c r="D89" s="17" t="s">
        <v>1997</v>
      </c>
      <c r="E89" t="s">
        <v>2194</v>
      </c>
    </row>
    <row r="90" spans="1:7">
      <c r="A90" t="s">
        <v>2392</v>
      </c>
      <c r="B90" s="497" t="s">
        <v>1510</v>
      </c>
      <c r="C90" t="s">
        <v>2195</v>
      </c>
      <c r="D90" s="17" t="s">
        <v>1997</v>
      </c>
      <c r="E90" t="s">
        <v>2196</v>
      </c>
    </row>
    <row r="91" spans="1:7">
      <c r="A91" t="s">
        <v>2393</v>
      </c>
      <c r="B91" s="497" t="s">
        <v>11</v>
      </c>
      <c r="C91" t="s">
        <v>2197</v>
      </c>
      <c r="D91" s="17" t="s">
        <v>1997</v>
      </c>
      <c r="E91" t="s">
        <v>2198</v>
      </c>
    </row>
    <row r="92" spans="1:7">
      <c r="A92" t="s">
        <v>2394</v>
      </c>
      <c r="B92" s="497" t="s">
        <v>78</v>
      </c>
      <c r="C92" t="s">
        <v>2199</v>
      </c>
      <c r="D92" s="17" t="s">
        <v>1997</v>
      </c>
      <c r="E92" t="s">
        <v>2200</v>
      </c>
    </row>
    <row r="93" spans="1:7">
      <c r="A93" t="s">
        <v>2395</v>
      </c>
      <c r="B93" s="497" t="s">
        <v>51</v>
      </c>
      <c r="C93" t="s">
        <v>2201</v>
      </c>
      <c r="D93" s="17" t="s">
        <v>1997</v>
      </c>
      <c r="E93" t="s">
        <v>2202</v>
      </c>
    </row>
    <row r="94" spans="1:7">
      <c r="A94" t="s">
        <v>2396</v>
      </c>
      <c r="B94" s="497" t="s">
        <v>52</v>
      </c>
      <c r="C94" t="s">
        <v>2203</v>
      </c>
      <c r="D94" s="17" t="s">
        <v>1997</v>
      </c>
      <c r="E94" t="s">
        <v>2204</v>
      </c>
    </row>
    <row r="95" spans="1:7">
      <c r="A95" t="s">
        <v>2397</v>
      </c>
      <c r="B95" s="497" t="s">
        <v>1354</v>
      </c>
      <c r="C95" t="s">
        <v>2205</v>
      </c>
      <c r="D95" s="17" t="s">
        <v>1997</v>
      </c>
      <c r="E95" t="s">
        <v>2206</v>
      </c>
    </row>
    <row r="96" spans="1:7">
      <c r="A96" t="s">
        <v>2398</v>
      </c>
      <c r="B96" s="497" t="s">
        <v>16</v>
      </c>
      <c r="C96" t="s">
        <v>2207</v>
      </c>
      <c r="D96" s="17" t="s">
        <v>1997</v>
      </c>
      <c r="E96" t="s">
        <v>2208</v>
      </c>
    </row>
    <row r="97" spans="1:5">
      <c r="A97" t="s">
        <v>2399</v>
      </c>
      <c r="B97" s="497" t="s">
        <v>114</v>
      </c>
      <c r="C97" t="s">
        <v>2209</v>
      </c>
      <c r="D97" s="17" t="s">
        <v>1997</v>
      </c>
      <c r="E97" t="s">
        <v>2210</v>
      </c>
    </row>
    <row r="98" spans="1:5">
      <c r="A98" t="s">
        <v>2400</v>
      </c>
      <c r="B98" s="497" t="s">
        <v>1369</v>
      </c>
      <c r="C98" t="s">
        <v>2211</v>
      </c>
      <c r="D98" s="17" t="s">
        <v>1997</v>
      </c>
      <c r="E98" t="s">
        <v>2212</v>
      </c>
    </row>
    <row r="99" spans="1:5">
      <c r="A99" t="s">
        <v>2401</v>
      </c>
      <c r="B99" s="497" t="s">
        <v>1584</v>
      </c>
      <c r="C99" t="s">
        <v>2213</v>
      </c>
      <c r="D99" s="17" t="s">
        <v>1997</v>
      </c>
      <c r="E99" t="s">
        <v>2214</v>
      </c>
    </row>
    <row r="100" spans="1:5">
      <c r="A100" t="s">
        <v>2401</v>
      </c>
      <c r="B100" s="497" t="s">
        <v>1584</v>
      </c>
      <c r="C100" t="s">
        <v>2213</v>
      </c>
      <c r="D100" s="17" t="s">
        <v>1997</v>
      </c>
      <c r="E100" t="s">
        <v>2215</v>
      </c>
    </row>
    <row r="101" spans="1:5">
      <c r="A101" t="s">
        <v>2402</v>
      </c>
      <c r="B101" s="497" t="s">
        <v>14</v>
      </c>
      <c r="C101" t="s">
        <v>2216</v>
      </c>
      <c r="D101" s="17" t="s">
        <v>1997</v>
      </c>
      <c r="E101" t="s">
        <v>2217</v>
      </c>
    </row>
    <row r="102" spans="1:5">
      <c r="A102" t="s">
        <v>2403</v>
      </c>
      <c r="B102" s="497" t="s">
        <v>1928</v>
      </c>
      <c r="C102" t="s">
        <v>2218</v>
      </c>
      <c r="D102" s="17" t="s">
        <v>1997</v>
      </c>
      <c r="E102" t="s">
        <v>2219</v>
      </c>
    </row>
    <row r="103" spans="1:5">
      <c r="A103" t="s">
        <v>2404</v>
      </c>
      <c r="B103" s="497" t="s">
        <v>1503</v>
      </c>
      <c r="C103" t="s">
        <v>2220</v>
      </c>
      <c r="D103" s="17" t="s">
        <v>1997</v>
      </c>
      <c r="E103" t="s">
        <v>2221</v>
      </c>
    </row>
    <row r="104" spans="1:5">
      <c r="A104" t="s">
        <v>2405</v>
      </c>
      <c r="B104" s="497" t="s">
        <v>1443</v>
      </c>
      <c r="C104" t="s">
        <v>2222</v>
      </c>
      <c r="D104" s="17" t="s">
        <v>1997</v>
      </c>
      <c r="E104" t="s">
        <v>2223</v>
      </c>
    </row>
    <row r="105" spans="1:5">
      <c r="A105" t="s">
        <v>2405</v>
      </c>
      <c r="B105" s="497" t="s">
        <v>1443</v>
      </c>
      <c r="C105" t="s">
        <v>2222</v>
      </c>
      <c r="D105" s="17" t="s">
        <v>1997</v>
      </c>
      <c r="E105" t="s">
        <v>2224</v>
      </c>
    </row>
    <row r="106" spans="1:5">
      <c r="A106" t="s">
        <v>2406</v>
      </c>
      <c r="B106" s="497" t="s">
        <v>1912</v>
      </c>
      <c r="C106" t="s">
        <v>2225</v>
      </c>
      <c r="D106" s="17" t="s">
        <v>1997</v>
      </c>
      <c r="E106" t="s">
        <v>2226</v>
      </c>
    </row>
    <row r="107" spans="1:5">
      <c r="A107" t="s">
        <v>2407</v>
      </c>
      <c r="B107" s="497" t="s">
        <v>1899</v>
      </c>
      <c r="C107" t="s">
        <v>2227</v>
      </c>
      <c r="D107" s="17" t="s">
        <v>1997</v>
      </c>
      <c r="E107" t="s">
        <v>2228</v>
      </c>
    </row>
    <row r="108" spans="1:5">
      <c r="A108" t="s">
        <v>2408</v>
      </c>
      <c r="B108" s="497" t="s">
        <v>1960</v>
      </c>
      <c r="C108" t="s">
        <v>2229</v>
      </c>
      <c r="D108" s="17" t="s">
        <v>1997</v>
      </c>
      <c r="E108" t="s">
        <v>2230</v>
      </c>
    </row>
    <row r="109" spans="1:5">
      <c r="A109" t="s">
        <v>2409</v>
      </c>
      <c r="B109" s="497" t="s">
        <v>1448</v>
      </c>
      <c r="C109" t="s">
        <v>2231</v>
      </c>
      <c r="D109" s="17" t="s">
        <v>1997</v>
      </c>
      <c r="E109" t="s">
        <v>2232</v>
      </c>
    </row>
    <row r="110" spans="1:5">
      <c r="A110" t="s">
        <v>2410</v>
      </c>
    </row>
    <row r="111" spans="1:5">
      <c r="D111" s="17" t="s">
        <v>1997</v>
      </c>
    </row>
    <row r="112" spans="1:5">
      <c r="D112" s="17" t="s">
        <v>1997</v>
      </c>
    </row>
    <row r="113" spans="1:5">
      <c r="D113" s="17" t="s">
        <v>1997</v>
      </c>
    </row>
    <row r="114" spans="1:5">
      <c r="A114" t="s">
        <v>2411</v>
      </c>
      <c r="B114" s="497" t="s">
        <v>2233</v>
      </c>
      <c r="C114" t="s">
        <v>2234</v>
      </c>
      <c r="D114" s="17" t="s">
        <v>1997</v>
      </c>
      <c r="E114" t="s">
        <v>2235</v>
      </c>
    </row>
    <row r="115" spans="1:5">
      <c r="A115" t="s">
        <v>2412</v>
      </c>
      <c r="B115" s="497" t="s">
        <v>2236</v>
      </c>
      <c r="C115" t="s">
        <v>2237</v>
      </c>
      <c r="D115" s="17" t="s">
        <v>1997</v>
      </c>
      <c r="E115" t="s">
        <v>2238</v>
      </c>
    </row>
    <row r="116" spans="1:5">
      <c r="A116" t="s">
        <v>2413</v>
      </c>
      <c r="B116" s="497" t="s">
        <v>2239</v>
      </c>
      <c r="C116" t="s">
        <v>2240</v>
      </c>
      <c r="D116" s="17" t="s">
        <v>1997</v>
      </c>
      <c r="E116" t="s">
        <v>2241</v>
      </c>
    </row>
    <row r="117" spans="1:5">
      <c r="A117" t="s">
        <v>2414</v>
      </c>
      <c r="B117" s="497" t="s">
        <v>2242</v>
      </c>
      <c r="C117" t="s">
        <v>2243</v>
      </c>
      <c r="D117" s="17" t="s">
        <v>1997</v>
      </c>
      <c r="E117" t="s">
        <v>2244</v>
      </c>
    </row>
    <row r="118" spans="1:5">
      <c r="A118" t="s">
        <v>2415</v>
      </c>
      <c r="B118" s="497" t="s">
        <v>2245</v>
      </c>
      <c r="C118" t="s">
        <v>2246</v>
      </c>
      <c r="D118" s="17" t="s">
        <v>1997</v>
      </c>
      <c r="E118" t="s">
        <v>2247</v>
      </c>
    </row>
    <row r="119" spans="1:5">
      <c r="C119" t="s">
        <v>2248</v>
      </c>
      <c r="D119" s="17">
        <v>25</v>
      </c>
      <c r="E119" t="s">
        <v>2249</v>
      </c>
    </row>
    <row r="120" spans="1:5">
      <c r="A120" t="s">
        <v>2416</v>
      </c>
      <c r="B120" s="497" t="s">
        <v>2250</v>
      </c>
      <c r="C120" t="s">
        <v>2251</v>
      </c>
      <c r="D120" s="17" t="s">
        <v>1997</v>
      </c>
      <c r="E120" t="s">
        <v>2252</v>
      </c>
    </row>
    <row r="121" spans="1:5">
      <c r="A121" t="s">
        <v>2417</v>
      </c>
      <c r="B121" s="497" t="s">
        <v>2253</v>
      </c>
      <c r="C121" t="s">
        <v>2254</v>
      </c>
      <c r="D121" s="17" t="s">
        <v>1997</v>
      </c>
      <c r="E121" t="s">
        <v>2255</v>
      </c>
    </row>
    <row r="122" spans="1:5">
      <c r="A122" t="s">
        <v>2418</v>
      </c>
      <c r="B122" s="497" t="s">
        <v>2256</v>
      </c>
      <c r="C122" t="s">
        <v>2257</v>
      </c>
      <c r="D122" s="17" t="s">
        <v>1997</v>
      </c>
      <c r="E122" t="s">
        <v>2258</v>
      </c>
    </row>
    <row r="123" spans="1:5">
      <c r="A123" t="s">
        <v>2419</v>
      </c>
      <c r="B123" s="497" t="s">
        <v>2259</v>
      </c>
      <c r="C123" t="s">
        <v>2260</v>
      </c>
      <c r="D123" s="17" t="s">
        <v>1997</v>
      </c>
      <c r="E123" t="s">
        <v>2261</v>
      </c>
    </row>
    <row r="124" spans="1:5">
      <c r="C124" t="s">
        <v>2260</v>
      </c>
      <c r="E124" t="s">
        <v>2261</v>
      </c>
    </row>
    <row r="127" spans="1:5">
      <c r="A127" t="s">
        <v>2420</v>
      </c>
      <c r="B127" s="497" t="s">
        <v>2262</v>
      </c>
      <c r="C127" t="s">
        <v>2263</v>
      </c>
      <c r="D127" s="17" t="s">
        <v>1997</v>
      </c>
      <c r="E127" t="s">
        <v>2264</v>
      </c>
    </row>
    <row r="128" spans="1:5">
      <c r="A128" t="s">
        <v>2421</v>
      </c>
      <c r="B128" s="497" t="s">
        <v>2265</v>
      </c>
      <c r="C128" t="s">
        <v>2266</v>
      </c>
      <c r="D128" s="17" t="s">
        <v>1997</v>
      </c>
      <c r="E128" t="s">
        <v>2267</v>
      </c>
    </row>
    <row r="129" spans="1:5">
      <c r="A129" t="s">
        <v>2422</v>
      </c>
      <c r="B129" s="497" t="s">
        <v>57</v>
      </c>
      <c r="C129" t="s">
        <v>2268</v>
      </c>
      <c r="D129" s="17" t="s">
        <v>1997</v>
      </c>
      <c r="E129" t="s">
        <v>2269</v>
      </c>
    </row>
    <row r="130" spans="1:5">
      <c r="A130" t="s">
        <v>2423</v>
      </c>
      <c r="B130" s="497" t="s">
        <v>2270</v>
      </c>
      <c r="C130" t="s">
        <v>2271</v>
      </c>
      <c r="D130" s="17" t="s">
        <v>1997</v>
      </c>
      <c r="E130" t="s">
        <v>2272</v>
      </c>
    </row>
    <row r="131" spans="1:5">
      <c r="A131" t="s">
        <v>2424</v>
      </c>
      <c r="B131" s="497" t="s">
        <v>2273</v>
      </c>
      <c r="C131" t="s">
        <v>2274</v>
      </c>
      <c r="D131" s="17" t="s">
        <v>1997</v>
      </c>
      <c r="E131" t="s">
        <v>2275</v>
      </c>
    </row>
    <row r="135" spans="1:5">
      <c r="A135" t="s">
        <v>2425</v>
      </c>
      <c r="B135" s="497" t="s">
        <v>126</v>
      </c>
      <c r="C135" t="s">
        <v>2276</v>
      </c>
      <c r="D135" s="17">
        <v>50</v>
      </c>
      <c r="E135" t="s">
        <v>2277</v>
      </c>
    </row>
    <row r="136" spans="1:5">
      <c r="A136" t="s">
        <v>2426</v>
      </c>
      <c r="B136" s="497" t="s">
        <v>128</v>
      </c>
      <c r="C136" t="s">
        <v>2278</v>
      </c>
      <c r="D136" s="17">
        <v>50</v>
      </c>
      <c r="E136" t="s">
        <v>2279</v>
      </c>
    </row>
    <row r="137" spans="1:5">
      <c r="A137" t="s">
        <v>2427</v>
      </c>
      <c r="B137" s="497" t="s">
        <v>129</v>
      </c>
      <c r="C137" t="s">
        <v>2280</v>
      </c>
      <c r="D137" s="17">
        <v>50</v>
      </c>
      <c r="E137" t="s">
        <v>2281</v>
      </c>
    </row>
    <row r="138" spans="1:5">
      <c r="A138" t="s">
        <v>2428</v>
      </c>
      <c r="B138" s="497" t="s">
        <v>70</v>
      </c>
      <c r="C138" t="s">
        <v>2282</v>
      </c>
      <c r="D138" s="17">
        <v>50</v>
      </c>
      <c r="E138" t="s">
        <v>2283</v>
      </c>
    </row>
    <row r="139" spans="1:5">
      <c r="A139" t="s">
        <v>2429</v>
      </c>
      <c r="B139" s="497" t="s">
        <v>105</v>
      </c>
      <c r="C139" t="s">
        <v>2284</v>
      </c>
      <c r="D139" s="17">
        <v>50</v>
      </c>
      <c r="E139" t="s">
        <v>2285</v>
      </c>
    </row>
    <row r="140" spans="1:5">
      <c r="A140" t="s">
        <v>2430</v>
      </c>
      <c r="B140" s="497" t="s">
        <v>107</v>
      </c>
      <c r="C140" t="s">
        <v>2286</v>
      </c>
      <c r="D140" s="17">
        <v>50</v>
      </c>
      <c r="E140" t="s">
        <v>2287</v>
      </c>
    </row>
    <row r="141" spans="1:5">
      <c r="A141" t="s">
        <v>2431</v>
      </c>
      <c r="B141" s="497" t="s">
        <v>104</v>
      </c>
      <c r="C141" t="s">
        <v>2288</v>
      </c>
      <c r="D141" s="17">
        <v>50</v>
      </c>
      <c r="E141" t="s">
        <v>2289</v>
      </c>
    </row>
    <row r="142" spans="1:5">
      <c r="A142" t="s">
        <v>2432</v>
      </c>
      <c r="B142" s="497" t="s">
        <v>58</v>
      </c>
      <c r="C142" t="s">
        <v>2290</v>
      </c>
      <c r="D142" s="17">
        <v>50</v>
      </c>
      <c r="E142" t="s">
        <v>2291</v>
      </c>
    </row>
    <row r="143" spans="1:5">
      <c r="A143" t="s">
        <v>2433</v>
      </c>
      <c r="B143" s="497" t="s">
        <v>54</v>
      </c>
      <c r="C143" t="s">
        <v>2292</v>
      </c>
      <c r="D143" s="17">
        <v>50</v>
      </c>
      <c r="E143" t="s">
        <v>2293</v>
      </c>
    </row>
    <row r="144" spans="1:5">
      <c r="A144" t="s">
        <v>2434</v>
      </c>
      <c r="B144" s="497" t="s">
        <v>120</v>
      </c>
      <c r="C144" t="s">
        <v>2294</v>
      </c>
      <c r="D144" s="17">
        <v>50</v>
      </c>
      <c r="E144" t="s">
        <v>2295</v>
      </c>
    </row>
    <row r="145" spans="1:5">
      <c r="A145" t="s">
        <v>2435</v>
      </c>
      <c r="B145" s="497" t="s">
        <v>24</v>
      </c>
      <c r="C145" t="s">
        <v>2296</v>
      </c>
      <c r="D145" s="17">
        <v>50</v>
      </c>
      <c r="E145" t="s">
        <v>2297</v>
      </c>
    </row>
    <row r="146" spans="1:5">
      <c r="A146" t="s">
        <v>2436</v>
      </c>
      <c r="B146" s="497" t="s">
        <v>23</v>
      </c>
      <c r="C146" t="s">
        <v>2298</v>
      </c>
      <c r="D146" s="17">
        <v>50</v>
      </c>
      <c r="E146" t="s">
        <v>2299</v>
      </c>
    </row>
    <row r="147" spans="1:5">
      <c r="A147" t="s">
        <v>2437</v>
      </c>
      <c r="B147" s="497" t="s">
        <v>125</v>
      </c>
      <c r="C147" t="s">
        <v>2300</v>
      </c>
      <c r="D147" s="17">
        <v>50</v>
      </c>
      <c r="E147" t="s">
        <v>2301</v>
      </c>
    </row>
    <row r="148" spans="1:5">
      <c r="A148" t="s">
        <v>2438</v>
      </c>
      <c r="B148" s="497" t="s">
        <v>65</v>
      </c>
      <c r="C148" t="s">
        <v>2302</v>
      </c>
      <c r="D148" s="17">
        <v>50</v>
      </c>
      <c r="E148" t="s">
        <v>2303</v>
      </c>
    </row>
    <row r="149" spans="1:5">
      <c r="A149" t="s">
        <v>2439</v>
      </c>
      <c r="B149" s="497" t="s">
        <v>84</v>
      </c>
      <c r="C149" t="s">
        <v>2304</v>
      </c>
      <c r="D149" s="17">
        <v>50</v>
      </c>
      <c r="E149" t="s">
        <v>2305</v>
      </c>
    </row>
    <row r="150" spans="1:5">
      <c r="A150" t="s">
        <v>2440</v>
      </c>
      <c r="B150" s="497" t="s">
        <v>49</v>
      </c>
      <c r="C150" t="s">
        <v>2306</v>
      </c>
      <c r="D150" s="17">
        <v>50</v>
      </c>
      <c r="E150" t="s">
        <v>2307</v>
      </c>
    </row>
    <row r="151" spans="1:5">
      <c r="A151" t="s">
        <v>2441</v>
      </c>
      <c r="B151" s="497" t="s">
        <v>50</v>
      </c>
      <c r="C151" t="s">
        <v>2308</v>
      </c>
      <c r="D151" s="17">
        <v>50</v>
      </c>
      <c r="E151" t="s">
        <v>2309</v>
      </c>
    </row>
    <row r="152" spans="1:5">
      <c r="A152" t="s">
        <v>2410</v>
      </c>
    </row>
    <row r="153" spans="1:5">
      <c r="A153" t="s">
        <v>2410</v>
      </c>
    </row>
    <row r="154" spans="1:5">
      <c r="A154" t="s">
        <v>2410</v>
      </c>
      <c r="E154" t="s">
        <v>2310</v>
      </c>
    </row>
    <row r="155" spans="1:5">
      <c r="A155" t="s">
        <v>2410</v>
      </c>
      <c r="E155" t="s">
        <v>70</v>
      </c>
    </row>
    <row r="156" spans="1:5">
      <c r="A156" t="s">
        <v>2442</v>
      </c>
      <c r="B156" s="497" t="s">
        <v>1785</v>
      </c>
      <c r="C156" t="s">
        <v>2280</v>
      </c>
      <c r="D156" s="17">
        <v>50</v>
      </c>
      <c r="E156" t="s">
        <v>2281</v>
      </c>
    </row>
    <row r="157" spans="1:5">
      <c r="A157" t="s">
        <v>2443</v>
      </c>
      <c r="B157" s="497" t="s">
        <v>2311</v>
      </c>
      <c r="C157" t="s">
        <v>2276</v>
      </c>
      <c r="D157" s="17">
        <v>50</v>
      </c>
      <c r="E157" t="s">
        <v>2277</v>
      </c>
    </row>
    <row r="158" spans="1:5">
      <c r="A158" t="s">
        <v>2444</v>
      </c>
      <c r="B158" s="497" t="s">
        <v>1784</v>
      </c>
      <c r="C158" t="s">
        <v>2278</v>
      </c>
      <c r="D158" s="17">
        <v>50</v>
      </c>
      <c r="E158" t="s">
        <v>2279</v>
      </c>
    </row>
    <row r="159" spans="1:5">
      <c r="A159" t="s">
        <v>2445</v>
      </c>
      <c r="B159" s="497" t="s">
        <v>1844</v>
      </c>
      <c r="C159" t="s">
        <v>2282</v>
      </c>
      <c r="D159" s="17">
        <v>50</v>
      </c>
      <c r="E159" t="s">
        <v>2281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2496</v>
      </c>
      <c r="H2" s="14"/>
      <c r="K2" s="511"/>
    </row>
    <row r="3" spans="1:15">
      <c r="A3" s="927" t="s">
        <v>2555</v>
      </c>
      <c r="D3" s="14"/>
      <c r="K3" s="511"/>
    </row>
    <row r="4" spans="1:15">
      <c r="A4" s="927" t="s">
        <v>2566</v>
      </c>
      <c r="D4" s="14"/>
      <c r="H4" s="614"/>
      <c r="K4" s="511"/>
      <c r="O4" s="615"/>
    </row>
    <row r="5" spans="1:15">
      <c r="A5" s="927" t="s">
        <v>2569</v>
      </c>
      <c r="D5" s="14"/>
      <c r="H5" s="614"/>
      <c r="K5" s="511"/>
      <c r="O5" s="615"/>
    </row>
    <row r="6" spans="1:15">
      <c r="A6" s="927" t="s">
        <v>2531</v>
      </c>
      <c r="D6" s="14"/>
      <c r="H6" s="614"/>
      <c r="I6" s="614"/>
      <c r="K6" s="511"/>
      <c r="O6" s="615"/>
    </row>
    <row r="7" spans="1:15">
      <c r="A7" s="927" t="s">
        <v>2531</v>
      </c>
      <c r="D7" s="14"/>
      <c r="H7" s="614"/>
      <c r="I7" s="614"/>
      <c r="K7" s="511"/>
      <c r="O7" s="615"/>
    </row>
    <row r="8" spans="1:15">
      <c r="A8" s="927" t="s">
        <v>2552</v>
      </c>
      <c r="D8" s="14"/>
      <c r="H8" s="614"/>
      <c r="I8" s="614"/>
      <c r="K8" s="511"/>
      <c r="O8" s="615"/>
    </row>
    <row r="9" spans="1:15">
      <c r="A9" s="927" t="s">
        <v>2559</v>
      </c>
      <c r="C9" s="577"/>
      <c r="D9" s="14"/>
      <c r="H9" s="614"/>
      <c r="K9" s="511"/>
      <c r="O9" s="615"/>
    </row>
    <row r="10" spans="1:15">
      <c r="A10" s="927" t="s">
        <v>2536</v>
      </c>
      <c r="D10" s="14"/>
      <c r="H10" s="614"/>
      <c r="I10" s="614"/>
      <c r="K10" s="511"/>
      <c r="O10" s="615"/>
    </row>
    <row r="11" spans="1:15">
      <c r="A11" s="927" t="s">
        <v>2521</v>
      </c>
      <c r="D11" s="14"/>
      <c r="H11" s="614"/>
      <c r="I11" s="614"/>
      <c r="K11" s="511"/>
      <c r="M11" s="614"/>
      <c r="O11" s="615"/>
    </row>
    <row r="12" spans="1:15">
      <c r="A12" s="930" t="s">
        <v>2532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2544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2591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2576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2535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2518</v>
      </c>
      <c r="E17" s="576"/>
      <c r="K17" s="511"/>
      <c r="O17" s="615"/>
    </row>
    <row r="18" spans="1:15">
      <c r="A18" s="658" t="s">
        <v>2563</v>
      </c>
      <c r="K18" s="511"/>
      <c r="O18" s="615"/>
    </row>
    <row r="19" spans="1:15">
      <c r="A19" s="658" t="s">
        <v>2558</v>
      </c>
      <c r="E19" s="576"/>
      <c r="K19" s="511"/>
      <c r="O19" s="615"/>
    </row>
    <row r="20" spans="1:15">
      <c r="A20" s="658" t="s">
        <v>2598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2606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2585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2573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2568</v>
      </c>
      <c r="E24" s="576"/>
      <c r="I24">
        <f>SUM(I20:I23)</f>
        <v>1469</v>
      </c>
      <c r="O24" s="615"/>
    </row>
    <row r="25" spans="1:15">
      <c r="A25" s="927" t="s">
        <v>2549</v>
      </c>
      <c r="E25" s="576"/>
      <c r="O25" s="615"/>
    </row>
    <row r="26" spans="1:15">
      <c r="A26" s="927" t="s">
        <v>2548</v>
      </c>
      <c r="O26" s="615"/>
    </row>
    <row r="27" spans="1:15">
      <c r="A27" s="927" t="s">
        <v>2588</v>
      </c>
      <c r="O27" s="615"/>
    </row>
    <row r="28" spans="1:15">
      <c r="A28" s="927" t="s">
        <v>2502</v>
      </c>
      <c r="O28" s="615"/>
    </row>
    <row r="29" spans="1:15">
      <c r="A29" s="927" t="s">
        <v>2502</v>
      </c>
      <c r="I29">
        <f>1628-I24</f>
        <v>159</v>
      </c>
      <c r="O29" s="615"/>
    </row>
    <row r="30" spans="1:15">
      <c r="A30" s="927" t="s">
        <v>2513</v>
      </c>
      <c r="O30" s="615"/>
    </row>
    <row r="31" spans="1:15">
      <c r="A31" s="927" t="s">
        <v>2556</v>
      </c>
      <c r="O31" s="615"/>
    </row>
    <row r="32" spans="1:15">
      <c r="A32" s="927" t="s">
        <v>2504</v>
      </c>
      <c r="O32" s="615"/>
    </row>
    <row r="33" spans="1:15">
      <c r="A33" s="927" t="s">
        <v>2567</v>
      </c>
      <c r="O33" s="615"/>
    </row>
    <row r="34" spans="1:15">
      <c r="A34" s="927" t="s">
        <v>2572</v>
      </c>
      <c r="O34" s="615"/>
    </row>
    <row r="35" spans="1:15">
      <c r="A35" s="927" t="s">
        <v>2539</v>
      </c>
      <c r="O35" s="615"/>
    </row>
    <row r="36" spans="1:15">
      <c r="A36" s="927" t="s">
        <v>2595</v>
      </c>
    </row>
    <row r="37" spans="1:15">
      <c r="A37" s="927" t="s">
        <v>2497</v>
      </c>
    </row>
    <row r="38" spans="1:15">
      <c r="A38" s="927" t="s">
        <v>2605</v>
      </c>
    </row>
    <row r="39" spans="1:15">
      <c r="A39" s="927" t="s">
        <v>2545</v>
      </c>
    </row>
    <row r="40" spans="1:15">
      <c r="A40" s="927" t="s">
        <v>2603</v>
      </c>
    </row>
    <row r="41" spans="1:15">
      <c r="A41" s="927" t="s">
        <v>2593</v>
      </c>
    </row>
    <row r="42" spans="1:15">
      <c r="A42" s="927" t="s">
        <v>2528</v>
      </c>
    </row>
    <row r="43" spans="1:15">
      <c r="A43" s="927" t="s">
        <v>2514</v>
      </c>
    </row>
    <row r="44" spans="1:15">
      <c r="A44" s="927" t="s">
        <v>2514</v>
      </c>
    </row>
    <row r="45" spans="1:15">
      <c r="A45" s="929" t="s">
        <v>2607</v>
      </c>
    </row>
    <row r="46" spans="1:15">
      <c r="A46" s="929" t="s">
        <v>2571</v>
      </c>
    </row>
    <row r="47" spans="1:15">
      <c r="A47" s="927" t="s">
        <v>2500</v>
      </c>
    </row>
    <row r="48" spans="1:15">
      <c r="A48" s="927" t="s">
        <v>2500</v>
      </c>
    </row>
    <row r="49" spans="1:1">
      <c r="A49" s="927" t="s">
        <v>2525</v>
      </c>
    </row>
    <row r="50" spans="1:1">
      <c r="A50" s="927" t="s">
        <v>2604</v>
      </c>
    </row>
    <row r="51" spans="1:1">
      <c r="A51" s="927" t="s">
        <v>2505</v>
      </c>
    </row>
    <row r="52" spans="1:1">
      <c r="A52" s="927" t="s">
        <v>2505</v>
      </c>
    </row>
    <row r="53" spans="1:1">
      <c r="A53" s="927" t="s">
        <v>2586</v>
      </c>
    </row>
    <row r="54" spans="1:1">
      <c r="A54" s="927" t="s">
        <v>2537</v>
      </c>
    </row>
    <row r="55" spans="1:1">
      <c r="A55" s="927" t="s">
        <v>2578</v>
      </c>
    </row>
    <row r="56" spans="1:1">
      <c r="A56" s="927" t="s">
        <v>2562</v>
      </c>
    </row>
    <row r="57" spans="1:1">
      <c r="A57" s="927" t="s">
        <v>2515</v>
      </c>
    </row>
    <row r="58" spans="1:1">
      <c r="A58" s="927" t="s">
        <v>2515</v>
      </c>
    </row>
    <row r="59" spans="1:1">
      <c r="A59" s="927" t="s">
        <v>2512</v>
      </c>
    </row>
    <row r="60" spans="1:1">
      <c r="A60" s="927" t="s">
        <v>2512</v>
      </c>
    </row>
    <row r="61" spans="1:1">
      <c r="A61" s="927" t="s">
        <v>2577</v>
      </c>
    </row>
    <row r="62" spans="1:1">
      <c r="A62" s="927" t="s">
        <v>2516</v>
      </c>
    </row>
    <row r="63" spans="1:1">
      <c r="A63" s="927" t="s">
        <v>2602</v>
      </c>
    </row>
    <row r="64" spans="1:1">
      <c r="A64" s="927" t="s">
        <v>2542</v>
      </c>
    </row>
    <row r="65" spans="1:1">
      <c r="A65" s="927" t="s">
        <v>2498</v>
      </c>
    </row>
    <row r="66" spans="1:1">
      <c r="A66" s="927" t="s">
        <v>2498</v>
      </c>
    </row>
    <row r="67" spans="1:1">
      <c r="A67" s="927" t="s">
        <v>2543</v>
      </c>
    </row>
    <row r="68" spans="1:1">
      <c r="A68" s="927" t="s">
        <v>2507</v>
      </c>
    </row>
    <row r="69" spans="1:1">
      <c r="A69" s="927" t="s">
        <v>2507</v>
      </c>
    </row>
    <row r="70" spans="1:1">
      <c r="A70" s="927" t="s">
        <v>2508</v>
      </c>
    </row>
    <row r="71" spans="1:1">
      <c r="A71" s="927" t="s">
        <v>2508</v>
      </c>
    </row>
    <row r="72" spans="1:1">
      <c r="A72" s="927" t="s">
        <v>2580</v>
      </c>
    </row>
    <row r="73" spans="1:1">
      <c r="A73" s="927" t="s">
        <v>2503</v>
      </c>
    </row>
    <row r="74" spans="1:1">
      <c r="A74" s="927" t="s">
        <v>2561</v>
      </c>
    </row>
    <row r="75" spans="1:1">
      <c r="A75" s="927" t="s">
        <v>2540</v>
      </c>
    </row>
    <row r="76" spans="1:1">
      <c r="A76" s="927" t="s">
        <v>2581</v>
      </c>
    </row>
    <row r="77" spans="1:1">
      <c r="A77" s="927" t="s">
        <v>2587</v>
      </c>
    </row>
    <row r="78" spans="1:1">
      <c r="A78" s="927" t="s">
        <v>2511</v>
      </c>
    </row>
    <row r="79" spans="1:1">
      <c r="A79" s="927" t="s">
        <v>2524</v>
      </c>
    </row>
    <row r="80" spans="1:1">
      <c r="A80" s="927" t="s">
        <v>2523</v>
      </c>
    </row>
    <row r="81" spans="1:1">
      <c r="A81" s="927" t="s">
        <v>2529</v>
      </c>
    </row>
    <row r="82" spans="1:1">
      <c r="A82" s="927" t="s">
        <v>2557</v>
      </c>
    </row>
    <row r="83" spans="1:1">
      <c r="A83" s="927" t="s">
        <v>2579</v>
      </c>
    </row>
    <row r="84" spans="1:1">
      <c r="A84" s="927" t="s">
        <v>2506</v>
      </c>
    </row>
    <row r="85" spans="1:1">
      <c r="A85" s="927" t="s">
        <v>2506</v>
      </c>
    </row>
    <row r="86" spans="1:1">
      <c r="A86" s="927" t="s">
        <v>2547</v>
      </c>
    </row>
    <row r="87" spans="1:1">
      <c r="A87" s="927" t="s">
        <v>2560</v>
      </c>
    </row>
    <row r="88" spans="1:1">
      <c r="A88" s="927" t="s">
        <v>2574</v>
      </c>
    </row>
    <row r="89" spans="1:1">
      <c r="A89" s="927" t="s">
        <v>2499</v>
      </c>
    </row>
    <row r="90" spans="1:1">
      <c r="A90" s="927" t="s">
        <v>2575</v>
      </c>
    </row>
    <row r="91" spans="1:1">
      <c r="A91" s="927" t="s">
        <v>2554</v>
      </c>
    </row>
    <row r="92" spans="1:1">
      <c r="A92" s="927" t="s">
        <v>2519</v>
      </c>
    </row>
    <row r="93" spans="1:1">
      <c r="A93" s="927" t="s">
        <v>2541</v>
      </c>
    </row>
    <row r="94" spans="1:1">
      <c r="A94" s="927" t="s">
        <v>2546</v>
      </c>
    </row>
    <row r="95" spans="1:1">
      <c r="A95" s="927" t="s">
        <v>2570</v>
      </c>
    </row>
    <row r="96" spans="1:1">
      <c r="A96" s="927" t="s">
        <v>2570</v>
      </c>
    </row>
    <row r="97" spans="1:1">
      <c r="A97" s="927" t="s">
        <v>2517</v>
      </c>
    </row>
    <row r="98" spans="1:1">
      <c r="A98" s="927" t="s">
        <v>2517</v>
      </c>
    </row>
    <row r="99" spans="1:1">
      <c r="A99" s="927" t="s">
        <v>2522</v>
      </c>
    </row>
    <row r="100" spans="1:1">
      <c r="A100" s="927" t="s">
        <v>2522</v>
      </c>
    </row>
    <row r="101" spans="1:1">
      <c r="A101" s="927" t="s">
        <v>2520</v>
      </c>
    </row>
    <row r="102" spans="1:1">
      <c r="A102" s="927" t="s">
        <v>2501</v>
      </c>
    </row>
    <row r="103" spans="1:1">
      <c r="A103" s="927" t="s">
        <v>2501</v>
      </c>
    </row>
    <row r="104" spans="1:1">
      <c r="A104" s="927" t="s">
        <v>2553</v>
      </c>
    </row>
    <row r="105" spans="1:1">
      <c r="A105" s="927" t="s">
        <v>2526</v>
      </c>
    </row>
    <row r="106" spans="1:1">
      <c r="A106" s="927" t="s">
        <v>2527</v>
      </c>
    </row>
    <row r="107" spans="1:1">
      <c r="A107" s="927" t="s">
        <v>2527</v>
      </c>
    </row>
    <row r="108" spans="1:1">
      <c r="A108" s="927" t="s">
        <v>2599</v>
      </c>
    </row>
    <row r="109" spans="1:1">
      <c r="A109" s="927" t="s">
        <v>2533</v>
      </c>
    </row>
    <row r="110" spans="1:1">
      <c r="A110" s="927" t="s">
        <v>2533</v>
      </c>
    </row>
    <row r="111" spans="1:1">
      <c r="A111" s="927" t="s">
        <v>2550</v>
      </c>
    </row>
    <row r="112" spans="1:1">
      <c r="A112" s="927" t="s">
        <v>2509</v>
      </c>
    </row>
    <row r="113" spans="1:1">
      <c r="A113" s="927" t="s">
        <v>2534</v>
      </c>
    </row>
    <row r="114" spans="1:1">
      <c r="A114" s="927" t="s">
        <v>2510</v>
      </c>
    </row>
    <row r="115" spans="1:1">
      <c r="A115" s="927" t="s">
        <v>2530</v>
      </c>
    </row>
    <row r="116" spans="1:1">
      <c r="A116" s="927" t="s">
        <v>2551</v>
      </c>
    </row>
    <row r="117" spans="1:1">
      <c r="A117" s="927" t="s">
        <v>2565</v>
      </c>
    </row>
    <row r="118" spans="1:1">
      <c r="A118" s="927" t="s">
        <v>2538</v>
      </c>
    </row>
    <row r="119" spans="1:1">
      <c r="A119" s="927" t="s">
        <v>2564</v>
      </c>
    </row>
    <row r="120" spans="1:1">
      <c r="A120" s="927" t="s">
        <v>2601</v>
      </c>
    </row>
    <row r="121" spans="1:1">
      <c r="A121" s="927" t="s">
        <v>2589</v>
      </c>
    </row>
    <row r="122" spans="1:1">
      <c r="A122" s="927" t="s">
        <v>2594</v>
      </c>
    </row>
    <row r="123" spans="1:1">
      <c r="A123" s="927" t="s">
        <v>2590</v>
      </c>
    </row>
    <row r="124" spans="1:1">
      <c r="A124" s="927" t="s">
        <v>2597</v>
      </c>
    </row>
    <row r="125" spans="1:1">
      <c r="A125" s="927" t="s">
        <v>2583</v>
      </c>
    </row>
    <row r="126" spans="1:1">
      <c r="A126" s="927" t="s">
        <v>2596</v>
      </c>
    </row>
    <row r="127" spans="1:1">
      <c r="A127" s="927" t="s">
        <v>2600</v>
      </c>
    </row>
    <row r="128" spans="1:1">
      <c r="A128" s="927" t="s">
        <v>2584</v>
      </c>
    </row>
    <row r="129" spans="1:1">
      <c r="A129" s="927" t="s">
        <v>2592</v>
      </c>
    </row>
    <row r="130" spans="1:1">
      <c r="A130" s="927" t="s">
        <v>2582</v>
      </c>
    </row>
    <row r="131" spans="1:1">
      <c r="A131" s="927" t="s">
        <v>2608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3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2026-04-29T02:00:22Z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